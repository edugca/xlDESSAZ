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drawings/drawing3.xml" ContentType="application/vnd.openxmlformats-officedocument.drawing+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drawings/drawing4.xml" ContentType="application/vnd.openxmlformats-officedocument.drawing+xml"/>
  <Override PartName="/xl/comments1.xml" ContentType="application/vnd.openxmlformats-officedocument.spreadsheetml.comments+xml"/>
  <Override PartName="/xl/threadedComments/threadedComment1.xml" ContentType="application/vnd.ms-excel.threadedcomments+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drawings/drawing5.xml" ContentType="application/vnd.openxmlformats-officedocument.drawing+xml"/>
  <Override PartName="/xl/comments2.xml" ContentType="application/vnd.openxmlformats-officedocument.spreadsheetml.comments+xml"/>
  <Override PartName="/xl/threadedComments/threadedComment2.xml" ContentType="application/vnd.ms-excel.threadedcomments+xml"/>
  <Override PartName="/xl/charts/chart11.xml" ContentType="application/vnd.openxmlformats-officedocument.drawingml.chart+xml"/>
  <Override PartName="/xl/charts/style11.xml" ContentType="application/vnd.ms-office.chartstyle+xml"/>
  <Override PartName="/xl/charts/colors11.xml" ContentType="application/vnd.ms-office.chartcolorstyle+xml"/>
  <Override PartName="/xl/charts/chart12.xml" ContentType="application/vnd.openxmlformats-officedocument.drawingml.chart+xml"/>
  <Override PartName="/xl/charts/style12.xml" ContentType="application/vnd.ms-office.chartstyle+xml"/>
  <Override PartName="/xl/charts/colors12.xml" ContentType="application/vnd.ms-office.chartcolorstyle+xml"/>
  <Override PartName="/xl/charts/chart13.xml" ContentType="application/vnd.openxmlformats-officedocument.drawingml.chart+xml"/>
  <Override PartName="/xl/charts/style13.xml" ContentType="application/vnd.ms-office.chartstyle+xml"/>
  <Override PartName="/xl/charts/colors13.xml" ContentType="application/vnd.ms-office.chartcolorstyle+xml"/>
  <Override PartName="/xl/drawings/drawing6.xml" ContentType="application/vnd.openxmlformats-officedocument.drawing+xml"/>
  <Override PartName="/xl/charts/chart14.xml" ContentType="application/vnd.openxmlformats-officedocument.drawingml.chart+xml"/>
  <Override PartName="/xl/charts/style14.xml" ContentType="application/vnd.ms-office.chartstyle+xml"/>
  <Override PartName="/xl/charts/colors14.xml" ContentType="application/vnd.ms-office.chartcolorstyle+xml"/>
  <Override PartName="/xl/drawings/drawing7.xml" ContentType="application/vnd.openxmlformats-officedocument.drawing+xml"/>
  <Override PartName="/xl/comments3.xml" ContentType="application/vnd.openxmlformats-officedocument.spreadsheetml.comments+xml"/>
  <Override PartName="/xl/threadedComments/threadedComment3.xml" ContentType="application/vnd.ms-excel.threadedcomments+xml"/>
  <Override PartName="/xl/charts/chart15.xml" ContentType="application/vnd.openxmlformats-officedocument.drawingml.chart+xml"/>
  <Override PartName="/xl/charts/style15.xml" ContentType="application/vnd.ms-office.chartstyle+xml"/>
  <Override PartName="/xl/charts/colors15.xml" ContentType="application/vnd.ms-office.chartcolorstyle+xml"/>
  <Override PartName="/xl/charts/chart16.xml" ContentType="application/vnd.openxmlformats-officedocument.drawingml.chart+xml"/>
  <Override PartName="/xl/charts/style16.xml" ContentType="application/vnd.ms-office.chartstyle+xml"/>
  <Override PartName="/xl/charts/colors16.xml" ContentType="application/vnd.ms-office.chartcolorstyle+xml"/>
  <Override PartName="/xl/charts/chart17.xml" ContentType="application/vnd.openxmlformats-officedocument.drawingml.chart+xml"/>
  <Override PartName="/xl/charts/style17.xml" ContentType="application/vnd.ms-office.chartstyle+xml"/>
  <Override PartName="/xl/charts/colors17.xml" ContentType="application/vnd.ms-office.chartcolorstyle+xml"/>
  <Override PartName="/xl/drawings/drawing8.xml" ContentType="application/vnd.openxmlformats-officedocument.drawing+xml"/>
  <Override PartName="/xl/comments4.xml" ContentType="application/vnd.openxmlformats-officedocument.spreadsheetml.comments+xml"/>
  <Override PartName="/xl/threadedComments/threadedComment4.xml" ContentType="application/vnd.ms-excel.threadedcomments+xml"/>
  <Override PartName="/xl/charts/chart18.xml" ContentType="application/vnd.openxmlformats-officedocument.drawingml.chart+xml"/>
  <Override PartName="/xl/charts/style18.xml" ContentType="application/vnd.ms-office.chartstyle+xml"/>
  <Override PartName="/xl/charts/colors18.xml" ContentType="application/vnd.ms-office.chartcolorstyle+xml"/>
  <Override PartName="/xl/charts/chart19.xml" ContentType="application/vnd.openxmlformats-officedocument.drawingml.chart+xml"/>
  <Override PartName="/xl/charts/style19.xml" ContentType="application/vnd.ms-office.chartstyle+xml"/>
  <Override PartName="/xl/charts/colors19.xml" ContentType="application/vnd.ms-office.chartcolorstyle+xml"/>
  <Override PartName="/xl/charts/chart20.xml" ContentType="application/vnd.openxmlformats-officedocument.drawingml.chart+xml"/>
  <Override PartName="/xl/charts/style20.xml" ContentType="application/vnd.ms-office.chartstyle+xml"/>
  <Override PartName="/xl/charts/colors20.xml" ContentType="application/vnd.ms-office.chartcolorstyle+xml"/>
  <Override PartName="/xl/drawings/drawing9.xml" ContentType="application/vnd.openxmlformats-officedocument.drawing+xml"/>
  <Override PartName="/xl/comments5.xml" ContentType="application/vnd.openxmlformats-officedocument.spreadsheetml.comments+xml"/>
  <Override PartName="/xl/threadedComments/threadedComment5.xml" ContentType="application/vnd.ms-excel.threadedcomments+xml"/>
  <Override PartName="/xl/charts/chart21.xml" ContentType="application/vnd.openxmlformats-officedocument.drawingml.chart+xml"/>
  <Override PartName="/xl/charts/style21.xml" ContentType="application/vnd.ms-office.chartstyle+xml"/>
  <Override PartName="/xl/charts/colors21.xml" ContentType="application/vnd.ms-office.chartcolorstyle+xml"/>
  <Override PartName="/xl/charts/chart22.xml" ContentType="application/vnd.openxmlformats-officedocument.drawingml.chart+xml"/>
  <Override PartName="/xl/charts/style22.xml" ContentType="application/vnd.ms-office.chartstyle+xml"/>
  <Override PartName="/xl/charts/colors22.xml" ContentType="application/vnd.ms-office.chartcolorstyle+xml"/>
  <Override PartName="/xl/persons/person.xml" ContentType="application/vnd.ms-excel.person+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827" codeName="{B6124F1A-AFFB-F854-7757-9A1D4C6FC43C}"/>
  <workbookPr codeName="EstaPastaDeTrabalho" defaultThemeVersion="166925"/>
  <mc:AlternateContent xmlns:mc="http://schemas.openxmlformats.org/markup-compatibility/2006">
    <mc:Choice Requires="x15">
      <x15ac:absPath xmlns:x15ac="http://schemas.microsoft.com/office/spreadsheetml/2010/11/ac" url="C:\Users\Eduardo\Google Drive\Meus Projetos\xlDESSAZ\"/>
    </mc:Choice>
  </mc:AlternateContent>
  <xr:revisionPtr revIDLastSave="0" documentId="13_ncr:1_{9B7E6926-F873-4976-9A5B-14E09F16AD60}" xr6:coauthVersionLast="47" xr6:coauthVersionMax="47" xr10:uidLastSave="{00000000-0000-0000-0000-000000000000}"/>
  <bookViews>
    <workbookView xWindow="26400" yWindow="-315" windowWidth="29040" windowHeight="15840" xr2:uid="{F29B9D70-8009-4EED-BCE5-54F79349A668}"/>
  </bookViews>
  <sheets>
    <sheet name="General" sheetId="7" r:id="rId1"/>
    <sheet name="Installation" sheetId="10" r:id="rId2"/>
    <sheet name="Step-by-Step" sheetId="3" r:id="rId3"/>
    <sheet name="Quarterly - GDP" sheetId="1" r:id="rId4"/>
    <sheet name="Monthly - IBC-Br" sheetId="5" r:id="rId5"/>
    <sheet name="Monthly - Ind Prod" sheetId="6" r:id="rId6"/>
    <sheet name="Appending Forecasts" sheetId="8" r:id="rId7"/>
    <sheet name="Mult series same spec" sheetId="4" r:id="rId8"/>
    <sheet name="Mult series mult spec" sheetId="9" r:id="rId9"/>
    <sheet name="Decomposition" sheetId="11" r:id="rId10"/>
    <sheet name="Specs" sheetId="2" r:id="rId11"/>
  </sheets>
  <functionGroups builtInGroupCount="19"/>
  <externalReferences>
    <externalReference r:id="rId12"/>
  </externalReferences>
  <definedNames>
    <definedName name="_xlpm.x" hidden="1" xlm="1">#NAME?</definedName>
    <definedName name="Holidays">[1]Holidays!$A$2:$A$937</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N4" i="11" l="1"/>
  <c r="N5" i="11"/>
  <c r="N6" i="11"/>
  <c r="N7" i="11"/>
  <c r="N8" i="11"/>
  <c r="N9" i="11"/>
  <c r="N10" i="11"/>
  <c r="N11" i="11"/>
  <c r="N12" i="11"/>
  <c r="N13" i="11"/>
  <c r="N14" i="11"/>
  <c r="N15" i="11"/>
  <c r="N16" i="11"/>
  <c r="N17" i="11"/>
  <c r="N18" i="11"/>
  <c r="N19" i="11"/>
  <c r="N20" i="11"/>
  <c r="N21" i="11"/>
  <c r="N22" i="11"/>
  <c r="N23" i="11"/>
  <c r="N24" i="11"/>
  <c r="N25" i="11"/>
  <c r="N26" i="11"/>
  <c r="N27" i="11"/>
  <c r="N28" i="11"/>
  <c r="N29" i="11"/>
  <c r="N30" i="11"/>
  <c r="N31" i="11"/>
  <c r="N32" i="11"/>
  <c r="N33" i="11"/>
  <c r="N34" i="11"/>
  <c r="N35" i="11"/>
  <c r="N36" i="11"/>
  <c r="N37" i="11"/>
  <c r="N38" i="11"/>
  <c r="N39" i="11"/>
  <c r="N40" i="11"/>
  <c r="N41" i="11"/>
  <c r="N42" i="11"/>
  <c r="N43" i="11"/>
  <c r="N44" i="11"/>
  <c r="N45" i="11"/>
  <c r="N46" i="11"/>
  <c r="N47" i="11"/>
  <c r="N48" i="11"/>
  <c r="N49" i="11"/>
  <c r="N50" i="11"/>
  <c r="N51" i="11"/>
  <c r="N52" i="11"/>
  <c r="N53" i="11"/>
  <c r="N54" i="11"/>
  <c r="N55" i="11"/>
  <c r="N56" i="11"/>
  <c r="N57" i="11"/>
  <c r="N58" i="11"/>
  <c r="N59" i="11"/>
  <c r="N60" i="11"/>
  <c r="N61" i="11"/>
  <c r="N62" i="11"/>
  <c r="N63" i="11"/>
  <c r="N64" i="11"/>
  <c r="N65" i="11"/>
  <c r="N66" i="11"/>
  <c r="N67" i="11"/>
  <c r="N68" i="11"/>
  <c r="N69" i="11"/>
  <c r="N70" i="11"/>
  <c r="N71" i="11"/>
  <c r="N72" i="11"/>
  <c r="N73" i="11"/>
  <c r="N74" i="11"/>
  <c r="N75" i="11"/>
  <c r="N76" i="11"/>
  <c r="N77" i="11"/>
  <c r="N78" i="11"/>
  <c r="N79" i="11"/>
  <c r="N80" i="11"/>
  <c r="N81" i="11"/>
  <c r="N82" i="11"/>
  <c r="N83" i="11"/>
  <c r="N84" i="11"/>
  <c r="N85" i="11"/>
  <c r="N86" i="11"/>
  <c r="N87" i="11"/>
  <c r="N88" i="11"/>
  <c r="N89" i="11"/>
  <c r="N90" i="11"/>
  <c r="N91" i="11"/>
  <c r="N92" i="11"/>
  <c r="N93" i="11"/>
  <c r="N94" i="11"/>
  <c r="N95" i="11"/>
  <c r="N96" i="11"/>
  <c r="N97" i="11"/>
  <c r="N98" i="11"/>
  <c r="N99" i="11"/>
  <c r="N100" i="11"/>
  <c r="N101" i="11"/>
  <c r="N102" i="11"/>
  <c r="N103" i="11"/>
  <c r="N104" i="11"/>
  <c r="N105" i="11"/>
  <c r="N106" i="11"/>
  <c r="N107" i="11"/>
  <c r="N108" i="11"/>
  <c r="N109" i="11"/>
  <c r="N110" i="11"/>
  <c r="N111" i="11"/>
  <c r="N112" i="11"/>
  <c r="N113" i="11"/>
  <c r="N114" i="11"/>
  <c r="N115" i="11"/>
  <c r="N116" i="11"/>
  <c r="N117" i="11"/>
  <c r="N118" i="11"/>
  <c r="N119" i="11"/>
  <c r="N120" i="11"/>
  <c r="N121" i="11"/>
  <c r="N122" i="11"/>
  <c r="N123" i="11"/>
  <c r="N124" i="11"/>
  <c r="N125" i="11"/>
  <c r="N126" i="11"/>
  <c r="N127" i="11"/>
  <c r="N128" i="11"/>
  <c r="N129" i="11"/>
  <c r="N130" i="11"/>
  <c r="N131" i="11"/>
  <c r="N132" i="11"/>
  <c r="N133" i="11"/>
  <c r="N134" i="11"/>
  <c r="N135" i="11"/>
  <c r="N136" i="11"/>
  <c r="N137" i="11"/>
  <c r="N138" i="11"/>
  <c r="N139" i="11"/>
  <c r="N140" i="11"/>
  <c r="N141" i="11"/>
  <c r="N142" i="11"/>
  <c r="N143" i="11"/>
  <c r="N144" i="11"/>
  <c r="N145" i="11"/>
  <c r="N146" i="11"/>
  <c r="N147" i="11"/>
  <c r="N148" i="11"/>
  <c r="N149" i="11"/>
  <c r="N150" i="11"/>
  <c r="N151" i="11"/>
  <c r="N152" i="11"/>
  <c r="N153" i="11"/>
  <c r="N154" i="11"/>
  <c r="N155" i="11"/>
  <c r="N156" i="11"/>
  <c r="N157" i="11"/>
  <c r="N158" i="11"/>
  <c r="N159" i="11"/>
  <c r="N160" i="11"/>
  <c r="N161" i="11"/>
  <c r="N162" i="11"/>
  <c r="N163" i="11"/>
  <c r="N164" i="11"/>
  <c r="N165" i="11"/>
  <c r="N166" i="11"/>
  <c r="N167" i="11"/>
  <c r="N168" i="11"/>
  <c r="N169" i="11"/>
  <c r="N170" i="11"/>
  <c r="N171" i="11"/>
  <c r="N172" i="11"/>
  <c r="N173" i="11"/>
  <c r="N174" i="11"/>
  <c r="N175" i="11"/>
  <c r="N176" i="11"/>
  <c r="N177" i="11"/>
  <c r="N178" i="11"/>
  <c r="N179" i="11"/>
  <c r="N180" i="11"/>
  <c r="N181" i="11"/>
  <c r="N182" i="11"/>
  <c r="N183" i="11"/>
  <c r="N184" i="11"/>
  <c r="N185" i="11"/>
  <c r="N186" i="11"/>
  <c r="N187" i="11"/>
  <c r="N188" i="11"/>
  <c r="N189" i="11"/>
  <c r="N190" i="11"/>
  <c r="N191" i="11"/>
  <c r="N192" i="11"/>
  <c r="N193" i="11"/>
  <c r="N194" i="11"/>
  <c r="N195" i="11"/>
  <c r="N196" i="11"/>
  <c r="N197" i="11"/>
  <c r="N198" i="11"/>
  <c r="N199" i="11"/>
  <c r="N200" i="11"/>
  <c r="N201" i="11"/>
  <c r="N202" i="11"/>
  <c r="N203" i="11"/>
  <c r="N204" i="11"/>
  <c r="N205" i="11"/>
  <c r="N206" i="11"/>
  <c r="N207" i="11"/>
  <c r="N208" i="11"/>
  <c r="N209" i="11"/>
  <c r="N210" i="11"/>
  <c r="N211" i="11"/>
  <c r="N212" i="11"/>
  <c r="N213" i="11"/>
  <c r="N214" i="11"/>
  <c r="N215" i="11"/>
  <c r="N216" i="11"/>
  <c r="N217" i="11"/>
  <c r="N218" i="11"/>
  <c r="N219" i="11"/>
  <c r="N220" i="11"/>
  <c r="N221" i="11"/>
  <c r="N222" i="11"/>
  <c r="N223" i="11"/>
  <c r="N224" i="11"/>
  <c r="N225" i="11"/>
  <c r="N226" i="11"/>
  <c r="N227" i="11"/>
  <c r="N228" i="11"/>
  <c r="N229" i="11"/>
  <c r="N230" i="11"/>
  <c r="N231" i="11"/>
  <c r="N232" i="11"/>
  <c r="N233" i="11"/>
  <c r="N234" i="11"/>
  <c r="N235" i="11"/>
  <c r="N236" i="11"/>
  <c r="N237" i="11"/>
  <c r="N238" i="11"/>
  <c r="N239" i="11"/>
  <c r="N240" i="11"/>
  <c r="N241" i="11"/>
  <c r="N242" i="11"/>
  <c r="N3" i="11"/>
  <c r="M4" i="11"/>
  <c r="M5" i="11"/>
  <c r="M6" i="11"/>
  <c r="M7" i="11"/>
  <c r="M8" i="11"/>
  <c r="M9" i="11"/>
  <c r="M10" i="11"/>
  <c r="M11" i="11"/>
  <c r="M12" i="11"/>
  <c r="M13" i="11"/>
  <c r="M14" i="11"/>
  <c r="M15" i="11"/>
  <c r="M16" i="11"/>
  <c r="M17" i="11"/>
  <c r="M18" i="11"/>
  <c r="M19" i="11"/>
  <c r="M20" i="11"/>
  <c r="M21" i="11"/>
  <c r="M22" i="11"/>
  <c r="M23" i="11"/>
  <c r="M24" i="11"/>
  <c r="M25" i="11"/>
  <c r="M26" i="11"/>
  <c r="M27" i="11"/>
  <c r="M28" i="11"/>
  <c r="M29" i="11"/>
  <c r="M30" i="11"/>
  <c r="M31" i="11"/>
  <c r="M32" i="11"/>
  <c r="M33" i="11"/>
  <c r="M34" i="11"/>
  <c r="M35" i="11"/>
  <c r="M36" i="11"/>
  <c r="M37" i="11"/>
  <c r="M38" i="11"/>
  <c r="M39" i="11"/>
  <c r="M40" i="11"/>
  <c r="M41" i="11"/>
  <c r="M42" i="11"/>
  <c r="M43" i="11"/>
  <c r="M44" i="11"/>
  <c r="M45" i="11"/>
  <c r="M46" i="11"/>
  <c r="M47" i="11"/>
  <c r="M48" i="11"/>
  <c r="M49" i="11"/>
  <c r="M50" i="11"/>
  <c r="M51" i="11"/>
  <c r="M52" i="11"/>
  <c r="M53" i="11"/>
  <c r="M54" i="11"/>
  <c r="M55" i="11"/>
  <c r="M56" i="11"/>
  <c r="M57" i="11"/>
  <c r="M58" i="11"/>
  <c r="M59" i="11"/>
  <c r="M60" i="11"/>
  <c r="M61" i="11"/>
  <c r="M62" i="11"/>
  <c r="M63" i="11"/>
  <c r="M64" i="11"/>
  <c r="M65" i="11"/>
  <c r="M66" i="11"/>
  <c r="M67" i="11"/>
  <c r="M68" i="11"/>
  <c r="M69" i="11"/>
  <c r="M70" i="11"/>
  <c r="M71" i="11"/>
  <c r="M72" i="11"/>
  <c r="M73" i="11"/>
  <c r="M74" i="11"/>
  <c r="M75" i="11"/>
  <c r="M76" i="11"/>
  <c r="M77" i="11"/>
  <c r="M78" i="11"/>
  <c r="M79" i="11"/>
  <c r="M80" i="11"/>
  <c r="M81" i="11"/>
  <c r="M82" i="11"/>
  <c r="M83" i="11"/>
  <c r="M84" i="11"/>
  <c r="M85" i="11"/>
  <c r="M86" i="11"/>
  <c r="M87" i="11"/>
  <c r="M88" i="11"/>
  <c r="M89" i="11"/>
  <c r="M90" i="11"/>
  <c r="M91" i="11"/>
  <c r="M92" i="11"/>
  <c r="M93" i="11"/>
  <c r="M94" i="11"/>
  <c r="M95" i="11"/>
  <c r="M96" i="11"/>
  <c r="M97" i="11"/>
  <c r="M98" i="11"/>
  <c r="M99" i="11"/>
  <c r="M100" i="11"/>
  <c r="M101" i="11"/>
  <c r="M102" i="11"/>
  <c r="M103" i="11"/>
  <c r="M104" i="11"/>
  <c r="M105" i="11"/>
  <c r="M106" i="11"/>
  <c r="M107" i="11"/>
  <c r="M108" i="11"/>
  <c r="M109" i="11"/>
  <c r="M110" i="11"/>
  <c r="M111" i="11"/>
  <c r="M112" i="11"/>
  <c r="M113" i="11"/>
  <c r="M114" i="11"/>
  <c r="M115" i="11"/>
  <c r="M116" i="11"/>
  <c r="M117" i="11"/>
  <c r="M118" i="11"/>
  <c r="M119" i="11"/>
  <c r="M120" i="11"/>
  <c r="M121" i="11"/>
  <c r="M122" i="11"/>
  <c r="M123" i="11"/>
  <c r="M124" i="11"/>
  <c r="M125" i="11"/>
  <c r="M126" i="11"/>
  <c r="M127" i="11"/>
  <c r="M128" i="11"/>
  <c r="M129" i="11"/>
  <c r="M130" i="11"/>
  <c r="M131" i="11"/>
  <c r="M132" i="11"/>
  <c r="M133" i="11"/>
  <c r="M134" i="11"/>
  <c r="M135" i="11"/>
  <c r="M136" i="11"/>
  <c r="M137" i="11"/>
  <c r="M138" i="11"/>
  <c r="M139" i="11"/>
  <c r="M140" i="11"/>
  <c r="M141" i="11"/>
  <c r="M142" i="11"/>
  <c r="M143" i="11"/>
  <c r="M144" i="11"/>
  <c r="M145" i="11"/>
  <c r="M146" i="11"/>
  <c r="M147" i="11"/>
  <c r="M148" i="11"/>
  <c r="M149" i="11"/>
  <c r="M150" i="11"/>
  <c r="M151" i="11"/>
  <c r="M152" i="11"/>
  <c r="M153" i="11"/>
  <c r="M154" i="11"/>
  <c r="M155" i="11"/>
  <c r="M156" i="11"/>
  <c r="M157" i="11"/>
  <c r="M158" i="11"/>
  <c r="M159" i="11"/>
  <c r="M160" i="11"/>
  <c r="M161" i="11"/>
  <c r="M162" i="11"/>
  <c r="M163" i="11"/>
  <c r="M164" i="11"/>
  <c r="M165" i="11"/>
  <c r="M166" i="11"/>
  <c r="M167" i="11"/>
  <c r="M168" i="11"/>
  <c r="M169" i="11"/>
  <c r="M170" i="11"/>
  <c r="M171" i="11"/>
  <c r="M172" i="11"/>
  <c r="M173" i="11"/>
  <c r="M174" i="11"/>
  <c r="M175" i="11"/>
  <c r="M176" i="11"/>
  <c r="M177" i="11"/>
  <c r="M178" i="11"/>
  <c r="M179" i="11"/>
  <c r="M180" i="11"/>
  <c r="M181" i="11"/>
  <c r="M182" i="11"/>
  <c r="M183" i="11"/>
  <c r="M184" i="11"/>
  <c r="M185" i="11"/>
  <c r="M186" i="11"/>
  <c r="M187" i="11"/>
  <c r="M188" i="11"/>
  <c r="M189" i="11"/>
  <c r="M190" i="11"/>
  <c r="M191" i="11"/>
  <c r="M192" i="11"/>
  <c r="M193" i="11"/>
  <c r="M194" i="11"/>
  <c r="M195" i="11"/>
  <c r="M196" i="11"/>
  <c r="M197" i="11"/>
  <c r="M198" i="11"/>
  <c r="M199" i="11"/>
  <c r="M200" i="11"/>
  <c r="M201" i="11"/>
  <c r="M202" i="11"/>
  <c r="M203" i="11"/>
  <c r="M204" i="11"/>
  <c r="M205" i="11"/>
  <c r="M206" i="11"/>
  <c r="M207" i="11"/>
  <c r="M208" i="11"/>
  <c r="M209" i="11"/>
  <c r="M210" i="11"/>
  <c r="M211" i="11"/>
  <c r="M212" i="11"/>
  <c r="M213" i="11"/>
  <c r="M214" i="11"/>
  <c r="M215" i="11"/>
  <c r="M216" i="11"/>
  <c r="M217" i="11"/>
  <c r="M218" i="11"/>
  <c r="M219" i="11"/>
  <c r="M220" i="11"/>
  <c r="M221" i="11"/>
  <c r="M222" i="11"/>
  <c r="M223" i="11"/>
  <c r="M224" i="11"/>
  <c r="M225" i="11"/>
  <c r="M226" i="11"/>
  <c r="M227" i="11"/>
  <c r="M228" i="11"/>
  <c r="M229" i="11"/>
  <c r="M230" i="11"/>
  <c r="M231" i="11"/>
  <c r="M232" i="11"/>
  <c r="M233" i="11"/>
  <c r="M234" i="11"/>
  <c r="M235" i="11"/>
  <c r="M236" i="11"/>
  <c r="M237" i="11"/>
  <c r="M238" i="11"/>
  <c r="M239" i="11"/>
  <c r="M240" i="11"/>
  <c r="M241" i="11"/>
  <c r="M242" i="11"/>
  <c r="M3" i="11"/>
  <c r="E3" i="6" a="1"/>
  <c r="E3" i="11" a="1"/>
  <c r="E3" i="1" a="1"/>
  <c r="E3" i="5" a="1"/>
  <c r="J4" i="11" l="1"/>
  <c r="K9" i="11"/>
  <c r="L14" i="11"/>
  <c r="J20" i="11"/>
  <c r="K25" i="11"/>
  <c r="L30" i="11"/>
  <c r="J36" i="11"/>
  <c r="K41" i="11"/>
  <c r="L46" i="11"/>
  <c r="J52" i="11"/>
  <c r="K57" i="11"/>
  <c r="L62" i="11"/>
  <c r="J68" i="11"/>
  <c r="K73" i="11"/>
  <c r="L78" i="11"/>
  <c r="J84" i="11"/>
  <c r="K89" i="11"/>
  <c r="L94" i="11"/>
  <c r="J100" i="11"/>
  <c r="K105" i="11"/>
  <c r="L110" i="11"/>
  <c r="J116" i="11"/>
  <c r="K121" i="11"/>
  <c r="L126" i="11"/>
  <c r="J132" i="11"/>
  <c r="K137" i="11"/>
  <c r="L142" i="11"/>
  <c r="J148" i="11"/>
  <c r="K153" i="11"/>
  <c r="L158" i="11"/>
  <c r="J164" i="11"/>
  <c r="K169" i="11"/>
  <c r="L174" i="11"/>
  <c r="J180" i="11"/>
  <c r="K185" i="11"/>
  <c r="L190" i="11"/>
  <c r="J196" i="11"/>
  <c r="K201" i="11"/>
  <c r="L206" i="11"/>
  <c r="J212" i="11"/>
  <c r="K217" i="11"/>
  <c r="L222" i="11"/>
  <c r="J228" i="11"/>
  <c r="K233" i="11"/>
  <c r="L238" i="11"/>
  <c r="J202" i="11"/>
  <c r="J218" i="11"/>
  <c r="J234" i="11"/>
  <c r="L223" i="11"/>
  <c r="K234" i="11"/>
  <c r="J224" i="11"/>
  <c r="L234" i="11"/>
  <c r="J235" i="11"/>
  <c r="L241" i="11"/>
  <c r="L188" i="11"/>
  <c r="J242" i="11"/>
  <c r="J237" i="11"/>
  <c r="K237" i="11"/>
  <c r="K211" i="11"/>
  <c r="L67" i="11"/>
  <c r="L115" i="11"/>
  <c r="K174" i="11"/>
  <c r="L211" i="11"/>
  <c r="K4" i="11"/>
  <c r="L9" i="11"/>
  <c r="J15" i="11"/>
  <c r="K20" i="11"/>
  <c r="L25" i="11"/>
  <c r="J31" i="11"/>
  <c r="K36" i="11"/>
  <c r="L41" i="11"/>
  <c r="J47" i="11"/>
  <c r="K52" i="11"/>
  <c r="L57" i="11"/>
  <c r="J63" i="11"/>
  <c r="K68" i="11"/>
  <c r="L73" i="11"/>
  <c r="J79" i="11"/>
  <c r="K84" i="11"/>
  <c r="L89" i="11"/>
  <c r="J95" i="11"/>
  <c r="K100" i="11"/>
  <c r="L105" i="11"/>
  <c r="J111" i="11"/>
  <c r="K116" i="11"/>
  <c r="L121" i="11"/>
  <c r="J127" i="11"/>
  <c r="K132" i="11"/>
  <c r="L137" i="11"/>
  <c r="J143" i="11"/>
  <c r="K148" i="11"/>
  <c r="L153" i="11"/>
  <c r="J159" i="11"/>
  <c r="K164" i="11"/>
  <c r="L169" i="11"/>
  <c r="J175" i="11"/>
  <c r="K180" i="11"/>
  <c r="L185" i="11"/>
  <c r="J191" i="11"/>
  <c r="K196" i="11"/>
  <c r="L201" i="11"/>
  <c r="J207" i="11"/>
  <c r="K212" i="11"/>
  <c r="L217" i="11"/>
  <c r="J223" i="11"/>
  <c r="K228" i="11"/>
  <c r="L233" i="11"/>
  <c r="J239" i="11"/>
  <c r="L196" i="11"/>
  <c r="L212" i="11"/>
  <c r="K223" i="11"/>
  <c r="L228" i="11"/>
  <c r="K239" i="11"/>
  <c r="J213" i="11"/>
  <c r="J229" i="11"/>
  <c r="L239" i="11"/>
  <c r="K229" i="11"/>
  <c r="L229" i="11"/>
  <c r="L225" i="11"/>
  <c r="J178" i="11"/>
  <c r="K242" i="11"/>
  <c r="K221" i="11"/>
  <c r="J222" i="11"/>
  <c r="K46" i="11"/>
  <c r="K142" i="11"/>
  <c r="J217" i="11"/>
  <c r="L4" i="11"/>
  <c r="J10" i="11"/>
  <c r="K15" i="11"/>
  <c r="L20" i="11"/>
  <c r="J26" i="11"/>
  <c r="K31" i="11"/>
  <c r="L36" i="11"/>
  <c r="J42" i="11"/>
  <c r="K47" i="11"/>
  <c r="L52" i="11"/>
  <c r="J58" i="11"/>
  <c r="K63" i="11"/>
  <c r="L68" i="11"/>
  <c r="J74" i="11"/>
  <c r="K79" i="11"/>
  <c r="L84" i="11"/>
  <c r="J90" i="11"/>
  <c r="K95" i="11"/>
  <c r="L100" i="11"/>
  <c r="J106" i="11"/>
  <c r="K111" i="11"/>
  <c r="L116" i="11"/>
  <c r="J122" i="11"/>
  <c r="K127" i="11"/>
  <c r="L132" i="11"/>
  <c r="J138" i="11"/>
  <c r="K143" i="11"/>
  <c r="L148" i="11"/>
  <c r="J154" i="11"/>
  <c r="K159" i="11"/>
  <c r="L164" i="11"/>
  <c r="J170" i="11"/>
  <c r="K175" i="11"/>
  <c r="L180" i="11"/>
  <c r="J186" i="11"/>
  <c r="K191" i="11"/>
  <c r="K207" i="11"/>
  <c r="J231" i="11"/>
  <c r="K215" i="11"/>
  <c r="J221" i="11"/>
  <c r="K216" i="11"/>
  <c r="L3" i="11"/>
  <c r="L51" i="11"/>
  <c r="L99" i="11"/>
  <c r="J201" i="11"/>
  <c r="J5" i="11"/>
  <c r="K10" i="11"/>
  <c r="L15" i="11"/>
  <c r="J21" i="11"/>
  <c r="K26" i="11"/>
  <c r="L31" i="11"/>
  <c r="J37" i="11"/>
  <c r="K42" i="11"/>
  <c r="L47" i="11"/>
  <c r="J53" i="11"/>
  <c r="K58" i="11"/>
  <c r="L63" i="11"/>
  <c r="J69" i="11"/>
  <c r="K74" i="11"/>
  <c r="L79" i="11"/>
  <c r="J85" i="11"/>
  <c r="K90" i="11"/>
  <c r="L95" i="11"/>
  <c r="J101" i="11"/>
  <c r="K106" i="11"/>
  <c r="L111" i="11"/>
  <c r="J117" i="11"/>
  <c r="K122" i="11"/>
  <c r="L127" i="11"/>
  <c r="J133" i="11"/>
  <c r="K138" i="11"/>
  <c r="L143" i="11"/>
  <c r="J149" i="11"/>
  <c r="K154" i="11"/>
  <c r="L159" i="11"/>
  <c r="J165" i="11"/>
  <c r="K170" i="11"/>
  <c r="L175" i="11"/>
  <c r="J181" i="11"/>
  <c r="K186" i="11"/>
  <c r="L191" i="11"/>
  <c r="J197" i="11"/>
  <c r="K202" i="11"/>
  <c r="L207" i="11"/>
  <c r="K218" i="11"/>
  <c r="K236" i="11"/>
  <c r="J194" i="11"/>
  <c r="L231" i="11"/>
  <c r="K200" i="11"/>
  <c r="K14" i="11"/>
  <c r="L131" i="11"/>
  <c r="J3" i="11"/>
  <c r="K5" i="11"/>
  <c r="L10" i="11"/>
  <c r="J16" i="11"/>
  <c r="K21" i="11"/>
  <c r="L26" i="11"/>
  <c r="J32" i="11"/>
  <c r="K37" i="11"/>
  <c r="L42" i="11"/>
  <c r="J48" i="11"/>
  <c r="K53" i="11"/>
  <c r="L58" i="11"/>
  <c r="J64" i="11"/>
  <c r="K69" i="11"/>
  <c r="L74" i="11"/>
  <c r="J80" i="11"/>
  <c r="K85" i="11"/>
  <c r="L90" i="11"/>
  <c r="J96" i="11"/>
  <c r="K101" i="11"/>
  <c r="L106" i="11"/>
  <c r="J112" i="11"/>
  <c r="K117" i="11"/>
  <c r="L122" i="11"/>
  <c r="J128" i="11"/>
  <c r="K133" i="11"/>
  <c r="L138" i="11"/>
  <c r="J144" i="11"/>
  <c r="K149" i="11"/>
  <c r="L154" i="11"/>
  <c r="J160" i="11"/>
  <c r="K165" i="11"/>
  <c r="L170" i="11"/>
  <c r="J176" i="11"/>
  <c r="K181" i="11"/>
  <c r="L186" i="11"/>
  <c r="J192" i="11"/>
  <c r="K197" i="11"/>
  <c r="L202" i="11"/>
  <c r="J208" i="11"/>
  <c r="K213" i="11"/>
  <c r="L218" i="11"/>
  <c r="J240" i="11"/>
  <c r="L172" i="11"/>
  <c r="J216" i="11"/>
  <c r="L237" i="11"/>
  <c r="L19" i="11"/>
  <c r="J137" i="11"/>
  <c r="L5" i="11"/>
  <c r="J11" i="11"/>
  <c r="K16" i="11"/>
  <c r="L21" i="11"/>
  <c r="J27" i="11"/>
  <c r="K32" i="11"/>
  <c r="L37" i="11"/>
  <c r="J43" i="11"/>
  <c r="K48" i="11"/>
  <c r="L53" i="11"/>
  <c r="J59" i="11"/>
  <c r="K64" i="11"/>
  <c r="L69" i="11"/>
  <c r="J75" i="11"/>
  <c r="K80" i="11"/>
  <c r="L85" i="11"/>
  <c r="J91" i="11"/>
  <c r="K96" i="11"/>
  <c r="L101" i="11"/>
  <c r="J107" i="11"/>
  <c r="K112" i="11"/>
  <c r="L117" i="11"/>
  <c r="J123" i="11"/>
  <c r="K128" i="11"/>
  <c r="L133" i="11"/>
  <c r="J139" i="11"/>
  <c r="K144" i="11"/>
  <c r="L149" i="11"/>
  <c r="J155" i="11"/>
  <c r="K160" i="11"/>
  <c r="L165" i="11"/>
  <c r="J171" i="11"/>
  <c r="K176" i="11"/>
  <c r="L181" i="11"/>
  <c r="J187" i="11"/>
  <c r="K192" i="11"/>
  <c r="L197" i="11"/>
  <c r="J203" i="11"/>
  <c r="K208" i="11"/>
  <c r="L213" i="11"/>
  <c r="J219" i="11"/>
  <c r="K224" i="11"/>
  <c r="K240" i="11"/>
  <c r="J226" i="11"/>
  <c r="L199" i="11"/>
  <c r="K3" i="11"/>
  <c r="K30" i="11"/>
  <c r="L163" i="11"/>
  <c r="J6" i="11"/>
  <c r="K11" i="11"/>
  <c r="L16" i="11"/>
  <c r="J22" i="11"/>
  <c r="K27" i="11"/>
  <c r="L32" i="11"/>
  <c r="J38" i="11"/>
  <c r="K43" i="11"/>
  <c r="L48" i="11"/>
  <c r="J54" i="11"/>
  <c r="K59" i="11"/>
  <c r="L64" i="11"/>
  <c r="J70" i="11"/>
  <c r="K75" i="11"/>
  <c r="L80" i="11"/>
  <c r="J86" i="11"/>
  <c r="K91" i="11"/>
  <c r="L96" i="11"/>
  <c r="J102" i="11"/>
  <c r="K107" i="11"/>
  <c r="L112" i="11"/>
  <c r="J118" i="11"/>
  <c r="K123" i="11"/>
  <c r="L128" i="11"/>
  <c r="J134" i="11"/>
  <c r="K139" i="11"/>
  <c r="L144" i="11"/>
  <c r="J150" i="11"/>
  <c r="K155" i="11"/>
  <c r="L160" i="11"/>
  <c r="J166" i="11"/>
  <c r="K171" i="11"/>
  <c r="L176" i="11"/>
  <c r="J182" i="11"/>
  <c r="K187" i="11"/>
  <c r="L192" i="11"/>
  <c r="J198" i="11"/>
  <c r="K203" i="11"/>
  <c r="L208" i="11"/>
  <c r="J214" i="11"/>
  <c r="K219" i="11"/>
  <c r="L224" i="11"/>
  <c r="J230" i="11"/>
  <c r="K235" i="11"/>
  <c r="L240" i="11"/>
  <c r="L209" i="11"/>
  <c r="K199" i="11"/>
  <c r="J205" i="11"/>
  <c r="L221" i="11"/>
  <c r="J25" i="11"/>
  <c r="J169" i="11"/>
  <c r="K6" i="11"/>
  <c r="L11" i="11"/>
  <c r="J17" i="11"/>
  <c r="K22" i="11"/>
  <c r="L27" i="11"/>
  <c r="J33" i="11"/>
  <c r="K38" i="11"/>
  <c r="L43" i="11"/>
  <c r="J49" i="11"/>
  <c r="K54" i="11"/>
  <c r="L59" i="11"/>
  <c r="J65" i="11"/>
  <c r="K70" i="11"/>
  <c r="L75" i="11"/>
  <c r="J81" i="11"/>
  <c r="K86" i="11"/>
  <c r="L91" i="11"/>
  <c r="J97" i="11"/>
  <c r="K102" i="11"/>
  <c r="L107" i="11"/>
  <c r="J113" i="11"/>
  <c r="K118" i="11"/>
  <c r="L123" i="11"/>
  <c r="J129" i="11"/>
  <c r="K134" i="11"/>
  <c r="L139" i="11"/>
  <c r="J145" i="11"/>
  <c r="K150" i="11"/>
  <c r="L155" i="11"/>
  <c r="J161" i="11"/>
  <c r="K166" i="11"/>
  <c r="L171" i="11"/>
  <c r="J177" i="11"/>
  <c r="K182" i="11"/>
  <c r="L187" i="11"/>
  <c r="J193" i="11"/>
  <c r="K198" i="11"/>
  <c r="L203" i="11"/>
  <c r="J209" i="11"/>
  <c r="K214" i="11"/>
  <c r="L219" i="11"/>
  <c r="J225" i="11"/>
  <c r="K230" i="11"/>
  <c r="L235" i="11"/>
  <c r="J241" i="11"/>
  <c r="L198" i="11"/>
  <c r="K209" i="11"/>
  <c r="K225" i="11"/>
  <c r="K241" i="11"/>
  <c r="J215" i="11"/>
  <c r="K183" i="11"/>
  <c r="K226" i="11"/>
  <c r="L242" i="11"/>
  <c r="J227" i="11"/>
  <c r="L232" i="11"/>
  <c r="J41" i="11"/>
  <c r="K158" i="11"/>
  <c r="L227" i="11"/>
  <c r="L6" i="11"/>
  <c r="J12" i="11"/>
  <c r="K17" i="11"/>
  <c r="L22" i="11"/>
  <c r="J28" i="11"/>
  <c r="K33" i="11"/>
  <c r="L38" i="11"/>
  <c r="J44" i="11"/>
  <c r="K49" i="11"/>
  <c r="L54" i="11"/>
  <c r="J60" i="11"/>
  <c r="K65" i="11"/>
  <c r="L70" i="11"/>
  <c r="J76" i="11"/>
  <c r="K81" i="11"/>
  <c r="L86" i="11"/>
  <c r="J92" i="11"/>
  <c r="K97" i="11"/>
  <c r="L102" i="11"/>
  <c r="J108" i="11"/>
  <c r="K113" i="11"/>
  <c r="L118" i="11"/>
  <c r="J124" i="11"/>
  <c r="K129" i="11"/>
  <c r="L134" i="11"/>
  <c r="J140" i="11"/>
  <c r="K145" i="11"/>
  <c r="L150" i="11"/>
  <c r="J156" i="11"/>
  <c r="K161" i="11"/>
  <c r="L166" i="11"/>
  <c r="J172" i="11"/>
  <c r="K177" i="11"/>
  <c r="L182" i="11"/>
  <c r="J188" i="11"/>
  <c r="K193" i="11"/>
  <c r="J204" i="11"/>
  <c r="L214" i="11"/>
  <c r="J220" i="11"/>
  <c r="L230" i="11"/>
  <c r="J236" i="11"/>
  <c r="K204" i="11"/>
  <c r="L204" i="11"/>
  <c r="K231" i="11"/>
  <c r="L215" i="11"/>
  <c r="J232" i="11"/>
  <c r="L216" i="11"/>
  <c r="K62" i="11"/>
  <c r="K110" i="11"/>
  <c r="L179" i="11"/>
  <c r="J233" i="11"/>
  <c r="J7" i="11"/>
  <c r="K12" i="11"/>
  <c r="L17" i="11"/>
  <c r="J23" i="11"/>
  <c r="K28" i="11"/>
  <c r="L33" i="11"/>
  <c r="J39" i="11"/>
  <c r="K44" i="11"/>
  <c r="L49" i="11"/>
  <c r="J55" i="11"/>
  <c r="K60" i="11"/>
  <c r="L65" i="11"/>
  <c r="J71" i="11"/>
  <c r="K76" i="11"/>
  <c r="L81" i="11"/>
  <c r="J87" i="11"/>
  <c r="K92" i="11"/>
  <c r="L97" i="11"/>
  <c r="J103" i="11"/>
  <c r="K108" i="11"/>
  <c r="L113" i="11"/>
  <c r="J119" i="11"/>
  <c r="K124" i="11"/>
  <c r="L129" i="11"/>
  <c r="J135" i="11"/>
  <c r="K140" i="11"/>
  <c r="L145" i="11"/>
  <c r="J151" i="11"/>
  <c r="K156" i="11"/>
  <c r="L161" i="11"/>
  <c r="J167" i="11"/>
  <c r="K172" i="11"/>
  <c r="L177" i="11"/>
  <c r="J183" i="11"/>
  <c r="K188" i="11"/>
  <c r="L193" i="11"/>
  <c r="J199" i="11"/>
  <c r="K220" i="11"/>
  <c r="J210" i="11"/>
  <c r="L236" i="11"/>
  <c r="L210" i="11"/>
  <c r="L200" i="11"/>
  <c r="J73" i="11"/>
  <c r="J121" i="11"/>
  <c r="L195" i="11"/>
  <c r="K7" i="11"/>
  <c r="L12" i="11"/>
  <c r="J18" i="11"/>
  <c r="K23" i="11"/>
  <c r="L28" i="11"/>
  <c r="J34" i="11"/>
  <c r="K39" i="11"/>
  <c r="L44" i="11"/>
  <c r="J50" i="11"/>
  <c r="K55" i="11"/>
  <c r="L60" i="11"/>
  <c r="J66" i="11"/>
  <c r="K71" i="11"/>
  <c r="L76" i="11"/>
  <c r="J82" i="11"/>
  <c r="K87" i="11"/>
  <c r="L92" i="11"/>
  <c r="J98" i="11"/>
  <c r="K103" i="11"/>
  <c r="L108" i="11"/>
  <c r="J114" i="11"/>
  <c r="K119" i="11"/>
  <c r="L124" i="11"/>
  <c r="J130" i="11"/>
  <c r="K135" i="11"/>
  <c r="L140" i="11"/>
  <c r="J146" i="11"/>
  <c r="K151" i="11"/>
  <c r="L156" i="11"/>
  <c r="J162" i="11"/>
  <c r="K167" i="11"/>
  <c r="L220" i="11"/>
  <c r="L226" i="11"/>
  <c r="J206" i="11"/>
  <c r="K78" i="11"/>
  <c r="J89" i="11"/>
  <c r="J153" i="11"/>
  <c r="K238" i="11"/>
  <c r="L7" i="11"/>
  <c r="J13" i="11"/>
  <c r="K18" i="11"/>
  <c r="L23" i="11"/>
  <c r="J29" i="11"/>
  <c r="K34" i="11"/>
  <c r="L39" i="11"/>
  <c r="J45" i="11"/>
  <c r="K50" i="11"/>
  <c r="L55" i="11"/>
  <c r="J61" i="11"/>
  <c r="K66" i="11"/>
  <c r="L71" i="11"/>
  <c r="J77" i="11"/>
  <c r="K82" i="11"/>
  <c r="L87" i="11"/>
  <c r="J93" i="11"/>
  <c r="K98" i="11"/>
  <c r="L103" i="11"/>
  <c r="J109" i="11"/>
  <c r="K114" i="11"/>
  <c r="L119" i="11"/>
  <c r="J125" i="11"/>
  <c r="K130" i="11"/>
  <c r="L135" i="11"/>
  <c r="J141" i="11"/>
  <c r="K146" i="11"/>
  <c r="L151" i="11"/>
  <c r="J157" i="11"/>
  <c r="K162" i="11"/>
  <c r="L167" i="11"/>
  <c r="J173" i="11"/>
  <c r="K178" i="11"/>
  <c r="L183" i="11"/>
  <c r="J189" i="11"/>
  <c r="K194" i="11"/>
  <c r="K210" i="11"/>
  <c r="J211" i="11"/>
  <c r="J238" i="11"/>
  <c r="J57" i="11"/>
  <c r="K94" i="11"/>
  <c r="K190" i="11"/>
  <c r="J8" i="11"/>
  <c r="K13" i="11"/>
  <c r="L18" i="11"/>
  <c r="J24" i="11"/>
  <c r="K29" i="11"/>
  <c r="L34" i="11"/>
  <c r="J40" i="11"/>
  <c r="K45" i="11"/>
  <c r="L50" i="11"/>
  <c r="J56" i="11"/>
  <c r="K61" i="11"/>
  <c r="L66" i="11"/>
  <c r="J72" i="11"/>
  <c r="K77" i="11"/>
  <c r="L82" i="11"/>
  <c r="J88" i="11"/>
  <c r="K93" i="11"/>
  <c r="L98" i="11"/>
  <c r="J104" i="11"/>
  <c r="K109" i="11"/>
  <c r="L114" i="11"/>
  <c r="J120" i="11"/>
  <c r="K125" i="11"/>
  <c r="L130" i="11"/>
  <c r="J136" i="11"/>
  <c r="K141" i="11"/>
  <c r="L146" i="11"/>
  <c r="J152" i="11"/>
  <c r="K157" i="11"/>
  <c r="L162" i="11"/>
  <c r="J168" i="11"/>
  <c r="K173" i="11"/>
  <c r="L178" i="11"/>
  <c r="J184" i="11"/>
  <c r="K189" i="11"/>
  <c r="L194" i="11"/>
  <c r="J200" i="11"/>
  <c r="K205" i="11"/>
  <c r="K232" i="11"/>
  <c r="L35" i="11"/>
  <c r="K126" i="11"/>
  <c r="K206" i="11"/>
  <c r="K8" i="11"/>
  <c r="L13" i="11"/>
  <c r="J19" i="11"/>
  <c r="K24" i="11"/>
  <c r="L29" i="11"/>
  <c r="J35" i="11"/>
  <c r="K40" i="11"/>
  <c r="L45" i="11"/>
  <c r="J51" i="11"/>
  <c r="K56" i="11"/>
  <c r="L61" i="11"/>
  <c r="J67" i="11"/>
  <c r="K72" i="11"/>
  <c r="L77" i="11"/>
  <c r="J83" i="11"/>
  <c r="K88" i="11"/>
  <c r="L93" i="11"/>
  <c r="J99" i="11"/>
  <c r="K104" i="11"/>
  <c r="L109" i="11"/>
  <c r="J115" i="11"/>
  <c r="K120" i="11"/>
  <c r="L125" i="11"/>
  <c r="J131" i="11"/>
  <c r="K136" i="11"/>
  <c r="L141" i="11"/>
  <c r="J147" i="11"/>
  <c r="K152" i="11"/>
  <c r="L157" i="11"/>
  <c r="J163" i="11"/>
  <c r="K168" i="11"/>
  <c r="L173" i="11"/>
  <c r="J179" i="11"/>
  <c r="K184" i="11"/>
  <c r="L189" i="11"/>
  <c r="J195" i="11"/>
  <c r="L205" i="11"/>
  <c r="J9" i="11"/>
  <c r="L147" i="11"/>
  <c r="L8" i="11"/>
  <c r="J14" i="11"/>
  <c r="K19" i="11"/>
  <c r="L24" i="11"/>
  <c r="J30" i="11"/>
  <c r="K35" i="11"/>
  <c r="L40" i="11"/>
  <c r="J46" i="11"/>
  <c r="K51" i="11"/>
  <c r="L56" i="11"/>
  <c r="J62" i="11"/>
  <c r="K67" i="11"/>
  <c r="L72" i="11"/>
  <c r="J78" i="11"/>
  <c r="K83" i="11"/>
  <c r="L88" i="11"/>
  <c r="J94" i="11"/>
  <c r="K99" i="11"/>
  <c r="L104" i="11"/>
  <c r="J110" i="11"/>
  <c r="K115" i="11"/>
  <c r="L120" i="11"/>
  <c r="J126" i="11"/>
  <c r="K131" i="11"/>
  <c r="L136" i="11"/>
  <c r="J142" i="11"/>
  <c r="K147" i="11"/>
  <c r="L152" i="11"/>
  <c r="J158" i="11"/>
  <c r="K163" i="11"/>
  <c r="L168" i="11"/>
  <c r="J174" i="11"/>
  <c r="K179" i="11"/>
  <c r="L184" i="11"/>
  <c r="J190" i="11"/>
  <c r="K195" i="11"/>
  <c r="K227" i="11"/>
  <c r="L83" i="11"/>
  <c r="J105" i="11"/>
  <c r="J185" i="11"/>
  <c r="K222" i="11"/>
  <c r="E3" i="6"/>
  <c r="E3" i="5"/>
  <c r="S242" i="11"/>
  <c r="Q237" i="11"/>
  <c r="P232" i="11"/>
  <c r="S226" i="11"/>
  <c r="Q221" i="11"/>
  <c r="P216" i="11"/>
  <c r="S210" i="11"/>
  <c r="Q205" i="11"/>
  <c r="P200" i="11"/>
  <c r="S194" i="11"/>
  <c r="Q189" i="11"/>
  <c r="P184" i="11"/>
  <c r="S178" i="11"/>
  <c r="Q173" i="11"/>
  <c r="P168" i="11"/>
  <c r="S162" i="11"/>
  <c r="Q157" i="11"/>
  <c r="P152" i="11"/>
  <c r="S146" i="11"/>
  <c r="Q141" i="11"/>
  <c r="P136" i="11"/>
  <c r="S130" i="11"/>
  <c r="Q125" i="11"/>
  <c r="P120" i="11"/>
  <c r="S114" i="11"/>
  <c r="Q109" i="11"/>
  <c r="P104" i="11"/>
  <c r="S98" i="11"/>
  <c r="Q93" i="11"/>
  <c r="P88" i="11"/>
  <c r="S82" i="11"/>
  <c r="Q77" i="11"/>
  <c r="P72" i="11"/>
  <c r="S66" i="11"/>
  <c r="Q61" i="11"/>
  <c r="P56" i="11"/>
  <c r="S50" i="11"/>
  <c r="Q45" i="11"/>
  <c r="P40" i="11"/>
  <c r="S34" i="11"/>
  <c r="Q29" i="11"/>
  <c r="P24" i="11"/>
  <c r="S18" i="11"/>
  <c r="Q13" i="11"/>
  <c r="P8" i="11"/>
  <c r="E3" i="11"/>
  <c r="S3" i="11" s="1"/>
  <c r="P11" i="11"/>
  <c r="Q42" i="11"/>
  <c r="P31" i="11"/>
  <c r="S9" i="11"/>
  <c r="S35" i="11"/>
  <c r="P174" i="11"/>
  <c r="P142" i="11"/>
  <c r="Q83" i="11"/>
  <c r="Q3" i="11"/>
  <c r="S173" i="11"/>
  <c r="P115" i="11"/>
  <c r="Q72" i="11"/>
  <c r="P3" i="11"/>
  <c r="Q242" i="11"/>
  <c r="P237" i="11"/>
  <c r="S231" i="11"/>
  <c r="Q226" i="11"/>
  <c r="P221" i="11"/>
  <c r="S215" i="11"/>
  <c r="Q210" i="11"/>
  <c r="P205" i="11"/>
  <c r="S199" i="11"/>
  <c r="Q194" i="11"/>
  <c r="P189" i="11"/>
  <c r="S183" i="11"/>
  <c r="Q178" i="11"/>
  <c r="P173" i="11"/>
  <c r="S167" i="11"/>
  <c r="Q162" i="11"/>
  <c r="P157" i="11"/>
  <c r="S151" i="11"/>
  <c r="Q146" i="11"/>
  <c r="P141" i="11"/>
  <c r="S135" i="11"/>
  <c r="Q130" i="11"/>
  <c r="P125" i="11"/>
  <c r="S119" i="11"/>
  <c r="Q114" i="11"/>
  <c r="P109" i="11"/>
  <c r="S103" i="11"/>
  <c r="Q98" i="11"/>
  <c r="P93" i="11"/>
  <c r="S87" i="11"/>
  <c r="Q82" i="11"/>
  <c r="P77" i="11"/>
  <c r="S71" i="11"/>
  <c r="Q66" i="11"/>
  <c r="P61" i="11"/>
  <c r="S55" i="11"/>
  <c r="Q50" i="11"/>
  <c r="P45" i="11"/>
  <c r="S39" i="11"/>
  <c r="Q34" i="11"/>
  <c r="P29" i="11"/>
  <c r="S23" i="11"/>
  <c r="Q18" i="11"/>
  <c r="P13" i="11"/>
  <c r="S7" i="11"/>
  <c r="Q179" i="11"/>
  <c r="S152" i="11"/>
  <c r="Q115" i="11"/>
  <c r="Q51" i="11"/>
  <c r="S221" i="11"/>
  <c r="Q104" i="11"/>
  <c r="S13" i="11"/>
  <c r="P242" i="11"/>
  <c r="S236" i="11"/>
  <c r="Q231" i="11"/>
  <c r="P226" i="11"/>
  <c r="S220" i="11"/>
  <c r="Q215" i="11"/>
  <c r="P210" i="11"/>
  <c r="S204" i="11"/>
  <c r="Q199" i="11"/>
  <c r="P194" i="11"/>
  <c r="S188" i="11"/>
  <c r="Q183" i="11"/>
  <c r="P178" i="11"/>
  <c r="S172" i="11"/>
  <c r="Q167" i="11"/>
  <c r="P162" i="11"/>
  <c r="S156" i="11"/>
  <c r="Q151" i="11"/>
  <c r="P146" i="11"/>
  <c r="S140" i="11"/>
  <c r="Q135" i="11"/>
  <c r="P130" i="11"/>
  <c r="S124" i="11"/>
  <c r="Q119" i="11"/>
  <c r="P114" i="11"/>
  <c r="S108" i="11"/>
  <c r="Q103" i="11"/>
  <c r="P98" i="11"/>
  <c r="S92" i="11"/>
  <c r="Q87" i="11"/>
  <c r="P82" i="11"/>
  <c r="S76" i="11"/>
  <c r="Q71" i="11"/>
  <c r="P66" i="11"/>
  <c r="S60" i="11"/>
  <c r="Q55" i="11"/>
  <c r="P50" i="11"/>
  <c r="S44" i="11"/>
  <c r="Q39" i="11"/>
  <c r="P34" i="11"/>
  <c r="S28" i="11"/>
  <c r="Q23" i="11"/>
  <c r="P18" i="11"/>
  <c r="S12" i="11"/>
  <c r="Q7" i="11"/>
  <c r="P9" i="11"/>
  <c r="Q195" i="11"/>
  <c r="S88" i="11"/>
  <c r="S8" i="11"/>
  <c r="P195" i="11"/>
  <c r="S157" i="11"/>
  <c r="Q88" i="11"/>
  <c r="Q8" i="11"/>
  <c r="S241" i="11"/>
  <c r="Q236" i="11"/>
  <c r="P231" i="11"/>
  <c r="S225" i="11"/>
  <c r="Q220" i="11"/>
  <c r="P215" i="11"/>
  <c r="S209" i="11"/>
  <c r="Q204" i="11"/>
  <c r="P199" i="11"/>
  <c r="S193" i="11"/>
  <c r="Q188" i="11"/>
  <c r="P183" i="11"/>
  <c r="S177" i="11"/>
  <c r="Q172" i="11"/>
  <c r="P167" i="11"/>
  <c r="S161" i="11"/>
  <c r="Q156" i="11"/>
  <c r="P151" i="11"/>
  <c r="S145" i="11"/>
  <c r="Q140" i="11"/>
  <c r="P135" i="11"/>
  <c r="S129" i="11"/>
  <c r="Q124" i="11"/>
  <c r="P119" i="11"/>
  <c r="S113" i="11"/>
  <c r="Q108" i="11"/>
  <c r="P103" i="11"/>
  <c r="S97" i="11"/>
  <c r="Q92" i="11"/>
  <c r="P87" i="11"/>
  <c r="S81" i="11"/>
  <c r="Q76" i="11"/>
  <c r="P71" i="11"/>
  <c r="S65" i="11"/>
  <c r="Q60" i="11"/>
  <c r="P55" i="11"/>
  <c r="S49" i="11"/>
  <c r="Q44" i="11"/>
  <c r="P39" i="11"/>
  <c r="S33" i="11"/>
  <c r="Q28" i="11"/>
  <c r="P23" i="11"/>
  <c r="S17" i="11"/>
  <c r="Q12" i="11"/>
  <c r="P7" i="11"/>
  <c r="Q14" i="11"/>
  <c r="S216" i="11"/>
  <c r="P78" i="11"/>
  <c r="P179" i="11"/>
  <c r="P147" i="11"/>
  <c r="P83" i="11"/>
  <c r="P19" i="11"/>
  <c r="Q241" i="11"/>
  <c r="P236" i="11"/>
  <c r="S230" i="11"/>
  <c r="Q225" i="11"/>
  <c r="P220" i="11"/>
  <c r="S214" i="11"/>
  <c r="Q209" i="11"/>
  <c r="P204" i="11"/>
  <c r="S198" i="11"/>
  <c r="Q193" i="11"/>
  <c r="P188" i="11"/>
  <c r="S182" i="11"/>
  <c r="Q177" i="11"/>
  <c r="P172" i="11"/>
  <c r="S166" i="11"/>
  <c r="Q161" i="11"/>
  <c r="P156" i="11"/>
  <c r="S150" i="11"/>
  <c r="Q145" i="11"/>
  <c r="P140" i="11"/>
  <c r="S134" i="11"/>
  <c r="Q129" i="11"/>
  <c r="P124" i="11"/>
  <c r="S118" i="11"/>
  <c r="Q113" i="11"/>
  <c r="P108" i="11"/>
  <c r="S102" i="11"/>
  <c r="Q97" i="11"/>
  <c r="P92" i="11"/>
  <c r="S86" i="11"/>
  <c r="Q81" i="11"/>
  <c r="P76" i="11"/>
  <c r="S70" i="11"/>
  <c r="Q65" i="11"/>
  <c r="P60" i="11"/>
  <c r="S54" i="11"/>
  <c r="Q49" i="11"/>
  <c r="P44" i="11"/>
  <c r="S38" i="11"/>
  <c r="Q33" i="11"/>
  <c r="P28" i="11"/>
  <c r="S22" i="11"/>
  <c r="Q17" i="11"/>
  <c r="P12" i="11"/>
  <c r="S6" i="11"/>
  <c r="P222" i="11"/>
  <c r="Q67" i="11"/>
  <c r="S189" i="11"/>
  <c r="P163" i="11"/>
  <c r="S77" i="11"/>
  <c r="P241" i="11"/>
  <c r="S235" i="11"/>
  <c r="Q230" i="11"/>
  <c r="P225" i="11"/>
  <c r="S219" i="11"/>
  <c r="Q214" i="11"/>
  <c r="P209" i="11"/>
  <c r="S203" i="11"/>
  <c r="Q198" i="11"/>
  <c r="P193" i="11"/>
  <c r="S187" i="11"/>
  <c r="Q182" i="11"/>
  <c r="P177" i="11"/>
  <c r="S171" i="11"/>
  <c r="Q166" i="11"/>
  <c r="P161" i="11"/>
  <c r="S155" i="11"/>
  <c r="Q150" i="11"/>
  <c r="P145" i="11"/>
  <c r="S139" i="11"/>
  <c r="Q134" i="11"/>
  <c r="P129" i="11"/>
  <c r="S123" i="11"/>
  <c r="Q118" i="11"/>
  <c r="P113" i="11"/>
  <c r="S107" i="11"/>
  <c r="Q102" i="11"/>
  <c r="P97" i="11"/>
  <c r="S91" i="11"/>
  <c r="Q86" i="11"/>
  <c r="P81" i="11"/>
  <c r="S75" i="11"/>
  <c r="Q70" i="11"/>
  <c r="P65" i="11"/>
  <c r="S59" i="11"/>
  <c r="Q54" i="11"/>
  <c r="P49" i="11"/>
  <c r="S43" i="11"/>
  <c r="Q38" i="11"/>
  <c r="P33" i="11"/>
  <c r="S27" i="11"/>
  <c r="Q22" i="11"/>
  <c r="P17" i="11"/>
  <c r="S11" i="11"/>
  <c r="Q6" i="11"/>
  <c r="S47" i="11"/>
  <c r="Q10" i="11"/>
  <c r="Q47" i="11"/>
  <c r="Q15" i="11"/>
  <c r="P20" i="11"/>
  <c r="P57" i="11"/>
  <c r="S184" i="11"/>
  <c r="S104" i="11"/>
  <c r="P46" i="11"/>
  <c r="S237" i="11"/>
  <c r="P131" i="11"/>
  <c r="Q40" i="11"/>
  <c r="S240" i="11"/>
  <c r="Q235" i="11"/>
  <c r="P230" i="11"/>
  <c r="S224" i="11"/>
  <c r="Q219" i="11"/>
  <c r="P214" i="11"/>
  <c r="S208" i="11"/>
  <c r="Q203" i="11"/>
  <c r="P198" i="11"/>
  <c r="S192" i="11"/>
  <c r="Q187" i="11"/>
  <c r="P182" i="11"/>
  <c r="S176" i="11"/>
  <c r="Q171" i="11"/>
  <c r="P166" i="11"/>
  <c r="S160" i="11"/>
  <c r="Q155" i="11"/>
  <c r="P150" i="11"/>
  <c r="S144" i="11"/>
  <c r="Q139" i="11"/>
  <c r="P134" i="11"/>
  <c r="S128" i="11"/>
  <c r="Q123" i="11"/>
  <c r="P118" i="11"/>
  <c r="S112" i="11"/>
  <c r="Q107" i="11"/>
  <c r="P102" i="11"/>
  <c r="S96" i="11"/>
  <c r="Q91" i="11"/>
  <c r="P86" i="11"/>
  <c r="S80" i="11"/>
  <c r="Q75" i="11"/>
  <c r="P70" i="11"/>
  <c r="S64" i="11"/>
  <c r="Q59" i="11"/>
  <c r="P54" i="11"/>
  <c r="S48" i="11"/>
  <c r="Q43" i="11"/>
  <c r="P38" i="11"/>
  <c r="S32" i="11"/>
  <c r="Q27" i="11"/>
  <c r="P22" i="11"/>
  <c r="S16" i="11"/>
  <c r="Q11" i="11"/>
  <c r="P6" i="11"/>
  <c r="S63" i="11"/>
  <c r="Q26" i="11"/>
  <c r="Q31" i="11"/>
  <c r="P15" i="11"/>
  <c r="Q25" i="11"/>
  <c r="P25" i="11"/>
  <c r="Q227" i="11"/>
  <c r="P158" i="11"/>
  <c r="P94" i="11"/>
  <c r="S24" i="11"/>
  <c r="P227" i="11"/>
  <c r="Q136" i="11"/>
  <c r="P51" i="11"/>
  <c r="Q240" i="11"/>
  <c r="P235" i="11"/>
  <c r="S229" i="11"/>
  <c r="Q224" i="11"/>
  <c r="P219" i="11"/>
  <c r="S213" i="11"/>
  <c r="Q208" i="11"/>
  <c r="P203" i="11"/>
  <c r="S197" i="11"/>
  <c r="Q192" i="11"/>
  <c r="P187" i="11"/>
  <c r="S181" i="11"/>
  <c r="Q176" i="11"/>
  <c r="P171" i="11"/>
  <c r="S165" i="11"/>
  <c r="Q160" i="11"/>
  <c r="P155" i="11"/>
  <c r="S149" i="11"/>
  <c r="Q144" i="11"/>
  <c r="P139" i="11"/>
  <c r="S133" i="11"/>
  <c r="Q128" i="11"/>
  <c r="P123" i="11"/>
  <c r="S117" i="11"/>
  <c r="Q112" i="11"/>
  <c r="P107" i="11"/>
  <c r="S101" i="11"/>
  <c r="Q96" i="11"/>
  <c r="P91" i="11"/>
  <c r="S85" i="11"/>
  <c r="Q80" i="11"/>
  <c r="P75" i="11"/>
  <c r="S69" i="11"/>
  <c r="Q64" i="11"/>
  <c r="P59" i="11"/>
  <c r="S53" i="11"/>
  <c r="Q48" i="11"/>
  <c r="P43" i="11"/>
  <c r="S37" i="11"/>
  <c r="Q32" i="11"/>
  <c r="P27" i="11"/>
  <c r="S21" i="11"/>
  <c r="Q16" i="11"/>
  <c r="S5" i="11"/>
  <c r="P53" i="11"/>
  <c r="P37" i="11"/>
  <c r="S15" i="11"/>
  <c r="P5" i="11"/>
  <c r="S36" i="11"/>
  <c r="P10" i="11"/>
  <c r="Q20" i="11"/>
  <c r="S30" i="11"/>
  <c r="S19" i="11"/>
  <c r="S232" i="11"/>
  <c r="Q131" i="11"/>
  <c r="Q19" i="11"/>
  <c r="Q168" i="11"/>
  <c r="S93" i="11"/>
  <c r="Q24" i="11"/>
  <c r="P240" i="11"/>
  <c r="S234" i="11"/>
  <c r="Q229" i="11"/>
  <c r="P224" i="11"/>
  <c r="S218" i="11"/>
  <c r="Q213" i="11"/>
  <c r="P208" i="11"/>
  <c r="S202" i="11"/>
  <c r="Q197" i="11"/>
  <c r="P192" i="11"/>
  <c r="S186" i="11"/>
  <c r="Q181" i="11"/>
  <c r="P176" i="11"/>
  <c r="S170" i="11"/>
  <c r="Q165" i="11"/>
  <c r="P160" i="11"/>
  <c r="S154" i="11"/>
  <c r="Q149" i="11"/>
  <c r="P144" i="11"/>
  <c r="S138" i="11"/>
  <c r="Q133" i="11"/>
  <c r="P128" i="11"/>
  <c r="S122" i="11"/>
  <c r="Q117" i="11"/>
  <c r="P112" i="11"/>
  <c r="S106" i="11"/>
  <c r="Q101" i="11"/>
  <c r="P96" i="11"/>
  <c r="S90" i="11"/>
  <c r="Q85" i="11"/>
  <c r="P80" i="11"/>
  <c r="S74" i="11"/>
  <c r="Q69" i="11"/>
  <c r="P64" i="11"/>
  <c r="S58" i="11"/>
  <c r="Q53" i="11"/>
  <c r="P48" i="11"/>
  <c r="S42" i="11"/>
  <c r="Q37" i="11"/>
  <c r="P32" i="11"/>
  <c r="S26" i="11"/>
  <c r="Q21" i="11"/>
  <c r="P16" i="11"/>
  <c r="S10" i="11"/>
  <c r="Q5" i="11"/>
  <c r="P69" i="11"/>
  <c r="P21" i="11"/>
  <c r="P26" i="11"/>
  <c r="S4" i="11"/>
  <c r="S25" i="11"/>
  <c r="Q9" i="11"/>
  <c r="Q46" i="11"/>
  <c r="P206" i="11"/>
  <c r="S136" i="11"/>
  <c r="P30" i="11"/>
  <c r="P211" i="11"/>
  <c r="S125" i="11"/>
  <c r="Q56" i="11"/>
  <c r="S239" i="11"/>
  <c r="Q234" i="11"/>
  <c r="P229" i="11"/>
  <c r="S223" i="11"/>
  <c r="Q218" i="11"/>
  <c r="P213" i="11"/>
  <c r="S207" i="11"/>
  <c r="Q202" i="11"/>
  <c r="P197" i="11"/>
  <c r="S191" i="11"/>
  <c r="Q186" i="11"/>
  <c r="P181" i="11"/>
  <c r="S175" i="11"/>
  <c r="Q170" i="11"/>
  <c r="P165" i="11"/>
  <c r="S159" i="11"/>
  <c r="Q154" i="11"/>
  <c r="P149" i="11"/>
  <c r="S143" i="11"/>
  <c r="Q138" i="11"/>
  <c r="P133" i="11"/>
  <c r="S127" i="11"/>
  <c r="Q122" i="11"/>
  <c r="P117" i="11"/>
  <c r="S111" i="11"/>
  <c r="Q106" i="11"/>
  <c r="P101" i="11"/>
  <c r="S95" i="11"/>
  <c r="Q90" i="11"/>
  <c r="P85" i="11"/>
  <c r="S79" i="11"/>
  <c r="Q74" i="11"/>
  <c r="Q58" i="11"/>
  <c r="S31" i="11"/>
  <c r="S41" i="11"/>
  <c r="Q62" i="11"/>
  <c r="S168" i="11"/>
  <c r="S120" i="11"/>
  <c r="S40" i="11"/>
  <c r="Q200" i="11"/>
  <c r="P99" i="11"/>
  <c r="S29" i="11"/>
  <c r="Q239" i="11"/>
  <c r="P234" i="11"/>
  <c r="S228" i="11"/>
  <c r="Q223" i="11"/>
  <c r="P218" i="11"/>
  <c r="S212" i="11"/>
  <c r="Q207" i="11"/>
  <c r="P202" i="11"/>
  <c r="S196" i="11"/>
  <c r="Q191" i="11"/>
  <c r="P186" i="11"/>
  <c r="S180" i="11"/>
  <c r="Q175" i="11"/>
  <c r="P170" i="11"/>
  <c r="S164" i="11"/>
  <c r="Q159" i="11"/>
  <c r="P154" i="11"/>
  <c r="S148" i="11"/>
  <c r="Q143" i="11"/>
  <c r="P138" i="11"/>
  <c r="S132" i="11"/>
  <c r="Q127" i="11"/>
  <c r="P122" i="11"/>
  <c r="S116" i="11"/>
  <c r="Q111" i="11"/>
  <c r="P106" i="11"/>
  <c r="S100" i="11"/>
  <c r="Q95" i="11"/>
  <c r="P90" i="11"/>
  <c r="S84" i="11"/>
  <c r="Q79" i="11"/>
  <c r="P74" i="11"/>
  <c r="S68" i="11"/>
  <c r="Q63" i="11"/>
  <c r="P58" i="11"/>
  <c r="S52" i="11"/>
  <c r="P42" i="11"/>
  <c r="S20" i="11"/>
  <c r="P4" i="11"/>
  <c r="Q30" i="11"/>
  <c r="S200" i="11"/>
  <c r="S72" i="11"/>
  <c r="S205" i="11"/>
  <c r="Q120" i="11"/>
  <c r="P35" i="11"/>
  <c r="P239" i="11"/>
  <c r="S233" i="11"/>
  <c r="Q228" i="11"/>
  <c r="P223" i="11"/>
  <c r="S217" i="11"/>
  <c r="Q212" i="11"/>
  <c r="P207" i="11"/>
  <c r="S201" i="11"/>
  <c r="Q196" i="11"/>
  <c r="P191" i="11"/>
  <c r="S185" i="11"/>
  <c r="Q180" i="11"/>
  <c r="P175" i="11"/>
  <c r="S169" i="11"/>
  <c r="Q164" i="11"/>
  <c r="P159" i="11"/>
  <c r="S153" i="11"/>
  <c r="Q148" i="11"/>
  <c r="P143" i="11"/>
  <c r="S137" i="11"/>
  <c r="Q132" i="11"/>
  <c r="P127" i="11"/>
  <c r="S121" i="11"/>
  <c r="Q116" i="11"/>
  <c r="P111" i="11"/>
  <c r="S105" i="11"/>
  <c r="Q100" i="11"/>
  <c r="P95" i="11"/>
  <c r="S89" i="11"/>
  <c r="Q84" i="11"/>
  <c r="P79" i="11"/>
  <c r="S73" i="11"/>
  <c r="Q68" i="11"/>
  <c r="P63" i="11"/>
  <c r="S57" i="11"/>
  <c r="Q52" i="11"/>
  <c r="P47" i="11"/>
  <c r="Q36" i="11"/>
  <c r="Q4" i="11"/>
  <c r="P41" i="11"/>
  <c r="P190" i="11"/>
  <c r="P110" i="11"/>
  <c r="Q35" i="11"/>
  <c r="Q216" i="11"/>
  <c r="S141" i="11"/>
  <c r="P67" i="11"/>
  <c r="S238" i="11"/>
  <c r="Q233" i="11"/>
  <c r="P228" i="11"/>
  <c r="S222" i="11"/>
  <c r="Q217" i="11"/>
  <c r="P212" i="11"/>
  <c r="S206" i="11"/>
  <c r="Q201" i="11"/>
  <c r="P196" i="11"/>
  <c r="S190" i="11"/>
  <c r="Q185" i="11"/>
  <c r="P180" i="11"/>
  <c r="S174" i="11"/>
  <c r="Q169" i="11"/>
  <c r="P164" i="11"/>
  <c r="S158" i="11"/>
  <c r="Q153" i="11"/>
  <c r="P148" i="11"/>
  <c r="S142" i="11"/>
  <c r="Q137" i="11"/>
  <c r="P132" i="11"/>
  <c r="S126" i="11"/>
  <c r="Q121" i="11"/>
  <c r="P116" i="11"/>
  <c r="S110" i="11"/>
  <c r="Q105" i="11"/>
  <c r="P100" i="11"/>
  <c r="S94" i="11"/>
  <c r="Q89" i="11"/>
  <c r="P84" i="11"/>
  <c r="S78" i="11"/>
  <c r="Q73" i="11"/>
  <c r="P68" i="11"/>
  <c r="S62" i="11"/>
  <c r="Q57" i="11"/>
  <c r="P52" i="11"/>
  <c r="S46" i="11"/>
  <c r="Q41" i="11"/>
  <c r="P36" i="11"/>
  <c r="S14" i="11"/>
  <c r="P238" i="11"/>
  <c r="P62" i="11"/>
  <c r="Q184" i="11"/>
  <c r="S109" i="11"/>
  <c r="S45" i="11"/>
  <c r="Q238" i="11"/>
  <c r="P233" i="11"/>
  <c r="S227" i="11"/>
  <c r="Q222" i="11"/>
  <c r="P217" i="11"/>
  <c r="S211" i="11"/>
  <c r="Q206" i="11"/>
  <c r="P201" i="11"/>
  <c r="S195" i="11"/>
  <c r="Q190" i="11"/>
  <c r="P185" i="11"/>
  <c r="S179" i="11"/>
  <c r="Q174" i="11"/>
  <c r="P169" i="11"/>
  <c r="S163" i="11"/>
  <c r="Q158" i="11"/>
  <c r="P153" i="11"/>
  <c r="S147" i="11"/>
  <c r="Q142" i="11"/>
  <c r="P137" i="11"/>
  <c r="S131" i="11"/>
  <c r="Q126" i="11"/>
  <c r="P121" i="11"/>
  <c r="S115" i="11"/>
  <c r="Q110" i="11"/>
  <c r="P105" i="11"/>
  <c r="S99" i="11"/>
  <c r="Q94" i="11"/>
  <c r="P89" i="11"/>
  <c r="S83" i="11"/>
  <c r="Q78" i="11"/>
  <c r="P73" i="11"/>
  <c r="S67" i="11"/>
  <c r="S51" i="11"/>
  <c r="Q211" i="11"/>
  <c r="Q163" i="11"/>
  <c r="Q147" i="11"/>
  <c r="P126" i="11"/>
  <c r="Q99" i="11"/>
  <c r="S56" i="11"/>
  <c r="P14" i="11"/>
  <c r="Q232" i="11"/>
  <c r="Q152" i="11"/>
  <c r="S61" i="11"/>
  <c r="E3" i="1"/>
  <c r="D2" i="9" l="1"/>
  <c r="B2" i="9"/>
  <c r="C2" i="9"/>
  <c r="I4" i="9" a="1"/>
  <c r="G4" i="4" a="1"/>
  <c r="Q106" i="6" l="1"/>
  <c r="Q122" i="6"/>
  <c r="Q138" i="6"/>
  <c r="Q154" i="6"/>
  <c r="Q170" i="6"/>
  <c r="Q186" i="6"/>
  <c r="Q202" i="6"/>
  <c r="Q218" i="6"/>
  <c r="Q234" i="6"/>
  <c r="O7" i="6"/>
  <c r="O15" i="6"/>
  <c r="O23" i="6"/>
  <c r="O31" i="6"/>
  <c r="O39" i="6"/>
  <c r="O47" i="6"/>
  <c r="O55" i="6"/>
  <c r="O63" i="6"/>
  <c r="O71" i="6"/>
  <c r="O79" i="6"/>
  <c r="O87" i="6"/>
  <c r="O95" i="6"/>
  <c r="O103" i="6"/>
  <c r="O111" i="6"/>
  <c r="O119" i="6"/>
  <c r="O127" i="6"/>
  <c r="O135" i="6"/>
  <c r="O143" i="6"/>
  <c r="O151" i="6"/>
  <c r="O159" i="6"/>
  <c r="O167" i="6"/>
  <c r="O175" i="6"/>
  <c r="O183" i="6"/>
  <c r="O191" i="6"/>
  <c r="O199" i="6"/>
  <c r="O207" i="6"/>
  <c r="O215" i="6"/>
  <c r="O223" i="6"/>
  <c r="O231" i="6"/>
  <c r="O239" i="6"/>
  <c r="N188" i="6"/>
  <c r="O236" i="6"/>
  <c r="N221" i="6"/>
  <c r="O165" i="6"/>
  <c r="N230" i="6"/>
  <c r="O190" i="6"/>
  <c r="N15" i="6"/>
  <c r="N71" i="6"/>
  <c r="N135" i="6"/>
  <c r="N215" i="6"/>
  <c r="Q107" i="6"/>
  <c r="Q123" i="6"/>
  <c r="Q139" i="6"/>
  <c r="Q155" i="6"/>
  <c r="Q171" i="6"/>
  <c r="Q187" i="6"/>
  <c r="Q203" i="6"/>
  <c r="Q219" i="6"/>
  <c r="Q235" i="6"/>
  <c r="N8" i="6"/>
  <c r="N16" i="6"/>
  <c r="N24" i="6"/>
  <c r="N32" i="6"/>
  <c r="N40" i="6"/>
  <c r="N48" i="6"/>
  <c r="N56" i="6"/>
  <c r="N64" i="6"/>
  <c r="N72" i="6"/>
  <c r="N80" i="6"/>
  <c r="N88" i="6"/>
  <c r="N96" i="6"/>
  <c r="N104" i="6"/>
  <c r="N112" i="6"/>
  <c r="N120" i="6"/>
  <c r="N128" i="6"/>
  <c r="N136" i="6"/>
  <c r="N144" i="6"/>
  <c r="N152" i="6"/>
  <c r="N160" i="6"/>
  <c r="N168" i="6"/>
  <c r="N176" i="6"/>
  <c r="N184" i="6"/>
  <c r="N192" i="6"/>
  <c r="N200" i="6"/>
  <c r="N208" i="6"/>
  <c r="N216" i="6"/>
  <c r="N224" i="6"/>
  <c r="N232" i="6"/>
  <c r="N240" i="6"/>
  <c r="N156" i="6"/>
  <c r="N165" i="6"/>
  <c r="O181" i="6"/>
  <c r="N166" i="6"/>
  <c r="Q121" i="6"/>
  <c r="N87" i="6"/>
  <c r="N223" i="6"/>
  <c r="Q108" i="6"/>
  <c r="Q124" i="6"/>
  <c r="Q140" i="6"/>
  <c r="Q156" i="6"/>
  <c r="Q172" i="6"/>
  <c r="Q188" i="6"/>
  <c r="Q204" i="6"/>
  <c r="Q220" i="6"/>
  <c r="Q236" i="6"/>
  <c r="O8" i="6"/>
  <c r="O16" i="6"/>
  <c r="O24" i="6"/>
  <c r="O32" i="6"/>
  <c r="O40" i="6"/>
  <c r="O48" i="6"/>
  <c r="O56" i="6"/>
  <c r="O64" i="6"/>
  <c r="O72" i="6"/>
  <c r="O80" i="6"/>
  <c r="O88" i="6"/>
  <c r="O96" i="6"/>
  <c r="O104" i="6"/>
  <c r="O112" i="6"/>
  <c r="O120" i="6"/>
  <c r="O128" i="6"/>
  <c r="O136" i="6"/>
  <c r="O144" i="6"/>
  <c r="O152" i="6"/>
  <c r="O160" i="6"/>
  <c r="O168" i="6"/>
  <c r="O176" i="6"/>
  <c r="O184" i="6"/>
  <c r="O192" i="6"/>
  <c r="O200" i="6"/>
  <c r="O208" i="6"/>
  <c r="O216" i="6"/>
  <c r="O224" i="6"/>
  <c r="O232" i="6"/>
  <c r="O240" i="6"/>
  <c r="O242" i="6"/>
  <c r="N227" i="6"/>
  <c r="N164" i="6"/>
  <c r="N205" i="6"/>
  <c r="O229" i="6"/>
  <c r="N214" i="6"/>
  <c r="O214" i="6"/>
  <c r="Q185" i="6"/>
  <c r="N207" i="6"/>
  <c r="Q109" i="6"/>
  <c r="Q125" i="6"/>
  <c r="Q141" i="6"/>
  <c r="Q157" i="6"/>
  <c r="Q173" i="6"/>
  <c r="Q189" i="6"/>
  <c r="Q205" i="6"/>
  <c r="Q221" i="6"/>
  <c r="Q237" i="6"/>
  <c r="N9" i="6"/>
  <c r="N17" i="6"/>
  <c r="N25" i="6"/>
  <c r="N33" i="6"/>
  <c r="N41" i="6"/>
  <c r="N49" i="6"/>
  <c r="N57" i="6"/>
  <c r="N65" i="6"/>
  <c r="N73" i="6"/>
  <c r="N81" i="6"/>
  <c r="N89" i="6"/>
  <c r="N97" i="6"/>
  <c r="N105" i="6"/>
  <c r="N113" i="6"/>
  <c r="N121" i="6"/>
  <c r="N129" i="6"/>
  <c r="N137" i="6"/>
  <c r="N145" i="6"/>
  <c r="N153" i="6"/>
  <c r="N161" i="6"/>
  <c r="N169" i="6"/>
  <c r="N177" i="6"/>
  <c r="N185" i="6"/>
  <c r="N193" i="6"/>
  <c r="N201" i="6"/>
  <c r="N209" i="6"/>
  <c r="N217" i="6"/>
  <c r="N225" i="6"/>
  <c r="N233" i="6"/>
  <c r="N241" i="6"/>
  <c r="N211" i="6"/>
  <c r="O219" i="6"/>
  <c r="N204" i="6"/>
  <c r="O204" i="6"/>
  <c r="N181" i="6"/>
  <c r="O197" i="6"/>
  <c r="N182" i="6"/>
  <c r="O230" i="6"/>
  <c r="Q153" i="6"/>
  <c r="Q110" i="6"/>
  <c r="Q126" i="6"/>
  <c r="Q142" i="6"/>
  <c r="Q158" i="6"/>
  <c r="Q174" i="6"/>
  <c r="Q190" i="6"/>
  <c r="Q206" i="6"/>
  <c r="Q222" i="6"/>
  <c r="Q238" i="6"/>
  <c r="O9" i="6"/>
  <c r="O17" i="6"/>
  <c r="O25" i="6"/>
  <c r="O33" i="6"/>
  <c r="O41" i="6"/>
  <c r="O49" i="6"/>
  <c r="O57" i="6"/>
  <c r="O65" i="6"/>
  <c r="O73" i="6"/>
  <c r="O81" i="6"/>
  <c r="O89" i="6"/>
  <c r="O97" i="6"/>
  <c r="O105" i="6"/>
  <c r="O113" i="6"/>
  <c r="O121" i="6"/>
  <c r="O129" i="6"/>
  <c r="O137" i="6"/>
  <c r="O145" i="6"/>
  <c r="O153" i="6"/>
  <c r="O161" i="6"/>
  <c r="O169" i="6"/>
  <c r="O177" i="6"/>
  <c r="O185" i="6"/>
  <c r="O193" i="6"/>
  <c r="O201" i="6"/>
  <c r="O209" i="6"/>
  <c r="O217" i="6"/>
  <c r="O225" i="6"/>
  <c r="O233" i="6"/>
  <c r="O241" i="6"/>
  <c r="N203" i="6"/>
  <c r="N3" i="6"/>
  <c r="N220" i="6"/>
  <c r="O196" i="6"/>
  <c r="N213" i="6"/>
  <c r="O205" i="6"/>
  <c r="N190" i="6"/>
  <c r="O174" i="6"/>
  <c r="N7" i="6"/>
  <c r="N183" i="6"/>
  <c r="Q111" i="6"/>
  <c r="Q127" i="6"/>
  <c r="Q143" i="6"/>
  <c r="Q159" i="6"/>
  <c r="Q175" i="6"/>
  <c r="Q191" i="6"/>
  <c r="Q207" i="6"/>
  <c r="Q223" i="6"/>
  <c r="Q239" i="6"/>
  <c r="N10" i="6"/>
  <c r="N18" i="6"/>
  <c r="N26" i="6"/>
  <c r="N34" i="6"/>
  <c r="N42" i="6"/>
  <c r="N50" i="6"/>
  <c r="N58" i="6"/>
  <c r="N66" i="6"/>
  <c r="N74" i="6"/>
  <c r="N82" i="6"/>
  <c r="N90" i="6"/>
  <c r="N98" i="6"/>
  <c r="N106" i="6"/>
  <c r="N114" i="6"/>
  <c r="N122" i="6"/>
  <c r="N130" i="6"/>
  <c r="N138" i="6"/>
  <c r="N146" i="6"/>
  <c r="N154" i="6"/>
  <c r="N162" i="6"/>
  <c r="N170" i="6"/>
  <c r="N178" i="6"/>
  <c r="N186" i="6"/>
  <c r="N194" i="6"/>
  <c r="N202" i="6"/>
  <c r="N210" i="6"/>
  <c r="N218" i="6"/>
  <c r="N226" i="6"/>
  <c r="N234" i="6"/>
  <c r="N242" i="6"/>
  <c r="O234" i="6"/>
  <c r="N235" i="6"/>
  <c r="O227" i="6"/>
  <c r="N180" i="6"/>
  <c r="N157" i="6"/>
  <c r="O221" i="6"/>
  <c r="N222" i="6"/>
  <c r="O158" i="6"/>
  <c r="N31" i="6"/>
  <c r="N143" i="6"/>
  <c r="Q112" i="6"/>
  <c r="Q128" i="6"/>
  <c r="Q144" i="6"/>
  <c r="Q160" i="6"/>
  <c r="Q176" i="6"/>
  <c r="Q192" i="6"/>
  <c r="Q208" i="6"/>
  <c r="Q224" i="6"/>
  <c r="Q240" i="6"/>
  <c r="O10" i="6"/>
  <c r="O18" i="6"/>
  <c r="O26" i="6"/>
  <c r="O34" i="6"/>
  <c r="O42" i="6"/>
  <c r="O50" i="6"/>
  <c r="O58" i="6"/>
  <c r="O66" i="6"/>
  <c r="O74" i="6"/>
  <c r="O82" i="6"/>
  <c r="O90" i="6"/>
  <c r="O98" i="6"/>
  <c r="O106" i="6"/>
  <c r="O114" i="6"/>
  <c r="O122" i="6"/>
  <c r="O130" i="6"/>
  <c r="O138" i="6"/>
  <c r="O146" i="6"/>
  <c r="O154" i="6"/>
  <c r="O162" i="6"/>
  <c r="O170" i="6"/>
  <c r="O178" i="6"/>
  <c r="O186" i="6"/>
  <c r="O194" i="6"/>
  <c r="O202" i="6"/>
  <c r="O210" i="6"/>
  <c r="O218" i="6"/>
  <c r="O226" i="6"/>
  <c r="O235" i="6"/>
  <c r="N196" i="6"/>
  <c r="O228" i="6"/>
  <c r="N229" i="6"/>
  <c r="O157" i="6"/>
  <c r="O150" i="6"/>
  <c r="N47" i="6"/>
  <c r="N95" i="6"/>
  <c r="N151" i="6"/>
  <c r="Q113" i="6"/>
  <c r="Q129" i="6"/>
  <c r="Q145" i="6"/>
  <c r="Q161" i="6"/>
  <c r="Q177" i="6"/>
  <c r="Q193" i="6"/>
  <c r="Q209" i="6"/>
  <c r="Q225" i="6"/>
  <c r="Q241" i="6"/>
  <c r="N11" i="6"/>
  <c r="N19" i="6"/>
  <c r="N27" i="6"/>
  <c r="N35" i="6"/>
  <c r="N43" i="6"/>
  <c r="N51" i="6"/>
  <c r="N59" i="6"/>
  <c r="N67" i="6"/>
  <c r="N75" i="6"/>
  <c r="N83" i="6"/>
  <c r="N91" i="6"/>
  <c r="N99" i="6"/>
  <c r="N107" i="6"/>
  <c r="N115" i="6"/>
  <c r="N123" i="6"/>
  <c r="N131" i="6"/>
  <c r="N139" i="6"/>
  <c r="N147" i="6"/>
  <c r="N155" i="6"/>
  <c r="N163" i="6"/>
  <c r="N171" i="6"/>
  <c r="N179" i="6"/>
  <c r="N187" i="6"/>
  <c r="N195" i="6"/>
  <c r="N219" i="6"/>
  <c r="O3" i="6"/>
  <c r="N172" i="6"/>
  <c r="N236" i="6"/>
  <c r="N173" i="6"/>
  <c r="O189" i="6"/>
  <c r="N198" i="6"/>
  <c r="O238" i="6"/>
  <c r="Q217" i="6"/>
  <c r="N111" i="6"/>
  <c r="N199" i="6"/>
  <c r="Q114" i="6"/>
  <c r="Q130" i="6"/>
  <c r="Q146" i="6"/>
  <c r="Q162" i="6"/>
  <c r="Q178" i="6"/>
  <c r="Q194" i="6"/>
  <c r="Q210" i="6"/>
  <c r="Q226" i="6"/>
  <c r="Q242" i="6"/>
  <c r="O11" i="6"/>
  <c r="O19" i="6"/>
  <c r="O27" i="6"/>
  <c r="O35" i="6"/>
  <c r="O43" i="6"/>
  <c r="O51" i="6"/>
  <c r="O59" i="6"/>
  <c r="O67" i="6"/>
  <c r="O75" i="6"/>
  <c r="O83" i="6"/>
  <c r="O91" i="6"/>
  <c r="O99" i="6"/>
  <c r="O107" i="6"/>
  <c r="O115" i="6"/>
  <c r="O123" i="6"/>
  <c r="O131" i="6"/>
  <c r="O139" i="6"/>
  <c r="O147" i="6"/>
  <c r="O155" i="6"/>
  <c r="O163" i="6"/>
  <c r="O171" i="6"/>
  <c r="O179" i="6"/>
  <c r="O187" i="6"/>
  <c r="O195" i="6"/>
  <c r="O203" i="6"/>
  <c r="O211" i="6"/>
  <c r="N228" i="6"/>
  <c r="O212" i="6"/>
  <c r="N197" i="6"/>
  <c r="N158" i="6"/>
  <c r="Q137" i="6"/>
  <c r="N119" i="6"/>
  <c r="Q115" i="6"/>
  <c r="Q131" i="6"/>
  <c r="Q147" i="6"/>
  <c r="Q163" i="6"/>
  <c r="Q179" i="6"/>
  <c r="Q195" i="6"/>
  <c r="Q211" i="6"/>
  <c r="Q227" i="6"/>
  <c r="N4" i="6"/>
  <c r="N12" i="6"/>
  <c r="N20" i="6"/>
  <c r="N28" i="6"/>
  <c r="N36" i="6"/>
  <c r="N44" i="6"/>
  <c r="N52" i="6"/>
  <c r="N60" i="6"/>
  <c r="N68" i="6"/>
  <c r="N76" i="6"/>
  <c r="N84" i="6"/>
  <c r="N92" i="6"/>
  <c r="N100" i="6"/>
  <c r="N108" i="6"/>
  <c r="N116" i="6"/>
  <c r="N124" i="6"/>
  <c r="N132" i="6"/>
  <c r="N140" i="6"/>
  <c r="N148" i="6"/>
  <c r="N212" i="6"/>
  <c r="N189" i="6"/>
  <c r="O173" i="6"/>
  <c r="O237" i="6"/>
  <c r="O142" i="6"/>
  <c r="N39" i="6"/>
  <c r="N63" i="6"/>
  <c r="N103" i="6"/>
  <c r="N159" i="6"/>
  <c r="Q116" i="6"/>
  <c r="Q132" i="6"/>
  <c r="Q148" i="6"/>
  <c r="Q164" i="6"/>
  <c r="Q180" i="6"/>
  <c r="Q196" i="6"/>
  <c r="Q212" i="6"/>
  <c r="Q228" i="6"/>
  <c r="O4" i="6"/>
  <c r="O12" i="6"/>
  <c r="O20" i="6"/>
  <c r="O28" i="6"/>
  <c r="O36" i="6"/>
  <c r="O44" i="6"/>
  <c r="O52" i="6"/>
  <c r="O60" i="6"/>
  <c r="O68" i="6"/>
  <c r="O76" i="6"/>
  <c r="O84" i="6"/>
  <c r="O92" i="6"/>
  <c r="O100" i="6"/>
  <c r="O108" i="6"/>
  <c r="O116" i="6"/>
  <c r="O124" i="6"/>
  <c r="O132" i="6"/>
  <c r="O140" i="6"/>
  <c r="O148" i="6"/>
  <c r="O156" i="6"/>
  <c r="O164" i="6"/>
  <c r="O172" i="6"/>
  <c r="O180" i="6"/>
  <c r="O188" i="6"/>
  <c r="O220" i="6"/>
  <c r="O149" i="6"/>
  <c r="N238" i="6"/>
  <c r="O182" i="6"/>
  <c r="Q233" i="6"/>
  <c r="N175" i="6"/>
  <c r="Q117" i="6"/>
  <c r="Q133" i="6"/>
  <c r="Q149" i="6"/>
  <c r="Q165" i="6"/>
  <c r="Q181" i="6"/>
  <c r="Q197" i="6"/>
  <c r="Q213" i="6"/>
  <c r="Q229" i="6"/>
  <c r="N5" i="6"/>
  <c r="N13" i="6"/>
  <c r="N21" i="6"/>
  <c r="N29" i="6"/>
  <c r="N37" i="6"/>
  <c r="N45" i="6"/>
  <c r="N53" i="6"/>
  <c r="N61" i="6"/>
  <c r="N69" i="6"/>
  <c r="N77" i="6"/>
  <c r="N85" i="6"/>
  <c r="N93" i="6"/>
  <c r="N101" i="6"/>
  <c r="N109" i="6"/>
  <c r="N117" i="6"/>
  <c r="N125" i="6"/>
  <c r="N133" i="6"/>
  <c r="N141" i="6"/>
  <c r="N149" i="6"/>
  <c r="N237" i="6"/>
  <c r="N206" i="6"/>
  <c r="O166" i="6"/>
  <c r="N23" i="6"/>
  <c r="N167" i="6"/>
  <c r="Q118" i="6"/>
  <c r="Q134" i="6"/>
  <c r="Q150" i="6"/>
  <c r="Q166" i="6"/>
  <c r="Q182" i="6"/>
  <c r="Q198" i="6"/>
  <c r="Q214" i="6"/>
  <c r="Q230" i="6"/>
  <c r="O5" i="6"/>
  <c r="O13" i="6"/>
  <c r="O21" i="6"/>
  <c r="O29" i="6"/>
  <c r="O37" i="6"/>
  <c r="O45" i="6"/>
  <c r="O53" i="6"/>
  <c r="O61" i="6"/>
  <c r="O69" i="6"/>
  <c r="O77" i="6"/>
  <c r="O85" i="6"/>
  <c r="O93" i="6"/>
  <c r="O101" i="6"/>
  <c r="O109" i="6"/>
  <c r="O117" i="6"/>
  <c r="O125" i="6"/>
  <c r="O133" i="6"/>
  <c r="O141" i="6"/>
  <c r="O213" i="6"/>
  <c r="O206" i="6"/>
  <c r="Q201" i="6"/>
  <c r="N191" i="6"/>
  <c r="Q119" i="6"/>
  <c r="Q135" i="6"/>
  <c r="Q151" i="6"/>
  <c r="Q167" i="6"/>
  <c r="Q183" i="6"/>
  <c r="Q199" i="6"/>
  <c r="Q215" i="6"/>
  <c r="Q231" i="6"/>
  <c r="N6" i="6"/>
  <c r="N14" i="6"/>
  <c r="N22" i="6"/>
  <c r="N30" i="6"/>
  <c r="N38" i="6"/>
  <c r="N46" i="6"/>
  <c r="N54" i="6"/>
  <c r="N62" i="6"/>
  <c r="N70" i="6"/>
  <c r="N78" i="6"/>
  <c r="N86" i="6"/>
  <c r="N94" i="6"/>
  <c r="N102" i="6"/>
  <c r="N110" i="6"/>
  <c r="N118" i="6"/>
  <c r="N126" i="6"/>
  <c r="N134" i="6"/>
  <c r="N142" i="6"/>
  <c r="N150" i="6"/>
  <c r="N174" i="6"/>
  <c r="O222" i="6"/>
  <c r="Q169" i="6"/>
  <c r="N239" i="6"/>
  <c r="Q120" i="6"/>
  <c r="Q136" i="6"/>
  <c r="Q152" i="6"/>
  <c r="Q168" i="6"/>
  <c r="Q184" i="6"/>
  <c r="Q200" i="6"/>
  <c r="Q216" i="6"/>
  <c r="Q232" i="6"/>
  <c r="O6" i="6"/>
  <c r="O14" i="6"/>
  <c r="O22" i="6"/>
  <c r="O30" i="6"/>
  <c r="O38" i="6"/>
  <c r="O46" i="6"/>
  <c r="O54" i="6"/>
  <c r="O62" i="6"/>
  <c r="O70" i="6"/>
  <c r="O78" i="6"/>
  <c r="O86" i="6"/>
  <c r="O94" i="6"/>
  <c r="O102" i="6"/>
  <c r="O110" i="6"/>
  <c r="O118" i="6"/>
  <c r="O126" i="6"/>
  <c r="O134" i="6"/>
  <c r="O198" i="6"/>
  <c r="N55" i="6"/>
  <c r="N79" i="6"/>
  <c r="N127" i="6"/>
  <c r="N231" i="6"/>
  <c r="N4" i="5"/>
  <c r="N20" i="5"/>
  <c r="N36" i="5"/>
  <c r="N52" i="5"/>
  <c r="N68" i="5"/>
  <c r="N84" i="5"/>
  <c r="N100" i="5"/>
  <c r="N116" i="5"/>
  <c r="N132" i="5"/>
  <c r="N148" i="5"/>
  <c r="N164" i="5"/>
  <c r="N180" i="5"/>
  <c r="N196" i="5"/>
  <c r="N212" i="5"/>
  <c r="O8" i="5"/>
  <c r="O24" i="5"/>
  <c r="O40" i="5"/>
  <c r="O56" i="5"/>
  <c r="O72" i="5"/>
  <c r="O88" i="5"/>
  <c r="O104" i="5"/>
  <c r="O120" i="5"/>
  <c r="O136" i="5"/>
  <c r="O152" i="5"/>
  <c r="O168" i="5"/>
  <c r="O184" i="5"/>
  <c r="O200" i="5"/>
  <c r="O216" i="5"/>
  <c r="N198" i="5"/>
  <c r="O26" i="5"/>
  <c r="O42" i="5"/>
  <c r="O74" i="5"/>
  <c r="O106" i="5"/>
  <c r="O138" i="5"/>
  <c r="O170" i="5"/>
  <c r="O202" i="5"/>
  <c r="O27" i="5"/>
  <c r="O75" i="5"/>
  <c r="O123" i="5"/>
  <c r="O155" i="5"/>
  <c r="O187" i="5"/>
  <c r="O191" i="5"/>
  <c r="O161" i="5"/>
  <c r="O98" i="5"/>
  <c r="O83" i="5"/>
  <c r="O163" i="5"/>
  <c r="O181" i="5"/>
  <c r="N210" i="5"/>
  <c r="O38" i="5"/>
  <c r="O166" i="5"/>
  <c r="N99" i="5"/>
  <c r="O71" i="5"/>
  <c r="N5" i="5"/>
  <c r="N21" i="5"/>
  <c r="N37" i="5"/>
  <c r="N53" i="5"/>
  <c r="N69" i="5"/>
  <c r="N85" i="5"/>
  <c r="N101" i="5"/>
  <c r="N117" i="5"/>
  <c r="N133" i="5"/>
  <c r="N149" i="5"/>
  <c r="N165" i="5"/>
  <c r="N181" i="5"/>
  <c r="N197" i="5"/>
  <c r="N213" i="5"/>
  <c r="O9" i="5"/>
  <c r="O25" i="5"/>
  <c r="O41" i="5"/>
  <c r="O57" i="5"/>
  <c r="O73" i="5"/>
  <c r="O89" i="5"/>
  <c r="O105" i="5"/>
  <c r="O121" i="5"/>
  <c r="O137" i="5"/>
  <c r="O153" i="5"/>
  <c r="O169" i="5"/>
  <c r="O185" i="5"/>
  <c r="O201" i="5"/>
  <c r="O217" i="5"/>
  <c r="N182" i="5"/>
  <c r="O10" i="5"/>
  <c r="O58" i="5"/>
  <c r="O122" i="5"/>
  <c r="O154" i="5"/>
  <c r="O186" i="5"/>
  <c r="O218" i="5"/>
  <c r="O59" i="5"/>
  <c r="O107" i="5"/>
  <c r="O171" i="5"/>
  <c r="O203" i="5"/>
  <c r="O3" i="5"/>
  <c r="O82" i="5"/>
  <c r="O115" i="5"/>
  <c r="O148" i="5"/>
  <c r="N114" i="5"/>
  <c r="N83" i="5"/>
  <c r="O151" i="5"/>
  <c r="N6" i="5"/>
  <c r="N22" i="5"/>
  <c r="N38" i="5"/>
  <c r="N54" i="5"/>
  <c r="N70" i="5"/>
  <c r="N86" i="5"/>
  <c r="N102" i="5"/>
  <c r="N118" i="5"/>
  <c r="N134" i="5"/>
  <c r="N150" i="5"/>
  <c r="N166" i="5"/>
  <c r="N214" i="5"/>
  <c r="O90" i="5"/>
  <c r="O209" i="5"/>
  <c r="O210" i="5"/>
  <c r="O51" i="5"/>
  <c r="N66" i="5"/>
  <c r="O118" i="5"/>
  <c r="N211" i="5"/>
  <c r="O215" i="5"/>
  <c r="N7" i="5"/>
  <c r="N23" i="5"/>
  <c r="N39" i="5"/>
  <c r="N55" i="5"/>
  <c r="N71" i="5"/>
  <c r="N87" i="5"/>
  <c r="N103" i="5"/>
  <c r="N119" i="5"/>
  <c r="N135" i="5"/>
  <c r="N151" i="5"/>
  <c r="N167" i="5"/>
  <c r="N183" i="5"/>
  <c r="N199" i="5"/>
  <c r="N215" i="5"/>
  <c r="O11" i="5"/>
  <c r="O43" i="5"/>
  <c r="O91" i="5"/>
  <c r="O139" i="5"/>
  <c r="O219" i="5"/>
  <c r="O130" i="5"/>
  <c r="O147" i="5"/>
  <c r="O165" i="5"/>
  <c r="N194" i="5"/>
  <c r="O102" i="5"/>
  <c r="N131" i="5"/>
  <c r="O87" i="5"/>
  <c r="N8" i="5"/>
  <c r="N24" i="5"/>
  <c r="N40" i="5"/>
  <c r="N56" i="5"/>
  <c r="N72" i="5"/>
  <c r="N88" i="5"/>
  <c r="N104" i="5"/>
  <c r="N120" i="5"/>
  <c r="N136" i="5"/>
  <c r="N152" i="5"/>
  <c r="N168" i="5"/>
  <c r="N184" i="5"/>
  <c r="N200" i="5"/>
  <c r="N216" i="5"/>
  <c r="O12" i="5"/>
  <c r="O28" i="5"/>
  <c r="O44" i="5"/>
  <c r="O60" i="5"/>
  <c r="O76" i="5"/>
  <c r="O92" i="5"/>
  <c r="O108" i="5"/>
  <c r="O124" i="5"/>
  <c r="O140" i="5"/>
  <c r="O156" i="5"/>
  <c r="O172" i="5"/>
  <c r="O188" i="5"/>
  <c r="O204" i="5"/>
  <c r="O220" i="5"/>
  <c r="O157" i="5"/>
  <c r="O189" i="5"/>
  <c r="O221" i="5"/>
  <c r="O14" i="5"/>
  <c r="O46" i="5"/>
  <c r="O94" i="5"/>
  <c r="O126" i="5"/>
  <c r="O142" i="5"/>
  <c r="O174" i="5"/>
  <c r="O222" i="5"/>
  <c r="O127" i="5"/>
  <c r="O175" i="5"/>
  <c r="O145" i="5"/>
  <c r="O178" i="5"/>
  <c r="O19" i="5"/>
  <c r="O195" i="5"/>
  <c r="O196" i="5"/>
  <c r="N162" i="5"/>
  <c r="O54" i="5"/>
  <c r="N35" i="5"/>
  <c r="O55" i="5"/>
  <c r="N9" i="5"/>
  <c r="N25" i="5"/>
  <c r="N41" i="5"/>
  <c r="N57" i="5"/>
  <c r="N73" i="5"/>
  <c r="N89" i="5"/>
  <c r="N105" i="5"/>
  <c r="N121" i="5"/>
  <c r="N137" i="5"/>
  <c r="N153" i="5"/>
  <c r="N169" i="5"/>
  <c r="N185" i="5"/>
  <c r="N201" i="5"/>
  <c r="N217" i="5"/>
  <c r="O13" i="5"/>
  <c r="O29" i="5"/>
  <c r="O45" i="5"/>
  <c r="O61" i="5"/>
  <c r="O77" i="5"/>
  <c r="O93" i="5"/>
  <c r="O109" i="5"/>
  <c r="O125" i="5"/>
  <c r="O141" i="5"/>
  <c r="O173" i="5"/>
  <c r="O205" i="5"/>
  <c r="N218" i="5"/>
  <c r="O30" i="5"/>
  <c r="O78" i="5"/>
  <c r="O110" i="5"/>
  <c r="O158" i="5"/>
  <c r="O206" i="5"/>
  <c r="O143" i="5"/>
  <c r="O207" i="5"/>
  <c r="O114" i="5"/>
  <c r="O99" i="5"/>
  <c r="O179" i="5"/>
  <c r="O197" i="5"/>
  <c r="N146" i="5"/>
  <c r="N67" i="5"/>
  <c r="O167" i="5"/>
  <c r="N10" i="5"/>
  <c r="N26" i="5"/>
  <c r="N42" i="5"/>
  <c r="N58" i="5"/>
  <c r="N74" i="5"/>
  <c r="N90" i="5"/>
  <c r="N106" i="5"/>
  <c r="N122" i="5"/>
  <c r="N138" i="5"/>
  <c r="N154" i="5"/>
  <c r="N170" i="5"/>
  <c r="N186" i="5"/>
  <c r="N202" i="5"/>
  <c r="O62" i="5"/>
  <c r="O190" i="5"/>
  <c r="N207" i="5"/>
  <c r="N34" i="5"/>
  <c r="O214" i="5"/>
  <c r="O7" i="5"/>
  <c r="N11" i="5"/>
  <c r="N27" i="5"/>
  <c r="N43" i="5"/>
  <c r="N59" i="5"/>
  <c r="N75" i="5"/>
  <c r="N91" i="5"/>
  <c r="N107" i="5"/>
  <c r="N123" i="5"/>
  <c r="N139" i="5"/>
  <c r="N155" i="5"/>
  <c r="N171" i="5"/>
  <c r="N187" i="5"/>
  <c r="N203" i="5"/>
  <c r="N219" i="5"/>
  <c r="O15" i="5"/>
  <c r="O31" i="5"/>
  <c r="O47" i="5"/>
  <c r="O63" i="5"/>
  <c r="O79" i="5"/>
  <c r="O95" i="5"/>
  <c r="O111" i="5"/>
  <c r="O159" i="5"/>
  <c r="O193" i="5"/>
  <c r="O162" i="5"/>
  <c r="O131" i="5"/>
  <c r="O132" i="5"/>
  <c r="N82" i="5"/>
  <c r="O198" i="5"/>
  <c r="N179" i="5"/>
  <c r="O199" i="5"/>
  <c r="N12" i="5"/>
  <c r="N28" i="5"/>
  <c r="N44" i="5"/>
  <c r="N60" i="5"/>
  <c r="N76" i="5"/>
  <c r="N92" i="5"/>
  <c r="N108" i="5"/>
  <c r="N124" i="5"/>
  <c r="N140" i="5"/>
  <c r="N156" i="5"/>
  <c r="N172" i="5"/>
  <c r="N188" i="5"/>
  <c r="N204" i="5"/>
  <c r="N220" i="5"/>
  <c r="O16" i="5"/>
  <c r="O32" i="5"/>
  <c r="O48" i="5"/>
  <c r="O64" i="5"/>
  <c r="O80" i="5"/>
  <c r="O96" i="5"/>
  <c r="O112" i="5"/>
  <c r="O128" i="5"/>
  <c r="O144" i="5"/>
  <c r="O160" i="5"/>
  <c r="O176" i="5"/>
  <c r="O192" i="5"/>
  <c r="O208" i="5"/>
  <c r="O129" i="5"/>
  <c r="O194" i="5"/>
  <c r="O35" i="5"/>
  <c r="O212" i="5"/>
  <c r="N98" i="5"/>
  <c r="O150" i="5"/>
  <c r="N195" i="5"/>
  <c r="O183" i="5"/>
  <c r="N13" i="5"/>
  <c r="N29" i="5"/>
  <c r="N45" i="5"/>
  <c r="N61" i="5"/>
  <c r="N77" i="5"/>
  <c r="N93" i="5"/>
  <c r="N109" i="5"/>
  <c r="N125" i="5"/>
  <c r="N141" i="5"/>
  <c r="N157" i="5"/>
  <c r="N173" i="5"/>
  <c r="N189" i="5"/>
  <c r="N205" i="5"/>
  <c r="N221" i="5"/>
  <c r="O17" i="5"/>
  <c r="O33" i="5"/>
  <c r="O49" i="5"/>
  <c r="O65" i="5"/>
  <c r="O81" i="5"/>
  <c r="O97" i="5"/>
  <c r="O113" i="5"/>
  <c r="O177" i="5"/>
  <c r="N3" i="5"/>
  <c r="N18" i="5"/>
  <c r="O134" i="5"/>
  <c r="N147" i="5"/>
  <c r="O103" i="5"/>
  <c r="N14" i="5"/>
  <c r="N30" i="5"/>
  <c r="N46" i="5"/>
  <c r="N62" i="5"/>
  <c r="N78" i="5"/>
  <c r="N94" i="5"/>
  <c r="N110" i="5"/>
  <c r="N126" i="5"/>
  <c r="N142" i="5"/>
  <c r="N158" i="5"/>
  <c r="N174" i="5"/>
  <c r="N190" i="5"/>
  <c r="N206" i="5"/>
  <c r="N222" i="5"/>
  <c r="O18" i="5"/>
  <c r="O34" i="5"/>
  <c r="O50" i="5"/>
  <c r="O66" i="5"/>
  <c r="O146" i="5"/>
  <c r="O211" i="5"/>
  <c r="O180" i="5"/>
  <c r="N130" i="5"/>
  <c r="N115" i="5"/>
  <c r="O119" i="5"/>
  <c r="N15" i="5"/>
  <c r="N31" i="5"/>
  <c r="N47" i="5"/>
  <c r="N63" i="5"/>
  <c r="N79" i="5"/>
  <c r="N95" i="5"/>
  <c r="N111" i="5"/>
  <c r="N127" i="5"/>
  <c r="N143" i="5"/>
  <c r="N159" i="5"/>
  <c r="N175" i="5"/>
  <c r="N191" i="5"/>
  <c r="O67" i="5"/>
  <c r="N50" i="5"/>
  <c r="O22" i="5"/>
  <c r="N163" i="5"/>
  <c r="O135" i="5"/>
  <c r="N16" i="5"/>
  <c r="N32" i="5"/>
  <c r="N48" i="5"/>
  <c r="N64" i="5"/>
  <c r="N80" i="5"/>
  <c r="N96" i="5"/>
  <c r="N112" i="5"/>
  <c r="N128" i="5"/>
  <c r="N144" i="5"/>
  <c r="N160" i="5"/>
  <c r="N176" i="5"/>
  <c r="N192" i="5"/>
  <c r="N208" i="5"/>
  <c r="O4" i="5"/>
  <c r="O20" i="5"/>
  <c r="O36" i="5"/>
  <c r="O52" i="5"/>
  <c r="O68" i="5"/>
  <c r="O84" i="5"/>
  <c r="O100" i="5"/>
  <c r="O116" i="5"/>
  <c r="O164" i="5"/>
  <c r="N178" i="5"/>
  <c r="O86" i="5"/>
  <c r="N19" i="5"/>
  <c r="O23" i="5"/>
  <c r="N17" i="5"/>
  <c r="N33" i="5"/>
  <c r="N49" i="5"/>
  <c r="N65" i="5"/>
  <c r="N81" i="5"/>
  <c r="N97" i="5"/>
  <c r="N113" i="5"/>
  <c r="N129" i="5"/>
  <c r="N145" i="5"/>
  <c r="N161" i="5"/>
  <c r="N177" i="5"/>
  <c r="N193" i="5"/>
  <c r="N209" i="5"/>
  <c r="O5" i="5"/>
  <c r="O21" i="5"/>
  <c r="O37" i="5"/>
  <c r="O53" i="5"/>
  <c r="O69" i="5"/>
  <c r="O85" i="5"/>
  <c r="O101" i="5"/>
  <c r="O117" i="5"/>
  <c r="O133" i="5"/>
  <c r="O149" i="5"/>
  <c r="O213" i="5"/>
  <c r="O6" i="5"/>
  <c r="O70" i="5"/>
  <c r="O182" i="5"/>
  <c r="N51" i="5"/>
  <c r="O39" i="5"/>
  <c r="I4" i="9"/>
  <c r="M107" i="9"/>
  <c r="N112" i="9"/>
  <c r="O117" i="9"/>
  <c r="M123" i="9"/>
  <c r="N128" i="9"/>
  <c r="O133" i="9"/>
  <c r="M139" i="9"/>
  <c r="N144" i="9"/>
  <c r="O149" i="9"/>
  <c r="M155" i="9"/>
  <c r="N160" i="9"/>
  <c r="O165" i="9"/>
  <c r="M171" i="9"/>
  <c r="N176" i="9"/>
  <c r="O181" i="9"/>
  <c r="M187" i="9"/>
  <c r="N192" i="9"/>
  <c r="O197" i="9"/>
  <c r="N208" i="9"/>
  <c r="M219" i="9"/>
  <c r="O229" i="9"/>
  <c r="N107" i="9"/>
  <c r="O112" i="9"/>
  <c r="M118" i="9"/>
  <c r="N123" i="9"/>
  <c r="O128" i="9"/>
  <c r="M134" i="9"/>
  <c r="N139" i="9"/>
  <c r="O144" i="9"/>
  <c r="M150" i="9"/>
  <c r="N155" i="9"/>
  <c r="O160" i="9"/>
  <c r="M166" i="9"/>
  <c r="N171" i="9"/>
  <c r="O176" i="9"/>
  <c r="M182" i="9"/>
  <c r="N187" i="9"/>
  <c r="O192" i="9"/>
  <c r="M198" i="9"/>
  <c r="N203" i="9"/>
  <c r="O208" i="9"/>
  <c r="M214" i="9"/>
  <c r="N219" i="9"/>
  <c r="O224" i="9"/>
  <c r="O107" i="9"/>
  <c r="M113" i="9"/>
  <c r="N118" i="9"/>
  <c r="O123" i="9"/>
  <c r="M129" i="9"/>
  <c r="N134" i="9"/>
  <c r="O139" i="9"/>
  <c r="M145" i="9"/>
  <c r="N150" i="9"/>
  <c r="O155" i="9"/>
  <c r="M161" i="9"/>
  <c r="N166" i="9"/>
  <c r="O171" i="9"/>
  <c r="M177" i="9"/>
  <c r="N182" i="9"/>
  <c r="O187" i="9"/>
  <c r="M193" i="9"/>
  <c r="N198" i="9"/>
  <c r="O203" i="9"/>
  <c r="M209" i="9"/>
  <c r="N214" i="9"/>
  <c r="O219" i="9"/>
  <c r="M225" i="9"/>
  <c r="N230" i="9"/>
  <c r="O235" i="9"/>
  <c r="M241" i="9"/>
  <c r="N140" i="9"/>
  <c r="O177" i="9"/>
  <c r="N188" i="9"/>
  <c r="N204" i="9"/>
  <c r="M215" i="9"/>
  <c r="O225" i="9"/>
  <c r="N236" i="9"/>
  <c r="O156" i="9"/>
  <c r="N183" i="9"/>
  <c r="O204" i="9"/>
  <c r="M226" i="9"/>
  <c r="N243" i="9"/>
  <c r="N228" i="9"/>
  <c r="N207" i="9"/>
  <c r="M234" i="9"/>
  <c r="M108" i="9"/>
  <c r="N113" i="9"/>
  <c r="O118" i="9"/>
  <c r="M124" i="9"/>
  <c r="N129" i="9"/>
  <c r="O134" i="9"/>
  <c r="M140" i="9"/>
  <c r="N145" i="9"/>
  <c r="O150" i="9"/>
  <c r="M156" i="9"/>
  <c r="N161" i="9"/>
  <c r="O166" i="9"/>
  <c r="M172" i="9"/>
  <c r="N177" i="9"/>
  <c r="O182" i="9"/>
  <c r="M188" i="9"/>
  <c r="N193" i="9"/>
  <c r="O198" i="9"/>
  <c r="M204" i="9"/>
  <c r="N209" i="9"/>
  <c r="O214" i="9"/>
  <c r="M220" i="9"/>
  <c r="N225" i="9"/>
  <c r="O230" i="9"/>
  <c r="M236" i="9"/>
  <c r="N241" i="9"/>
  <c r="N108" i="9"/>
  <c r="O113" i="9"/>
  <c r="M119" i="9"/>
  <c r="N124" i="9"/>
  <c r="O129" i="9"/>
  <c r="M135" i="9"/>
  <c r="O145" i="9"/>
  <c r="M151" i="9"/>
  <c r="N156" i="9"/>
  <c r="O161" i="9"/>
  <c r="N172" i="9"/>
  <c r="M183" i="9"/>
  <c r="O193" i="9"/>
  <c r="M199" i="9"/>
  <c r="O209" i="9"/>
  <c r="N220" i="9"/>
  <c r="M231" i="9"/>
  <c r="O241" i="9"/>
  <c r="N167" i="9"/>
  <c r="O188" i="9"/>
  <c r="M210" i="9"/>
  <c r="O220" i="9"/>
  <c r="M242" i="9"/>
  <c r="M239" i="9"/>
  <c r="N191" i="9"/>
  <c r="N239" i="9"/>
  <c r="M167" i="9"/>
  <c r="O172" i="9"/>
  <c r="N199" i="9"/>
  <c r="N231" i="9"/>
  <c r="O108" i="9"/>
  <c r="M114" i="9"/>
  <c r="N119" i="9"/>
  <c r="O124" i="9"/>
  <c r="M130" i="9"/>
  <c r="N135" i="9"/>
  <c r="O140" i="9"/>
  <c r="M146" i="9"/>
  <c r="N151" i="9"/>
  <c r="M162" i="9"/>
  <c r="M178" i="9"/>
  <c r="M194" i="9"/>
  <c r="N215" i="9"/>
  <c r="O236" i="9"/>
  <c r="N212" i="9"/>
  <c r="O196" i="9"/>
  <c r="M230" i="9"/>
  <c r="M109" i="9"/>
  <c r="N114" i="9"/>
  <c r="O119" i="9"/>
  <c r="M125" i="9"/>
  <c r="N130" i="9"/>
  <c r="O135" i="9"/>
  <c r="M141" i="9"/>
  <c r="N146" i="9"/>
  <c r="O151" i="9"/>
  <c r="M157" i="9"/>
  <c r="N162" i="9"/>
  <c r="O167" i="9"/>
  <c r="M173" i="9"/>
  <c r="N178" i="9"/>
  <c r="O183" i="9"/>
  <c r="M189" i="9"/>
  <c r="N194" i="9"/>
  <c r="O199" i="9"/>
  <c r="M205" i="9"/>
  <c r="N210" i="9"/>
  <c r="O215" i="9"/>
  <c r="M221" i="9"/>
  <c r="N226" i="9"/>
  <c r="O231" i="9"/>
  <c r="M237" i="9"/>
  <c r="N242" i="9"/>
  <c r="M232" i="9"/>
  <c r="O242" i="9"/>
  <c r="N120" i="9"/>
  <c r="N136" i="9"/>
  <c r="N152" i="9"/>
  <c r="N168" i="9"/>
  <c r="N184" i="9"/>
  <c r="O205" i="9"/>
  <c r="N216" i="9"/>
  <c r="O237" i="9"/>
  <c r="M174" i="9"/>
  <c r="M206" i="9"/>
  <c r="M222" i="9"/>
  <c r="O233" i="9"/>
  <c r="O180" i="9"/>
  <c r="N109" i="9"/>
  <c r="O114" i="9"/>
  <c r="M120" i="9"/>
  <c r="N125" i="9"/>
  <c r="O130" i="9"/>
  <c r="M136" i="9"/>
  <c r="N141" i="9"/>
  <c r="O146" i="9"/>
  <c r="M152" i="9"/>
  <c r="N157" i="9"/>
  <c r="O162" i="9"/>
  <c r="M168" i="9"/>
  <c r="N173" i="9"/>
  <c r="O178" i="9"/>
  <c r="M184" i="9"/>
  <c r="N189" i="9"/>
  <c r="O194" i="9"/>
  <c r="M200" i="9"/>
  <c r="N205" i="9"/>
  <c r="O210" i="9"/>
  <c r="M216" i="9"/>
  <c r="N221" i="9"/>
  <c r="O226" i="9"/>
  <c r="N237" i="9"/>
  <c r="M115" i="9"/>
  <c r="M147" i="9"/>
  <c r="M163" i="9"/>
  <c r="M179" i="9"/>
  <c r="O189" i="9"/>
  <c r="N200" i="9"/>
  <c r="M211" i="9"/>
  <c r="O221" i="9"/>
  <c r="N232" i="9"/>
  <c r="M243" i="9"/>
  <c r="M190" i="9"/>
  <c r="N195" i="9"/>
  <c r="O216" i="9"/>
  <c r="O232" i="9"/>
  <c r="O164" i="9"/>
  <c r="O228" i="9"/>
  <c r="O109" i="9"/>
  <c r="O125" i="9"/>
  <c r="M131" i="9"/>
  <c r="O141" i="9"/>
  <c r="O157" i="9"/>
  <c r="O173" i="9"/>
  <c r="M195" i="9"/>
  <c r="M227" i="9"/>
  <c r="O184" i="9"/>
  <c r="N211" i="9"/>
  <c r="M238" i="9"/>
  <c r="M218" i="9"/>
  <c r="N240" i="9"/>
  <c r="M110" i="9"/>
  <c r="N115" i="9"/>
  <c r="O120" i="9"/>
  <c r="M126" i="9"/>
  <c r="N131" i="9"/>
  <c r="O136" i="9"/>
  <c r="M142" i="9"/>
  <c r="N147" i="9"/>
  <c r="O152" i="9"/>
  <c r="M158" i="9"/>
  <c r="N163" i="9"/>
  <c r="O168" i="9"/>
  <c r="N179" i="9"/>
  <c r="O200" i="9"/>
  <c r="N227" i="9"/>
  <c r="N175" i="9"/>
  <c r="N110" i="9"/>
  <c r="O115" i="9"/>
  <c r="M121" i="9"/>
  <c r="N126" i="9"/>
  <c r="O131" i="9"/>
  <c r="M137" i="9"/>
  <c r="N142" i="9"/>
  <c r="O147" i="9"/>
  <c r="M153" i="9"/>
  <c r="N158" i="9"/>
  <c r="O163" i="9"/>
  <c r="M169" i="9"/>
  <c r="N174" i="9"/>
  <c r="O179" i="9"/>
  <c r="M185" i="9"/>
  <c r="N190" i="9"/>
  <c r="O195" i="9"/>
  <c r="M201" i="9"/>
  <c r="N206" i="9"/>
  <c r="O211" i="9"/>
  <c r="M217" i="9"/>
  <c r="N222" i="9"/>
  <c r="O227" i="9"/>
  <c r="M233" i="9"/>
  <c r="N238" i="9"/>
  <c r="O243" i="9"/>
  <c r="N169" i="9"/>
  <c r="N185" i="9"/>
  <c r="M196" i="9"/>
  <c r="O206" i="9"/>
  <c r="N217" i="9"/>
  <c r="O222" i="9"/>
  <c r="N233" i="9"/>
  <c r="M191" i="9"/>
  <c r="M223" i="9"/>
  <c r="O212" i="9"/>
  <c r="O239" i="9"/>
  <c r="O110" i="9"/>
  <c r="M116" i="9"/>
  <c r="N121" i="9"/>
  <c r="O126" i="9"/>
  <c r="M132" i="9"/>
  <c r="N137" i="9"/>
  <c r="O142" i="9"/>
  <c r="M148" i="9"/>
  <c r="N153" i="9"/>
  <c r="O158" i="9"/>
  <c r="M164" i="9"/>
  <c r="O174" i="9"/>
  <c r="M180" i="9"/>
  <c r="O190" i="9"/>
  <c r="N201" i="9"/>
  <c r="M212" i="9"/>
  <c r="M228" i="9"/>
  <c r="O238" i="9"/>
  <c r="O201" i="9"/>
  <c r="O217" i="9"/>
  <c r="M202" i="9"/>
  <c r="N235" i="9"/>
  <c r="M111" i="9"/>
  <c r="N116" i="9"/>
  <c r="O121" i="9"/>
  <c r="M127" i="9"/>
  <c r="N132" i="9"/>
  <c r="O137" i="9"/>
  <c r="M143" i="9"/>
  <c r="N148" i="9"/>
  <c r="O153" i="9"/>
  <c r="M159" i="9"/>
  <c r="N164" i="9"/>
  <c r="O169" i="9"/>
  <c r="M175" i="9"/>
  <c r="N180" i="9"/>
  <c r="O185" i="9"/>
  <c r="N196" i="9"/>
  <c r="M207" i="9"/>
  <c r="M186" i="9"/>
  <c r="N111" i="9"/>
  <c r="O116" i="9"/>
  <c r="M122" i="9"/>
  <c r="N127" i="9"/>
  <c r="O132" i="9"/>
  <c r="M138" i="9"/>
  <c r="N143" i="9"/>
  <c r="O148" i="9"/>
  <c r="M154" i="9"/>
  <c r="N159" i="9"/>
  <c r="M170" i="9"/>
  <c r="N223" i="9"/>
  <c r="O111" i="9"/>
  <c r="M117" i="9"/>
  <c r="N122" i="9"/>
  <c r="O127" i="9"/>
  <c r="M133" i="9"/>
  <c r="N138" i="9"/>
  <c r="O143" i="9"/>
  <c r="M149" i="9"/>
  <c r="N154" i="9"/>
  <c r="O159" i="9"/>
  <c r="M165" i="9"/>
  <c r="N170" i="9"/>
  <c r="O175" i="9"/>
  <c r="M181" i="9"/>
  <c r="N186" i="9"/>
  <c r="O191" i="9"/>
  <c r="M197" i="9"/>
  <c r="N202" i="9"/>
  <c r="O207" i="9"/>
  <c r="M213" i="9"/>
  <c r="N218" i="9"/>
  <c r="O223" i="9"/>
  <c r="M229" i="9"/>
  <c r="N234" i="9"/>
  <c r="O240" i="9"/>
  <c r="M112" i="9"/>
  <c r="N117" i="9"/>
  <c r="O122" i="9"/>
  <c r="M128" i="9"/>
  <c r="N133" i="9"/>
  <c r="O138" i="9"/>
  <c r="M144" i="9"/>
  <c r="N149" i="9"/>
  <c r="O154" i="9"/>
  <c r="M160" i="9"/>
  <c r="N165" i="9"/>
  <c r="O170" i="9"/>
  <c r="M176" i="9"/>
  <c r="N181" i="9"/>
  <c r="O186" i="9"/>
  <c r="M192" i="9"/>
  <c r="N197" i="9"/>
  <c r="O202" i="9"/>
  <c r="M208" i="9"/>
  <c r="N213" i="9"/>
  <c r="O218" i="9"/>
  <c r="M224" i="9"/>
  <c r="N229" i="9"/>
  <c r="O234" i="9"/>
  <c r="M240" i="9"/>
  <c r="M203" i="9"/>
  <c r="O213" i="9"/>
  <c r="N224" i="9"/>
  <c r="M235" i="9"/>
  <c r="O106" i="9"/>
  <c r="O90" i="9"/>
  <c r="O74" i="9"/>
  <c r="O58" i="9"/>
  <c r="O42" i="9"/>
  <c r="O26" i="9"/>
  <c r="O10" i="9"/>
  <c r="O57" i="9"/>
  <c r="O41" i="9"/>
  <c r="O9" i="9"/>
  <c r="O21" i="9"/>
  <c r="O52" i="9"/>
  <c r="O35" i="9"/>
  <c r="O50" i="9"/>
  <c r="O105" i="9"/>
  <c r="O89" i="9"/>
  <c r="O73" i="9"/>
  <c r="O25" i="9"/>
  <c r="O100" i="9"/>
  <c r="O4" i="9"/>
  <c r="O51" i="9"/>
  <c r="O66" i="9"/>
  <c r="O104" i="9"/>
  <c r="O88" i="9"/>
  <c r="O72" i="9"/>
  <c r="O56" i="9"/>
  <c r="O40" i="9"/>
  <c r="O24" i="9"/>
  <c r="O8" i="9"/>
  <c r="O71" i="9"/>
  <c r="O55" i="9"/>
  <c r="O23" i="9"/>
  <c r="O36" i="9"/>
  <c r="O49" i="9"/>
  <c r="O32" i="9"/>
  <c r="O63" i="9"/>
  <c r="O46" i="9"/>
  <c r="O29" i="9"/>
  <c r="O92" i="9"/>
  <c r="O11" i="9"/>
  <c r="O103" i="9"/>
  <c r="O87" i="9"/>
  <c r="O39" i="9"/>
  <c r="O7" i="9"/>
  <c r="O84" i="9"/>
  <c r="O83" i="9"/>
  <c r="O19" i="9"/>
  <c r="O34" i="9"/>
  <c r="O81" i="9"/>
  <c r="O96" i="9"/>
  <c r="O79" i="9"/>
  <c r="O78" i="9"/>
  <c r="O93" i="9"/>
  <c r="O60" i="9"/>
  <c r="O75" i="9"/>
  <c r="O102" i="9"/>
  <c r="O86" i="9"/>
  <c r="O70" i="9"/>
  <c r="O54" i="9"/>
  <c r="O38" i="9"/>
  <c r="O22" i="9"/>
  <c r="O6" i="9"/>
  <c r="O68" i="9"/>
  <c r="O99" i="9"/>
  <c r="O82" i="9"/>
  <c r="O97" i="9"/>
  <c r="O33" i="9"/>
  <c r="O80" i="9"/>
  <c r="O48" i="9"/>
  <c r="O95" i="9"/>
  <c r="O15" i="9"/>
  <c r="O30" i="9"/>
  <c r="O61" i="9"/>
  <c r="O44" i="9"/>
  <c r="O91" i="9"/>
  <c r="O101" i="9"/>
  <c r="O85" i="9"/>
  <c r="O69" i="9"/>
  <c r="O53" i="9"/>
  <c r="O37" i="9"/>
  <c r="O5" i="9"/>
  <c r="O20" i="9"/>
  <c r="O67" i="9"/>
  <c r="O98" i="9"/>
  <c r="O18" i="9"/>
  <c r="O65" i="9"/>
  <c r="O17" i="9"/>
  <c r="O64" i="9"/>
  <c r="O16" i="9"/>
  <c r="O31" i="9"/>
  <c r="O62" i="9"/>
  <c r="O14" i="9"/>
  <c r="O77" i="9"/>
  <c r="O12" i="9"/>
  <c r="O59" i="9"/>
  <c r="O47" i="9"/>
  <c r="O45" i="9"/>
  <c r="O76" i="9"/>
  <c r="O27" i="9"/>
  <c r="O94" i="9"/>
  <c r="O13" i="9"/>
  <c r="O43" i="9"/>
  <c r="O28" i="9"/>
  <c r="N106" i="9"/>
  <c r="N90" i="9"/>
  <c r="N74" i="9"/>
  <c r="N58" i="9"/>
  <c r="N42" i="9"/>
  <c r="N26" i="9"/>
  <c r="N10" i="9"/>
  <c r="N71" i="9"/>
  <c r="N55" i="9"/>
  <c r="N7" i="9"/>
  <c r="N86" i="9"/>
  <c r="N54" i="9"/>
  <c r="N6" i="9"/>
  <c r="N37" i="9"/>
  <c r="N68" i="9"/>
  <c r="N51" i="9"/>
  <c r="N65" i="9"/>
  <c r="N16" i="9"/>
  <c r="N15" i="9"/>
  <c r="N62" i="9"/>
  <c r="N29" i="9"/>
  <c r="N44" i="9"/>
  <c r="N105" i="9"/>
  <c r="N89" i="9"/>
  <c r="N73" i="9"/>
  <c r="N57" i="9"/>
  <c r="N41" i="9"/>
  <c r="N25" i="9"/>
  <c r="N9" i="9"/>
  <c r="N87" i="9"/>
  <c r="N39" i="9"/>
  <c r="N70" i="9"/>
  <c r="N22" i="9"/>
  <c r="N53" i="9"/>
  <c r="N21" i="9"/>
  <c r="N52" i="9"/>
  <c r="N83" i="9"/>
  <c r="N104" i="9"/>
  <c r="N88" i="9"/>
  <c r="N72" i="9"/>
  <c r="N56" i="9"/>
  <c r="N40" i="9"/>
  <c r="N24" i="9"/>
  <c r="N8" i="9"/>
  <c r="N103" i="9"/>
  <c r="N23" i="9"/>
  <c r="N36" i="9"/>
  <c r="N67" i="9"/>
  <c r="N18" i="9"/>
  <c r="N95" i="9"/>
  <c r="N13" i="9"/>
  <c r="N59" i="9"/>
  <c r="N102" i="9"/>
  <c r="N38" i="9"/>
  <c r="N84" i="9"/>
  <c r="N19" i="9"/>
  <c r="N33" i="9"/>
  <c r="N48" i="9"/>
  <c r="N31" i="9"/>
  <c r="N78" i="9"/>
  <c r="N76" i="9"/>
  <c r="N101" i="9"/>
  <c r="N85" i="9"/>
  <c r="N69" i="9"/>
  <c r="N5" i="9"/>
  <c r="N4" i="9"/>
  <c r="N35" i="9"/>
  <c r="N34" i="9"/>
  <c r="N17" i="9"/>
  <c r="N79" i="9"/>
  <c r="N93" i="9"/>
  <c r="N60" i="9"/>
  <c r="N43" i="9"/>
  <c r="N100" i="9"/>
  <c r="N20" i="9"/>
  <c r="N66" i="9"/>
  <c r="N80" i="9"/>
  <c r="N47" i="9"/>
  <c r="N46" i="9"/>
  <c r="N61" i="9"/>
  <c r="N28" i="9"/>
  <c r="N99" i="9"/>
  <c r="N98" i="9"/>
  <c r="N82" i="9"/>
  <c r="N50" i="9"/>
  <c r="N64" i="9"/>
  <c r="N63" i="9"/>
  <c r="N14" i="9"/>
  <c r="N77" i="9"/>
  <c r="N91" i="9"/>
  <c r="N97" i="9"/>
  <c r="N81" i="9"/>
  <c r="N49" i="9"/>
  <c r="N32" i="9"/>
  <c r="N94" i="9"/>
  <c r="N30" i="9"/>
  <c r="N45" i="9"/>
  <c r="N12" i="9"/>
  <c r="N11" i="9"/>
  <c r="N96" i="9"/>
  <c r="N92" i="9"/>
  <c r="N27" i="9"/>
  <c r="N75" i="9"/>
  <c r="G4" i="4"/>
  <c r="K5" i="4"/>
  <c r="K6" i="4"/>
  <c r="K7" i="4"/>
  <c r="K8" i="4"/>
  <c r="K9" i="4"/>
  <c r="K10" i="4"/>
  <c r="K11" i="4"/>
  <c r="K12" i="4"/>
  <c r="K13" i="4"/>
  <c r="K14" i="4"/>
  <c r="K15" i="4"/>
  <c r="K16" i="4"/>
  <c r="K17" i="4"/>
  <c r="K18" i="4"/>
  <c r="K19" i="4"/>
  <c r="K20" i="4"/>
  <c r="K21" i="4"/>
  <c r="K22" i="4"/>
  <c r="K23" i="4"/>
  <c r="K24" i="4"/>
  <c r="K25" i="4"/>
  <c r="K26" i="4"/>
  <c r="K27" i="4"/>
  <c r="K28" i="4"/>
  <c r="K29" i="4"/>
  <c r="K30" i="4"/>
  <c r="K31" i="4"/>
  <c r="K32" i="4"/>
  <c r="K33" i="4"/>
  <c r="K34" i="4"/>
  <c r="K35" i="4"/>
  <c r="K36" i="4"/>
  <c r="K37" i="4"/>
  <c r="K38" i="4"/>
  <c r="K39" i="4"/>
  <c r="K40" i="4"/>
  <c r="K41" i="4"/>
  <c r="K42" i="4"/>
  <c r="K43" i="4"/>
  <c r="K44" i="4"/>
  <c r="K45" i="4"/>
  <c r="K46" i="4"/>
  <c r="K47" i="4"/>
  <c r="K48" i="4"/>
  <c r="K49" i="4"/>
  <c r="K50" i="4"/>
  <c r="K51" i="4"/>
  <c r="K52" i="4"/>
  <c r="K53" i="4"/>
  <c r="K54" i="4"/>
  <c r="K55" i="4"/>
  <c r="K56" i="4"/>
  <c r="K57" i="4"/>
  <c r="K58" i="4"/>
  <c r="K59" i="4"/>
  <c r="K60" i="4"/>
  <c r="K61" i="4"/>
  <c r="K62" i="4"/>
  <c r="K63" i="4"/>
  <c r="K64" i="4"/>
  <c r="K65" i="4"/>
  <c r="K66" i="4"/>
  <c r="K67" i="4"/>
  <c r="K68" i="4"/>
  <c r="K69" i="4"/>
  <c r="K70" i="4"/>
  <c r="K71" i="4"/>
  <c r="K72" i="4"/>
  <c r="K73" i="4"/>
  <c r="K74" i="4"/>
  <c r="K75" i="4"/>
  <c r="K76" i="4"/>
  <c r="K77" i="4"/>
  <c r="K78" i="4"/>
  <c r="K79" i="4"/>
  <c r="K80" i="4"/>
  <c r="K81" i="4"/>
  <c r="K82" i="4"/>
  <c r="K83" i="4"/>
  <c r="K84" i="4"/>
  <c r="K85" i="4"/>
  <c r="K86" i="4"/>
  <c r="K87" i="4"/>
  <c r="K88" i="4"/>
  <c r="K89" i="4"/>
  <c r="K90" i="4"/>
  <c r="K91" i="4"/>
  <c r="K92" i="4"/>
  <c r="K93" i="4"/>
  <c r="K94" i="4"/>
  <c r="K95" i="4"/>
  <c r="K96" i="4"/>
  <c r="K97" i="4"/>
  <c r="K98" i="4"/>
  <c r="K99" i="4"/>
  <c r="K100" i="4"/>
  <c r="K101" i="4"/>
  <c r="K102" i="4"/>
  <c r="K103" i="4"/>
  <c r="K104" i="4"/>
  <c r="K105" i="4"/>
  <c r="K106" i="4"/>
  <c r="K4" i="4"/>
  <c r="G7" i="3" a="1"/>
  <c r="F7" i="3" a="1"/>
  <c r="H7" i="3" a="1"/>
  <c r="E7" i="3" a="1"/>
  <c r="D7" i="3" a="1"/>
  <c r="C4" i="10" a="1"/>
  <c r="X2" i="1" a="1"/>
  <c r="E4" i="8" a="1"/>
  <c r="AB2" i="5" a="1"/>
  <c r="AB2" i="6" a="1"/>
  <c r="X2" i="1" l="1"/>
  <c r="J13" i="4"/>
  <c r="J53" i="4"/>
  <c r="J47" i="4"/>
  <c r="J16" i="4"/>
  <c r="J43" i="4"/>
  <c r="J14" i="4"/>
  <c r="J39" i="4"/>
  <c r="J23" i="4"/>
  <c r="J80" i="4"/>
  <c r="J91" i="4"/>
  <c r="J35" i="4"/>
  <c r="J51" i="4"/>
  <c r="J49" i="4"/>
  <c r="J88" i="4"/>
  <c r="J63" i="4"/>
  <c r="J27" i="4"/>
  <c r="J40" i="4"/>
  <c r="J87" i="4"/>
  <c r="J98" i="4"/>
  <c r="J106" i="4"/>
  <c r="J6" i="4"/>
  <c r="J103" i="4"/>
  <c r="J52" i="4"/>
  <c r="J18" i="4"/>
  <c r="J77" i="4"/>
  <c r="J10" i="4"/>
  <c r="J69" i="4"/>
  <c r="J41" i="4"/>
  <c r="J101" i="4"/>
  <c r="J90" i="4"/>
  <c r="J79" i="4"/>
  <c r="J46" i="4"/>
  <c r="J81" i="4"/>
  <c r="J89" i="4"/>
  <c r="J73" i="4"/>
  <c r="J11" i="4"/>
  <c r="J9" i="4"/>
  <c r="J76" i="4"/>
  <c r="J57" i="4"/>
  <c r="J75" i="4"/>
  <c r="J65" i="4"/>
  <c r="J78" i="4"/>
  <c r="J85" i="4"/>
  <c r="J59" i="4"/>
  <c r="J5" i="4"/>
  <c r="J86" i="4"/>
  <c r="J62" i="4"/>
  <c r="J48" i="4"/>
  <c r="J12" i="4"/>
  <c r="J66" i="4"/>
  <c r="J31" i="4"/>
  <c r="J42" i="4"/>
  <c r="J55" i="4"/>
  <c r="J61" i="4"/>
  <c r="J50" i="4"/>
  <c r="J7" i="4"/>
  <c r="J24" i="4"/>
  <c r="J104" i="4"/>
  <c r="J29" i="4"/>
  <c r="J72" i="4"/>
  <c r="J93" i="4"/>
  <c r="J70" i="4"/>
  <c r="J96" i="4"/>
  <c r="J22" i="4"/>
  <c r="J102" i="4"/>
  <c r="J64" i="4"/>
  <c r="J28" i="4"/>
  <c r="J92" i="4"/>
  <c r="J82" i="4"/>
  <c r="J32" i="4"/>
  <c r="J71" i="4"/>
  <c r="J37" i="4"/>
  <c r="J56" i="4"/>
  <c r="J68" i="4"/>
  <c r="J19" i="4"/>
  <c r="J84" i="4"/>
  <c r="J97" i="4"/>
  <c r="J99" i="4"/>
  <c r="J60" i="4"/>
  <c r="J36" i="4"/>
  <c r="J58" i="4"/>
  <c r="J34" i="4"/>
  <c r="J100" i="4"/>
  <c r="J15" i="4"/>
  <c r="J8" i="4"/>
  <c r="J74" i="4"/>
  <c r="J17" i="4"/>
  <c r="J54" i="4"/>
  <c r="J83" i="4"/>
  <c r="J25" i="4"/>
  <c r="J26" i="4"/>
  <c r="J105" i="4"/>
  <c r="J45" i="4"/>
  <c r="J94" i="4"/>
  <c r="J20" i="4"/>
  <c r="J67" i="4"/>
  <c r="J30" i="4"/>
  <c r="J21" i="4"/>
  <c r="J38" i="4"/>
  <c r="J44" i="4"/>
  <c r="J33" i="4"/>
  <c r="J95" i="4"/>
  <c r="C4" i="10"/>
  <c r="Q3" i="5"/>
  <c r="F7" i="3"/>
  <c r="J4" i="4"/>
  <c r="M4" i="9"/>
  <c r="Q3" i="6"/>
  <c r="M57" i="9"/>
  <c r="M23" i="9"/>
  <c r="M100" i="9"/>
  <c r="M34" i="9"/>
  <c r="M95" i="9"/>
  <c r="M29" i="9"/>
  <c r="M93" i="9"/>
  <c r="M21" i="9"/>
  <c r="M41" i="9"/>
  <c r="M7" i="9"/>
  <c r="M84" i="9"/>
  <c r="M18" i="9"/>
  <c r="M79" i="9"/>
  <c r="M92" i="9"/>
  <c r="M60" i="9"/>
  <c r="M14" i="9"/>
  <c r="M51" i="9"/>
  <c r="M35" i="9"/>
  <c r="M94" i="9"/>
  <c r="M10" i="9"/>
  <c r="M77" i="9"/>
  <c r="M25" i="9"/>
  <c r="M102" i="9"/>
  <c r="M68" i="9"/>
  <c r="M97" i="9"/>
  <c r="M47" i="9"/>
  <c r="M76" i="9"/>
  <c r="M44" i="9"/>
  <c r="M75" i="9"/>
  <c r="M31" i="9"/>
  <c r="M96" i="9"/>
  <c r="M11" i="9"/>
  <c r="M48" i="9"/>
  <c r="M39" i="9"/>
  <c r="M9" i="9"/>
  <c r="M86" i="9"/>
  <c r="M52" i="9"/>
  <c r="M81" i="9"/>
  <c r="M15" i="9"/>
  <c r="M85" i="9"/>
  <c r="M98" i="9"/>
  <c r="M55" i="9"/>
  <c r="M16" i="9"/>
  <c r="M104" i="9"/>
  <c r="M70" i="9"/>
  <c r="M36" i="9"/>
  <c r="M65" i="9"/>
  <c r="M78" i="9"/>
  <c r="M45" i="9"/>
  <c r="M88" i="9"/>
  <c r="M54" i="9"/>
  <c r="M20" i="9"/>
  <c r="M49" i="9"/>
  <c r="M62" i="9"/>
  <c r="M28" i="9"/>
  <c r="M101" i="9"/>
  <c r="M27" i="9"/>
  <c r="M19" i="9"/>
  <c r="M87" i="9"/>
  <c r="M37" i="9"/>
  <c r="M5" i="9"/>
  <c r="M106" i="9"/>
  <c r="M72" i="9"/>
  <c r="M38" i="9"/>
  <c r="M99" i="9"/>
  <c r="M33" i="9"/>
  <c r="M30" i="9"/>
  <c r="M91" i="9"/>
  <c r="M43" i="9"/>
  <c r="M12" i="9"/>
  <c r="M80" i="9"/>
  <c r="M66" i="9"/>
  <c r="M90" i="9"/>
  <c r="M56" i="9"/>
  <c r="M22" i="9"/>
  <c r="M83" i="9"/>
  <c r="M17" i="9"/>
  <c r="M8" i="9"/>
  <c r="M46" i="9"/>
  <c r="M89" i="9"/>
  <c r="M74" i="9"/>
  <c r="M40" i="9"/>
  <c r="M6" i="9"/>
  <c r="M67" i="9"/>
  <c r="M63" i="9"/>
  <c r="M61" i="9"/>
  <c r="M59" i="9"/>
  <c r="M58" i="9"/>
  <c r="M13" i="9"/>
  <c r="M103" i="9"/>
  <c r="M82" i="9"/>
  <c r="M73" i="9"/>
  <c r="M24" i="9"/>
  <c r="M42" i="9"/>
  <c r="M105" i="9"/>
  <c r="M50" i="9"/>
  <c r="M26" i="9"/>
  <c r="M69" i="9"/>
  <c r="M64" i="9"/>
  <c r="M32" i="9"/>
  <c r="M53" i="9"/>
  <c r="M71" i="9"/>
  <c r="J12" i="3"/>
  <c r="J126" i="3"/>
  <c r="J49" i="3"/>
  <c r="J210" i="3"/>
  <c r="J60" i="3"/>
  <c r="J151" i="3"/>
  <c r="J14" i="3"/>
  <c r="J85" i="3"/>
  <c r="J71" i="3"/>
  <c r="J92" i="3"/>
  <c r="J213" i="3"/>
  <c r="J96" i="3"/>
  <c r="J137" i="3"/>
  <c r="J178" i="3"/>
  <c r="J27" i="3"/>
  <c r="J144" i="3"/>
  <c r="J16" i="3"/>
  <c r="J202" i="3"/>
  <c r="J226" i="3"/>
  <c r="J65" i="3"/>
  <c r="J173" i="3"/>
  <c r="J59" i="3"/>
  <c r="J156" i="3"/>
  <c r="J199" i="3"/>
  <c r="J97" i="3"/>
  <c r="J110" i="3"/>
  <c r="J211" i="3"/>
  <c r="J76" i="3"/>
  <c r="J74" i="3"/>
  <c r="J41" i="3"/>
  <c r="J161" i="3"/>
  <c r="J163" i="3"/>
  <c r="J82" i="3"/>
  <c r="J225" i="3"/>
  <c r="J117" i="3"/>
  <c r="J90" i="3"/>
  <c r="J98" i="3"/>
  <c r="J223" i="3"/>
  <c r="J111" i="3"/>
  <c r="J176" i="3"/>
  <c r="J63" i="3"/>
  <c r="J205" i="3"/>
  <c r="J169" i="3"/>
  <c r="J186" i="3"/>
  <c r="J58" i="3"/>
  <c r="J136" i="3"/>
  <c r="J99" i="3"/>
  <c r="J55" i="3"/>
  <c r="J8" i="3"/>
  <c r="J103" i="3"/>
  <c r="J149" i="3"/>
  <c r="J166" i="3"/>
  <c r="J212" i="3"/>
  <c r="J119" i="3"/>
  <c r="J130" i="3"/>
  <c r="J122" i="3"/>
  <c r="J66" i="3"/>
  <c r="J17" i="3"/>
  <c r="J112" i="3"/>
  <c r="J33" i="3"/>
  <c r="J68" i="3"/>
  <c r="J177" i="3"/>
  <c r="J50" i="3"/>
  <c r="J77" i="3"/>
  <c r="J204" i="3"/>
  <c r="J29" i="3"/>
  <c r="J157" i="3"/>
  <c r="J46" i="3"/>
  <c r="J64" i="3"/>
  <c r="J218" i="3"/>
  <c r="J145" i="3"/>
  <c r="J61" i="3"/>
  <c r="J222" i="3"/>
  <c r="J153" i="3"/>
  <c r="J9" i="3"/>
  <c r="J147" i="3"/>
  <c r="J154" i="3"/>
  <c r="J102" i="3"/>
  <c r="J15" i="3"/>
  <c r="J181" i="3"/>
  <c r="J10" i="3"/>
  <c r="J84" i="3"/>
  <c r="J125" i="3"/>
  <c r="J73" i="3"/>
  <c r="J52" i="3"/>
  <c r="J183" i="3"/>
  <c r="J56" i="3"/>
  <c r="J189" i="3"/>
  <c r="J128" i="3"/>
  <c r="J115" i="3"/>
  <c r="J83" i="3"/>
  <c r="J131" i="3"/>
  <c r="J219" i="3"/>
  <c r="J197" i="3"/>
  <c r="J37" i="3"/>
  <c r="J140" i="3"/>
  <c r="J158" i="3"/>
  <c r="J160" i="3"/>
  <c r="J94" i="3"/>
  <c r="J201" i="3"/>
  <c r="J193" i="3"/>
  <c r="J217" i="3"/>
  <c r="J25" i="3"/>
  <c r="J123" i="3"/>
  <c r="J28" i="3"/>
  <c r="J188" i="3"/>
  <c r="J164" i="3"/>
  <c r="J180" i="3"/>
  <c r="J40" i="3"/>
  <c r="J32" i="3"/>
  <c r="J70" i="3"/>
  <c r="J220" i="3"/>
  <c r="J75" i="3"/>
  <c r="J165" i="3"/>
  <c r="J209" i="3"/>
  <c r="J146" i="3"/>
  <c r="J79" i="3"/>
  <c r="J139" i="3"/>
  <c r="J179" i="3"/>
  <c r="J116" i="3"/>
  <c r="J13" i="3"/>
  <c r="J141" i="3"/>
  <c r="J133" i="3"/>
  <c r="J143" i="3"/>
  <c r="J168" i="3"/>
  <c r="J23" i="3"/>
  <c r="J150" i="3"/>
  <c r="J167" i="3"/>
  <c r="J44" i="3"/>
  <c r="J91" i="3"/>
  <c r="J106" i="3"/>
  <c r="J171" i="3"/>
  <c r="J195" i="3"/>
  <c r="J203" i="3"/>
  <c r="J196" i="3"/>
  <c r="J172" i="3"/>
  <c r="J124" i="3"/>
  <c r="J100" i="3"/>
  <c r="J194" i="3"/>
  <c r="J69" i="3"/>
  <c r="J62" i="3"/>
  <c r="J45" i="3"/>
  <c r="J134" i="3"/>
  <c r="J174" i="3"/>
  <c r="J200" i="3"/>
  <c r="J89" i="3"/>
  <c r="J120" i="3"/>
  <c r="J47" i="3"/>
  <c r="J86" i="3"/>
  <c r="J175" i="3"/>
  <c r="J36" i="3"/>
  <c r="J21" i="3"/>
  <c r="J38" i="3"/>
  <c r="J135" i="3"/>
  <c r="J105" i="3"/>
  <c r="J78" i="3"/>
  <c r="J107" i="3"/>
  <c r="J221" i="3"/>
  <c r="J148" i="3"/>
  <c r="J185" i="3"/>
  <c r="J192" i="3"/>
  <c r="J138" i="3"/>
  <c r="J101" i="3"/>
  <c r="J114" i="3"/>
  <c r="J48" i="3"/>
  <c r="J214" i="3"/>
  <c r="J53" i="3"/>
  <c r="J95" i="3"/>
  <c r="J39" i="3"/>
  <c r="J30" i="3"/>
  <c r="J87" i="3"/>
  <c r="J93" i="3"/>
  <c r="J43" i="3"/>
  <c r="J184" i="3"/>
  <c r="J67" i="3"/>
  <c r="J11" i="3"/>
  <c r="J162" i="3"/>
  <c r="J57" i="3"/>
  <c r="J24" i="3"/>
  <c r="J190" i="3"/>
  <c r="J159" i="3"/>
  <c r="J18" i="3"/>
  <c r="J152" i="3"/>
  <c r="J127" i="3"/>
  <c r="J118" i="3"/>
  <c r="J109" i="3"/>
  <c r="J22" i="3"/>
  <c r="J113" i="3"/>
  <c r="J26" i="3"/>
  <c r="J121" i="3"/>
  <c r="J34" i="3"/>
  <c r="J31" i="3"/>
  <c r="J198" i="3"/>
  <c r="J207" i="3"/>
  <c r="J182" i="3"/>
  <c r="J104" i="3"/>
  <c r="J155" i="3"/>
  <c r="J54" i="3"/>
  <c r="J108" i="3"/>
  <c r="J72" i="3"/>
  <c r="J51" i="3"/>
  <c r="J208" i="3"/>
  <c r="J80" i="3"/>
  <c r="J216" i="3"/>
  <c r="J129" i="3"/>
  <c r="J170" i="3"/>
  <c r="J81" i="3"/>
  <c r="J142" i="3"/>
  <c r="J187" i="3"/>
  <c r="J191" i="3"/>
  <c r="J206" i="3"/>
  <c r="J215" i="3"/>
  <c r="J35" i="3"/>
  <c r="J19" i="3"/>
  <c r="J132" i="3"/>
  <c r="J88" i="3"/>
  <c r="J224" i="3"/>
  <c r="J42" i="3"/>
  <c r="J20" i="3"/>
  <c r="Q13" i="6"/>
  <c r="Q4" i="6"/>
  <c r="Q97" i="6"/>
  <c r="Q15" i="6"/>
  <c r="Q21" i="6"/>
  <c r="Q100" i="6"/>
  <c r="Q8" i="6"/>
  <c r="Q11" i="6"/>
  <c r="Q75" i="6"/>
  <c r="Q34" i="6"/>
  <c r="Q73" i="6"/>
  <c r="Q49" i="6"/>
  <c r="Q54" i="6"/>
  <c r="Q85" i="6"/>
  <c r="Q17" i="6"/>
  <c r="Q41" i="6"/>
  <c r="Q30" i="6"/>
  <c r="Q50" i="6"/>
  <c r="Q35" i="6"/>
  <c r="Q22" i="6"/>
  <c r="Q44" i="6"/>
  <c r="Q56" i="6"/>
  <c r="Q20" i="6"/>
  <c r="Q64" i="6"/>
  <c r="Q12" i="6"/>
  <c r="Q104" i="6"/>
  <c r="Q10" i="6"/>
  <c r="Q77" i="6"/>
  <c r="Q87" i="6"/>
  <c r="Q94" i="6"/>
  <c r="Q74" i="6"/>
  <c r="Q16" i="6"/>
  <c r="Q26" i="6"/>
  <c r="Q89" i="6"/>
  <c r="Q55" i="6"/>
  <c r="Q86" i="6"/>
  <c r="Q33" i="6"/>
  <c r="Q39" i="6"/>
  <c r="Q68" i="6"/>
  <c r="Q7" i="6"/>
  <c r="Q27" i="6"/>
  <c r="Q101" i="6"/>
  <c r="Q61" i="6"/>
  <c r="Q58" i="6"/>
  <c r="Q38" i="6"/>
  <c r="Q36" i="6"/>
  <c r="Q82" i="6"/>
  <c r="Q92" i="6"/>
  <c r="Q78" i="6"/>
  <c r="Q40" i="6"/>
  <c r="Q60" i="6"/>
  <c r="Q72" i="6"/>
  <c r="Q84" i="6"/>
  <c r="Q18" i="6"/>
  <c r="Q45" i="6"/>
  <c r="Q91" i="6"/>
  <c r="Q32" i="6"/>
  <c r="Q48" i="6"/>
  <c r="Q103" i="6"/>
  <c r="Q46" i="6"/>
  <c r="Q80" i="6"/>
  <c r="Q81" i="6"/>
  <c r="Q88" i="6"/>
  <c r="Q90" i="6"/>
  <c r="Q51" i="6"/>
  <c r="Q69" i="6"/>
  <c r="Q47" i="6"/>
  <c r="Q5" i="6"/>
  <c r="Q59" i="6"/>
  <c r="Q25" i="6"/>
  <c r="Q28" i="6"/>
  <c r="Q42" i="6"/>
  <c r="Q43" i="6"/>
  <c r="Q53" i="6"/>
  <c r="Q19" i="6"/>
  <c r="Q102" i="6"/>
  <c r="Q99" i="6"/>
  <c r="Q76" i="6"/>
  <c r="Q70" i="6"/>
  <c r="Q23" i="6"/>
  <c r="Q14" i="6"/>
  <c r="Q29" i="6"/>
  <c r="Q31" i="6"/>
  <c r="Q9" i="6"/>
  <c r="Q37" i="6"/>
  <c r="Q63" i="6"/>
  <c r="Q62" i="6"/>
  <c r="Q52" i="6"/>
  <c r="Q71" i="6"/>
  <c r="Q24" i="6"/>
  <c r="Q65" i="6"/>
  <c r="Q66" i="6"/>
  <c r="Q98" i="6"/>
  <c r="Q96" i="6"/>
  <c r="Q57" i="6"/>
  <c r="Q93" i="6"/>
  <c r="Q95" i="6"/>
  <c r="Q105" i="6"/>
  <c r="Q67" i="6"/>
  <c r="Q79" i="6"/>
  <c r="Q6" i="6"/>
  <c r="Q83" i="6"/>
  <c r="Q101" i="5"/>
  <c r="Q58" i="5"/>
  <c r="Q67" i="5"/>
  <c r="Q7" i="5"/>
  <c r="Q71" i="5"/>
  <c r="Q15" i="5"/>
  <c r="Q9" i="5"/>
  <c r="Q100" i="5"/>
  <c r="Q76" i="5"/>
  <c r="Q82" i="5"/>
  <c r="Q90" i="5"/>
  <c r="Q46" i="5"/>
  <c r="Q86" i="5"/>
  <c r="Q35" i="5"/>
  <c r="Q26" i="5"/>
  <c r="Q98" i="5"/>
  <c r="Q54" i="5"/>
  <c r="Q89" i="5"/>
  <c r="Q5" i="5"/>
  <c r="Q79" i="5"/>
  <c r="Q13" i="5"/>
  <c r="Q43" i="5"/>
  <c r="Q55" i="5"/>
  <c r="Q37" i="5"/>
  <c r="Q97" i="5"/>
  <c r="Q99" i="5"/>
  <c r="Q74" i="5"/>
  <c r="Q33" i="5"/>
  <c r="Q10" i="5"/>
  <c r="Q105" i="5"/>
  <c r="Q94" i="5"/>
  <c r="Q12" i="5"/>
  <c r="Q91" i="5"/>
  <c r="Q80" i="5"/>
  <c r="Q96" i="5"/>
  <c r="Q52" i="5"/>
  <c r="Q83" i="5"/>
  <c r="Q14" i="5"/>
  <c r="Q29" i="5"/>
  <c r="Q93" i="5"/>
  <c r="Q78" i="5"/>
  <c r="Q48" i="5"/>
  <c r="Q28" i="5"/>
  <c r="Q68" i="5"/>
  <c r="Q39" i="5"/>
  <c r="Q57" i="5"/>
  <c r="Q18" i="5"/>
  <c r="Q24" i="5"/>
  <c r="Q40" i="5"/>
  <c r="Q20" i="5"/>
  <c r="Q17" i="5"/>
  <c r="Q103" i="5"/>
  <c r="Q56" i="5"/>
  <c r="Q63" i="5"/>
  <c r="Q75" i="5"/>
  <c r="Q31" i="5"/>
  <c r="Q22" i="5"/>
  <c r="Q66" i="5"/>
  <c r="Q34" i="5"/>
  <c r="Q19" i="5"/>
  <c r="Q6" i="5"/>
  <c r="Q81" i="5"/>
  <c r="Q27" i="5"/>
  <c r="Q70" i="5"/>
  <c r="Q4" i="5"/>
  <c r="Q59" i="5"/>
  <c r="Q87" i="5"/>
  <c r="Q62" i="5"/>
  <c r="Q61" i="5"/>
  <c r="Q65" i="5"/>
  <c r="Q42" i="5"/>
  <c r="Q32" i="5"/>
  <c r="Q104" i="5"/>
  <c r="Q8" i="5"/>
  <c r="Q45" i="5"/>
  <c r="Q84" i="5"/>
  <c r="Q92" i="5"/>
  <c r="Q50" i="5"/>
  <c r="Q102" i="5"/>
  <c r="Q41" i="5"/>
  <c r="Q69" i="5"/>
  <c r="Q23" i="5"/>
  <c r="Q49" i="5"/>
  <c r="Q53" i="5"/>
  <c r="Q11" i="5"/>
  <c r="Q72" i="5"/>
  <c r="Q38" i="5"/>
  <c r="Q16" i="5"/>
  <c r="Q44" i="5"/>
  <c r="Q77" i="5"/>
  <c r="Q51" i="5"/>
  <c r="Q60" i="5"/>
  <c r="Q30" i="5"/>
  <c r="Q21" i="5"/>
  <c r="Q47" i="5"/>
  <c r="Q73" i="5"/>
  <c r="Q85" i="5"/>
  <c r="Q36" i="5"/>
  <c r="Q95" i="5"/>
  <c r="Q88" i="5"/>
  <c r="Q64" i="5"/>
  <c r="Q25" i="5"/>
  <c r="M17" i="1"/>
  <c r="M76" i="1"/>
  <c r="M59" i="1"/>
  <c r="M95" i="1"/>
  <c r="M23" i="1"/>
  <c r="M10" i="1"/>
  <c r="M70" i="1"/>
  <c r="M45" i="1"/>
  <c r="M28" i="1"/>
  <c r="M65" i="1"/>
  <c r="M77" i="1"/>
  <c r="M33" i="1"/>
  <c r="M7" i="1"/>
  <c r="M83" i="1"/>
  <c r="M31" i="1"/>
  <c r="M96" i="1"/>
  <c r="M75" i="1"/>
  <c r="M29" i="1"/>
  <c r="M98" i="1"/>
  <c r="M22" i="1"/>
  <c r="M38" i="1"/>
  <c r="M82" i="1"/>
  <c r="M85" i="1"/>
  <c r="M80" i="1"/>
  <c r="M71" i="1"/>
  <c r="M105" i="1"/>
  <c r="M90" i="1"/>
  <c r="M13" i="1"/>
  <c r="M40" i="1"/>
  <c r="M32" i="1"/>
  <c r="M92" i="1"/>
  <c r="M18" i="1"/>
  <c r="M103" i="1"/>
  <c r="M89" i="1"/>
  <c r="M27" i="1"/>
  <c r="M56" i="1"/>
  <c r="M51" i="1"/>
  <c r="M25" i="1"/>
  <c r="M84" i="1"/>
  <c r="M102" i="1"/>
  <c r="M52" i="1"/>
  <c r="M36" i="1"/>
  <c r="M6" i="1"/>
  <c r="M86" i="1"/>
  <c r="M35" i="1"/>
  <c r="M41" i="1"/>
  <c r="M97" i="1"/>
  <c r="M91" i="1"/>
  <c r="M58" i="1"/>
  <c r="M42" i="1"/>
  <c r="M78" i="1"/>
  <c r="M99" i="1"/>
  <c r="M54" i="1"/>
  <c r="M62" i="1"/>
  <c r="M48" i="1"/>
  <c r="M11" i="1"/>
  <c r="M15" i="1"/>
  <c r="M21" i="1"/>
  <c r="M5" i="1"/>
  <c r="M93" i="1"/>
  <c r="M9" i="1"/>
  <c r="M57" i="1"/>
  <c r="M60" i="1"/>
  <c r="M20" i="1"/>
  <c r="M94" i="1"/>
  <c r="M44" i="1"/>
  <c r="M26" i="1"/>
  <c r="M53" i="1"/>
  <c r="M49" i="1"/>
  <c r="M66" i="1"/>
  <c r="M104" i="1"/>
  <c r="M87" i="1"/>
  <c r="M34" i="1"/>
  <c r="M16" i="1"/>
  <c r="M55" i="1"/>
  <c r="M100" i="1"/>
  <c r="M43" i="1"/>
  <c r="M8" i="1"/>
  <c r="M67" i="1"/>
  <c r="M61" i="1"/>
  <c r="M73" i="1"/>
  <c r="M39" i="1"/>
  <c r="M37" i="1"/>
  <c r="M81" i="1"/>
  <c r="M69" i="1"/>
  <c r="M14" i="1"/>
  <c r="M79" i="1"/>
  <c r="M88" i="1"/>
  <c r="M74" i="1"/>
  <c r="M46" i="1"/>
  <c r="M68" i="1"/>
  <c r="M4" i="1"/>
  <c r="M19" i="1"/>
  <c r="M12" i="1"/>
  <c r="M64" i="1"/>
  <c r="M72" i="1"/>
  <c r="M50" i="1"/>
  <c r="M30" i="1"/>
  <c r="M47" i="1"/>
  <c r="M63" i="1"/>
  <c r="M24" i="1"/>
  <c r="M101" i="1"/>
  <c r="K33" i="3"/>
  <c r="K171" i="3"/>
  <c r="K133" i="3"/>
  <c r="K174" i="3"/>
  <c r="K160" i="3"/>
  <c r="K223" i="3"/>
  <c r="K129" i="3"/>
  <c r="K128" i="3"/>
  <c r="K40" i="3"/>
  <c r="K178" i="3"/>
  <c r="K58" i="3"/>
  <c r="K66" i="3"/>
  <c r="K51" i="3"/>
  <c r="K11" i="3"/>
  <c r="K83" i="3"/>
  <c r="K50" i="3"/>
  <c r="K153" i="3"/>
  <c r="K25" i="3"/>
  <c r="K203" i="3"/>
  <c r="K225" i="3"/>
  <c r="K134" i="3"/>
  <c r="K125" i="3"/>
  <c r="K59" i="3"/>
  <c r="K85" i="3"/>
  <c r="K135" i="3"/>
  <c r="K17" i="3"/>
  <c r="K97" i="3"/>
  <c r="K120" i="3"/>
  <c r="K204" i="3"/>
  <c r="K137" i="3"/>
  <c r="K86" i="3"/>
  <c r="K90" i="3"/>
  <c r="K194" i="3"/>
  <c r="K26" i="3"/>
  <c r="K111" i="3"/>
  <c r="K122" i="3"/>
  <c r="K63" i="3"/>
  <c r="K102" i="3"/>
  <c r="K207" i="3"/>
  <c r="K179" i="3"/>
  <c r="K68" i="3"/>
  <c r="K158" i="3"/>
  <c r="K16" i="3"/>
  <c r="K216" i="3"/>
  <c r="K144" i="3"/>
  <c r="K136" i="3"/>
  <c r="K170" i="3"/>
  <c r="K80" i="3"/>
  <c r="K18" i="3"/>
  <c r="K42" i="3"/>
  <c r="K145" i="3"/>
  <c r="K75" i="3"/>
  <c r="K67" i="3"/>
  <c r="K32" i="3"/>
  <c r="K113" i="3"/>
  <c r="K99" i="3"/>
  <c r="K154" i="3"/>
  <c r="K10" i="3"/>
  <c r="K130" i="3"/>
  <c r="K101" i="3"/>
  <c r="K121" i="3"/>
  <c r="K60" i="3"/>
  <c r="K89" i="3"/>
  <c r="K167" i="3"/>
  <c r="K141" i="3"/>
  <c r="K8" i="3"/>
  <c r="K100" i="3"/>
  <c r="K138" i="3"/>
  <c r="K30" i="3"/>
  <c r="K142" i="3"/>
  <c r="K195" i="3"/>
  <c r="K186" i="3"/>
  <c r="K92" i="3"/>
  <c r="K87" i="3"/>
  <c r="K166" i="3"/>
  <c r="K82" i="3"/>
  <c r="K217" i="3"/>
  <c r="K199" i="3"/>
  <c r="K114" i="3"/>
  <c r="K84" i="3"/>
  <c r="K70" i="3"/>
  <c r="K150" i="3"/>
  <c r="K47" i="3"/>
  <c r="K161" i="3"/>
  <c r="K119" i="3"/>
  <c r="K96" i="3"/>
  <c r="K175" i="3"/>
  <c r="K107" i="3"/>
  <c r="K219" i="3"/>
  <c r="K117" i="3"/>
  <c r="K159" i="3"/>
  <c r="K109" i="3"/>
  <c r="K54" i="3"/>
  <c r="K105" i="3"/>
  <c r="K94" i="3"/>
  <c r="K78" i="3"/>
  <c r="K49" i="3"/>
  <c r="K210" i="3"/>
  <c r="K211" i="3"/>
  <c r="K183" i="3"/>
  <c r="K214" i="3"/>
  <c r="K192" i="3"/>
  <c r="K48" i="3"/>
  <c r="K110" i="3"/>
  <c r="K21" i="3"/>
  <c r="K29" i="3"/>
  <c r="K148" i="3"/>
  <c r="K208" i="3"/>
  <c r="K98" i="3"/>
  <c r="K28" i="3"/>
  <c r="K81" i="3"/>
  <c r="K41" i="3"/>
  <c r="K103" i="3"/>
  <c r="K22" i="3"/>
  <c r="K79" i="3"/>
  <c r="K43" i="3"/>
  <c r="K31" i="3"/>
  <c r="K151" i="3"/>
  <c r="K198" i="3"/>
  <c r="K62" i="3"/>
  <c r="K190" i="3"/>
  <c r="K126" i="3"/>
  <c r="K224" i="3"/>
  <c r="K71" i="3"/>
  <c r="K176" i="3"/>
  <c r="K13" i="3"/>
  <c r="K88" i="3"/>
  <c r="K222" i="3"/>
  <c r="K56" i="3"/>
  <c r="K38" i="3"/>
  <c r="K191" i="3"/>
  <c r="K27" i="3"/>
  <c r="K140" i="3"/>
  <c r="K200" i="3"/>
  <c r="K201" i="3"/>
  <c r="K155" i="3"/>
  <c r="K118" i="3"/>
  <c r="K76" i="3"/>
  <c r="K77" i="3"/>
  <c r="K156" i="3"/>
  <c r="K177" i="3"/>
  <c r="K172" i="3"/>
  <c r="K181" i="3"/>
  <c r="K34" i="3"/>
  <c r="K46" i="3"/>
  <c r="K91" i="3"/>
  <c r="K212" i="3"/>
  <c r="K64" i="3"/>
  <c r="K39" i="3"/>
  <c r="K23" i="3"/>
  <c r="K15" i="3"/>
  <c r="K127" i="3"/>
  <c r="K95" i="3"/>
  <c r="K184" i="3"/>
  <c r="K168" i="3"/>
  <c r="K149" i="3"/>
  <c r="K55" i="3"/>
  <c r="K206" i="3"/>
  <c r="K132" i="3"/>
  <c r="K143" i="3"/>
  <c r="K116" i="3"/>
  <c r="K218" i="3"/>
  <c r="K115" i="3"/>
  <c r="K106" i="3"/>
  <c r="K124" i="3"/>
  <c r="K12" i="3"/>
  <c r="K37" i="3"/>
  <c r="K182" i="3"/>
  <c r="K44" i="3"/>
  <c r="K45" i="3"/>
  <c r="K226" i="3"/>
  <c r="K35" i="3"/>
  <c r="K163" i="3"/>
  <c r="K173" i="3"/>
  <c r="K180" i="3"/>
  <c r="K61" i="3"/>
  <c r="K169" i="3"/>
  <c r="K9" i="3"/>
  <c r="K108" i="3"/>
  <c r="K157" i="3"/>
  <c r="K220" i="3"/>
  <c r="K123" i="3"/>
  <c r="K165" i="3"/>
  <c r="K19" i="3"/>
  <c r="K20" i="3"/>
  <c r="K131" i="3"/>
  <c r="K36" i="3"/>
  <c r="K53" i="3"/>
  <c r="K221" i="3"/>
  <c r="K189" i="3"/>
  <c r="K24" i="3"/>
  <c r="K213" i="3"/>
  <c r="K73" i="3"/>
  <c r="K139" i="3"/>
  <c r="K215" i="3"/>
  <c r="K72" i="3"/>
  <c r="K188" i="3"/>
  <c r="K147" i="3"/>
  <c r="K146" i="3"/>
  <c r="K152" i="3"/>
  <c r="K185" i="3"/>
  <c r="K193" i="3"/>
  <c r="K164" i="3"/>
  <c r="K57" i="3"/>
  <c r="K65" i="3"/>
  <c r="K52" i="3"/>
  <c r="K93" i="3"/>
  <c r="K209" i="3"/>
  <c r="K205" i="3"/>
  <c r="K69" i="3"/>
  <c r="K197" i="3"/>
  <c r="K14" i="3"/>
  <c r="K104" i="3"/>
  <c r="K112" i="3"/>
  <c r="K162" i="3"/>
  <c r="K202" i="3"/>
  <c r="K187" i="3"/>
  <c r="K196" i="3"/>
  <c r="K74" i="3"/>
  <c r="D7" i="3"/>
  <c r="E7" i="3"/>
  <c r="J7" i="3" s="1"/>
  <c r="E4" i="8"/>
  <c r="AB2" i="6"/>
  <c r="M3" i="1"/>
  <c r="G7" i="3"/>
  <c r="K7" i="3" s="1"/>
  <c r="H7" i="3"/>
  <c r="AB2" i="5"/>
  <c r="F4" i="8" a="1"/>
  <c r="F4" i="8"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tc={FA56785D-205B-4D39-B027-61859D280B54}</author>
  </authors>
  <commentList>
    <comment ref="B2" authorId="0" shapeId="0" xr:uid="{FA56785D-205B-4D39-B027-61859D280B54}">
      <text>
        <t>[Comentário encadeado]
Sua versão do Excel permite que você leia este comentário encadeado, no entanto, as edições serão removidas se o arquivo for aberto em uma versão mais recente do Excel. Saiba mais: https://go.microsoft.com/fwlink/?linkid=870924
Comentário:
    BCB SGS
Series: 24363 and 24364</t>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tc={3F115306-7DD6-48E4-B0BB-33872E30CB27}</author>
  </authors>
  <commentList>
    <comment ref="B2" authorId="0" shapeId="0" xr:uid="{3F115306-7DD6-48E4-B0BB-33872E30CB27}">
      <text>
        <t>[Comentário encadeado]
Sua versão do Excel permite que você leia este comentário encadeado, no entanto, as edições serão removidas se o arquivo for aberto em uma versão mais recente do Excel. Saiba mais: https://go.microsoft.com/fwlink/?linkid=870924
Comentário:
    IBGE
Tabela 3653
1 Indústria geral
Índice de base fixa sem ajuste sazonal (Base: média de 2012 = 100) (Número-índice): 1 de 1 casas decimais
Índice de base fixa com ajuste sazonal (Base: média de 2012 = 100) (Número-índice): 1 de 1 casas decimais</t>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tc={4B8A4EB9-4371-491D-A0EA-A6C05E3F22FD}</author>
  </authors>
  <commentList>
    <comment ref="B3" authorId="0" shapeId="0" xr:uid="{4B8A4EB9-4371-491D-A0EA-A6C05E3F22FD}">
      <text>
        <t>[Comentário encadeado]
Sua versão do Excel permite que você leia este comentário encadeado, no entanto, as edições serão removidas se o arquivo for aberto em uma versão mais recente do Excel. Saiba mais: https://go.microsoft.com/fwlink/?linkid=870924
Comentário:
    BCB SGS
Households gross disposable national income (deflated by IPCA, 3-months moving average)
Series: 29025 and 29027</t>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tc={5A637A8F-F58B-47E1-9333-A1B3621D8C6D}</author>
    <author>tc={D7E3E67A-65C8-42BD-BAB5-21199E873FEB}</author>
  </authors>
  <commentList>
    <comment ref="B3" authorId="0" shapeId="0" xr:uid="{5A637A8F-F58B-47E1-9333-A1B3621D8C6D}">
      <text>
        <t>[Comentário encadeado]
Sua versão do Excel permite que você leia este comentário encadeado, no entanto, as edições serão removidas se o arquivo for aberto em uma versão mais recente do Excel. Saiba mais: https://go.microsoft.com/fwlink/?linkid=870924
Comentário:
    IBGE
Tabela 3653
1 Indústria geral
Índice de base fixa sem ajuste sazonal (Base: média de 2012 = 100) (Número-índice): 1 de 1 casas decimais
Índice de base fixa com ajuste sazonal (Base: média de 2012 = 100) (Número-índice): 1 de 1 casas decimais</t>
      </text>
    </comment>
    <comment ref="E3" authorId="1" shapeId="0" xr:uid="{D7E3E67A-65C8-42BD-BAB5-21199E873FEB}">
      <text>
        <t>[Comentário encadeado]
Sua versão do Excel permite que você leia este comentário encadeado, no entanto, as edições serão removidas se o arquivo for aberto em uma versão mais recente do Excel. Saiba mais: https://go.microsoft.com/fwlink/?linkid=870924
Comentário:
    IBGE
Tabela 3653
1 Indústria geral
Índice de base fixa sem ajuste sazonal (Base: média de 2012 = 100) (Número-índice): 1 de 1 casas decimais
Índice de base fixa com ajuste sazonal (Base: média de 2012 = 100) (Número-índice): 1 de 1 casas decimais</t>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tc={F5883DCC-5E18-4F34-AA09-DF1FE23DD35B}</author>
  </authors>
  <commentList>
    <comment ref="B2" authorId="0" shapeId="0" xr:uid="{F5883DCC-5E18-4F34-AA09-DF1FE23DD35B}">
      <text>
        <t>[Comentário encadeado]
Sua versão do Excel permite que você leia este comentário encadeado, no entanto, as edições serão removidas se o arquivo for aberto em uma versão mais recente do Excel. Saiba mais: https://go.microsoft.com/fwlink/?linkid=870924
Comentário:
    IBGE
Tabela 3653
1 Indústria geral
Índice de base fixa sem ajuste sazonal (Base: média de 2012 = 100) (Número-índice): 1 de 1 casas decimais
Índice de base fixa com ajuste sazonal (Base: média de 2012 = 100) (Número-índice): 1 de 1 casas decimais</t>
      </text>
    </comment>
  </commentList>
</comments>
</file>

<file path=xl/metadata.xml><?xml version="1.0" encoding="utf-8"?>
<metadata xmlns="http://schemas.openxmlformats.org/spreadsheetml/2006/main" xmlns:xlrd="http://schemas.microsoft.com/office/spreadsheetml/2017/richdata"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<sst xmlns="http://schemas.openxmlformats.org/spreadsheetml/2006/main" count="232" uniqueCount="143">
  <si>
    <t>Spec</t>
  </si>
  <si>
    <t>IBC-Br</t>
  </si>
  <si>
    <t>PIB</t>
  </si>
  <si>
    <t>series{ 
    format = free
}
transform{ 
    function = auto
}
outlier{ 
    types = all
}
x11{ }</t>
  </si>
  <si>
    <t>24363 - Índice de Atividade Econômica do Banco Central - IBC-Br - Índice</t>
  </si>
  <si>
    <t>24364 - Índice de Atividade Econômica do Banco Central (IBC-Br) - com ajuste sazonal - Índice</t>
  </si>
  <si>
    <t>X13</t>
  </si>
  <si>
    <t>SA</t>
  </si>
  <si>
    <t>F5</t>
  </si>
  <si>
    <t>Date</t>
  </si>
  <si>
    <t>Name</t>
  </si>
  <si>
    <t>Seasonal Adjustment</t>
  </si>
  <si>
    <t>Spec file path</t>
  </si>
  <si>
    <t>Actual</t>
  </si>
  <si>
    <t>SA Depec</t>
  </si>
  <si>
    <t>SA X13</t>
  </si>
  <si>
    <t>BR GDP</t>
  </si>
  <si>
    <t>Official data</t>
  </si>
  <si>
    <t>xlDESSAZ</t>
  </si>
  <si>
    <t>Official SA</t>
  </si>
  <si>
    <t>Difference</t>
  </si>
  <si>
    <t>Diff of SAs</t>
  </si>
  <si>
    <t>Official spec</t>
  </si>
  <si>
    <t>Automatic (default parameters)</t>
  </si>
  <si>
    <t>Seasonal Plot</t>
  </si>
  <si>
    <t>TR</t>
  </si>
  <si>
    <t>IR</t>
  </si>
  <si>
    <t>RNDBF</t>
  </si>
  <si>
    <t>Industrial Production</t>
  </si>
  <si>
    <t>Generic</t>
  </si>
  <si>
    <t>F12</t>
  </si>
  <si>
    <t>F4</t>
  </si>
  <si>
    <r>
      <t xml:space="preserve">It is intended to be used by researchers and the general public. It is NOT a product of the BCB, nor it is maintained by that institution. </t>
    </r>
    <r>
      <rPr>
        <b/>
        <sz val="11"/>
        <color theme="1"/>
        <rFont val="Arial"/>
        <family val="2"/>
      </rPr>
      <t>Use at your own risk!</t>
    </r>
  </si>
  <si>
    <t>It is totally free and its code is open!</t>
  </si>
  <si>
    <t>TIPS</t>
  </si>
  <si>
    <t>* Most recent version should be found on the webpage below:</t>
  </si>
  <si>
    <t>* To update from a previous version, just replace the old version of this spreadsheet with this one.</t>
  </si>
  <si>
    <t>* To use these functions in your own spreadsheet, use this spreadsheet as a model, it is EASIER!</t>
  </si>
  <si>
    <t>1) With your spreadsheet open, make sure macros are enabled and the Developer tab is displayed. In the links below, you learn how to do that:</t>
  </si>
  <si>
    <t>https://support.microsoft.com/en-us/office/enable-or-disable-macros-in-office-files-12b036fd-d140-4e74-b45e-16fed1a7e5c6</t>
  </si>
  <si>
    <t>https://support.microsoft.com/en-us/topic/show-the-developer-tab-e1192344-5e56-4d45-931b-e5fd9bea2d45</t>
  </si>
  <si>
    <t>2) In the ribbon, click on Developer tab, then on "Visual Basic".</t>
  </si>
  <si>
    <t/>
  </si>
  <si>
    <t>Function name</t>
  </si>
  <si>
    <t>Description</t>
  </si>
  <si>
    <t>* Version history</t>
  </si>
  <si>
    <t>First release.</t>
  </si>
  <si>
    <t>https://github.com/edugca/xlDESSAZ</t>
  </si>
  <si>
    <t>To update in your own spreadsheets, you need to open each one of them in the VBA Editor and replace the modules "xlDESSAZ_Functions" and "xlDESSAZ_modShellAndWait" with their current versions embedded in this spreadsheet.</t>
  </si>
  <si>
    <t>Alternatively, copy to your spreadsheet the VBA modules named "xlDESSAZ_Functions" and "xlDESSAZ_modShellAndWait", both embedded in this spreadsheet.</t>
  </si>
  <si>
    <t>https://www.census.gov/data/software/x13as.html</t>
  </si>
  <si>
    <t>* For this tool to work, one needs to install the software X13-ARIMA-SEATS, which can be downloaded freely from the website below:</t>
  </si>
  <si>
    <t>* If your seasonal adjustment specification is not working, try to make it work on the software X13-ARIMA-SEATS!</t>
  </si>
  <si>
    <t>https://www2.census.gov/software/x-13arima-seats/x13as/unix-linux/documentation/docx13as.pdf</t>
  </si>
  <si>
    <t>*Documentation of the software X13-ARIMA-SEATS is available in the following link (if the link is broken, just check their website):</t>
  </si>
  <si>
    <t>* There are some known limitations:</t>
  </si>
  <si>
    <t>* All limitations that apply to X13-ARIMA-SEATS seasonal adjustment algorithm also apply here.</t>
  </si>
  <si>
    <t>* Below, one finds a quick summary of SOME of the functions and their available fields. NOT all fields are obligatory (check the Step-by-Step worksheet).</t>
  </si>
  <si>
    <t>xlDESSAZ_SeasonalPlot</t>
  </si>
  <si>
    <t>Split time series data into seasons</t>
  </si>
  <si>
    <t>Seasonally adjust and forecast time series</t>
  </si>
  <si>
    <t>v 0.1 (2022-02-06)</t>
  </si>
  <si>
    <t>Dates</t>
  </si>
  <si>
    <t>Values</t>
  </si>
  <si>
    <t>Results</t>
  </si>
  <si>
    <t>Method</t>
  </si>
  <si>
    <t>SpecFile</t>
  </si>
  <si>
    <t>SpecText</t>
  </si>
  <si>
    <t>Exogenous</t>
  </si>
  <si>
    <t>Regularly spaced dates of the time series</t>
  </si>
  <si>
    <t>Text of the seasonal adjustment spec</t>
  </si>
  <si>
    <t>Path of the seasonal adjustment spec file</t>
  </si>
  <si>
    <t>Optional</t>
  </si>
  <si>
    <t>No</t>
  </si>
  <si>
    <t>Yes (default is "SA")</t>
  </si>
  <si>
    <t>Yes (default is "X13")</t>
  </si>
  <si>
    <t>Yes</t>
  </si>
  <si>
    <t>Matrix of exogenous variables for the seasonal adjustment regression</t>
  </si>
  <si>
    <t>* So far, the tool has only been tested with vertically-aligned vectors and matrices. So, data should be vertically-aligned.</t>
  </si>
  <si>
    <t>3) Drag the VBA modules "xlDESSAZ_Functions" and "xlDESSAZ_modShellAndWait" from this spreadsheet to your spreadsheet.</t>
  </si>
  <si>
    <t>OBS;F4</t>
  </si>
  <si>
    <t>Forecast</t>
  </si>
  <si>
    <t>Income (Renda Nacional Disponível Bruta das Famílias)</t>
  </si>
  <si>
    <t>C:\Users\Eduardo\Google Drive\Meus Projetos\xlDESSAZ\IBC-Br.spc</t>
  </si>
  <si>
    <t>SA Official (file)</t>
  </si>
  <si>
    <t>SA Official (text)</t>
  </si>
  <si>
    <t>Official Spec</t>
  </si>
  <si>
    <t>FCIL95</t>
  </si>
  <si>
    <t>FCIU95</t>
  </si>
  <si>
    <t>v 0.1.1 (2022-02-08)</t>
  </si>
  <si>
    <t>This spreadsheet exposes examples of how to seasonally adjust and forecast time series with X13-ARIMA-SEATS without having to leave Microsoft Excel (Windows only).</t>
  </si>
  <si>
    <t>Cosmetics: in the examples, interval forecasts were changed to 95%, so it is closer to standard practice. Description of forecasting parameters was clarified.</t>
  </si>
  <si>
    <r>
      <t xml:space="preserve">4) Open the VBA module "xlDESSAZ_Functions" at your spreadsheet. At the beginning of the module, set the following paths accordingly.
* In case you intend to share your spreadhseet with other users, the following paths should be of common access, otherwise users will have to be frequently switching them.
</t>
    </r>
    <r>
      <rPr>
        <b/>
        <sz val="11"/>
        <color theme="1"/>
        <rFont val="Arial"/>
        <family val="2"/>
      </rPr>
      <t>* X13_path</t>
    </r>
    <r>
      <rPr>
        <sz val="11"/>
        <color theme="1"/>
        <rFont val="Arial"/>
        <family val="2"/>
      </rPr>
      <t xml:space="preserve"> must be directed to the x13as.exe file (or x13ashtml.exe) at the X13-ARIMA-SEATS installation folder.
</t>
    </r>
    <r>
      <rPr>
        <b/>
        <sz val="11"/>
        <color theme="1"/>
        <rFont val="Arial"/>
        <family val="2"/>
      </rPr>
      <t>* X13_temp_folder_path</t>
    </r>
    <r>
      <rPr>
        <sz val="11"/>
        <color theme="1"/>
        <rFont val="Arial"/>
        <family val="2"/>
      </rPr>
      <t xml:space="preserve"> should be a folder one creates specifically for the purpose of holding temporay files in-between Excel and X13-ARIMA-SEATS, preferably at a fast hard drive (i.e. SSD). One should not share this folder with any other programs or files!</t>
    </r>
  </si>
  <si>
    <t>* This tool functions rely on executing the software X13-ARIMA-SEATS and accessing user-specified folders. So, when designing your spreadsheet, consider copying function results and pasting them as values.</t>
  </si>
  <si>
    <t>xlDESSAZ (v. 0.2)</t>
  </si>
  <si>
    <t>Ind Prod: Extractive</t>
  </si>
  <si>
    <t>Ind Prod SA</t>
  </si>
  <si>
    <t>Ind Prod: Extractive SA</t>
  </si>
  <si>
    <t>Ind Prod: Transform</t>
  </si>
  <si>
    <t>Ind Prod: Transform SA</t>
  </si>
  <si>
    <t>Industrial Production - Transformation</t>
  </si>
  <si>
    <t>Industrial Production - General Industry</t>
  </si>
  <si>
    <t>Industrial Production - Extractives</t>
  </si>
  <si>
    <t># Both the X13 executable and the temporary folder are OK!</t>
  </si>
  <si>
    <t>Status of the installation of the xlDESSAZ</t>
  </si>
  <si>
    <t>What should be the answer? =&gt;</t>
  </si>
  <si>
    <t>xlDESSAZ_X13_SetUp</t>
  </si>
  <si>
    <t>xlDESSAZ function</t>
  </si>
  <si>
    <t>Arguments</t>
  </si>
  <si>
    <t>Tells the status of the installation of the xlDESSAZ</t>
  </si>
  <si>
    <t>Added worksheet exemplifying the use of the xlDESSAZ_X13_SetUp function.</t>
  </si>
  <si>
    <t>RNDBF Restricted</t>
  </si>
  <si>
    <t>RNDBF SA</t>
  </si>
  <si>
    <t>RNDBF Restricted SA</t>
  </si>
  <si>
    <t>Diff RNDBF</t>
  </si>
  <si>
    <t>Diff RNDBF Restr</t>
  </si>
  <si>
    <t>RNDBF Restr</t>
  </si>
  <si>
    <t>Example: Deseasonalization of multiple series with the same spec at once</t>
  </si>
  <si>
    <t>Example: Deseasonalization of multiple series with multiple specs at once</t>
  </si>
  <si>
    <t>General</t>
  </si>
  <si>
    <t>Extractive</t>
  </si>
  <si>
    <t>Transform</t>
  </si>
  <si>
    <t>Function xlDESSAZ now accepts multiple series with the same date vector in the same function call. This speeds up the process by using the batch resource of the X13-ARIMA-SEATS software.</t>
  </si>
  <si>
    <t>Values of the time series (each column is treated as a different time series)</t>
  </si>
  <si>
    <t>"X13" is the only one available at the moment.</t>
  </si>
  <si>
    <t>SF</t>
  </si>
  <si>
    <t>CF</t>
  </si>
  <si>
    <t>Decomp Obs</t>
  </si>
  <si>
    <t>Decomp SA</t>
  </si>
  <si>
    <t>Any combination of "OBS" (observed), "SA" (seasonally adjusted), "SF" (seasonal factors), "CF" (calendar factors), "TR" (trend), "IR" (irregular), "FX" (forecasts where X is the amount), "FCILX" (the lower bound of the forecast interval of length X), and "FCIUX" (the upper bound of the forecast of length X). Multiple results must be horizontally separated by "," and vertically separated by ";". In case of multiple time series, only vertical separation is allowed.</t>
  </si>
  <si>
    <t>series{ 
period = 12
decimals = 2
format = datevalue
}
transform{ 
    function = log
}
arima{
  model = (2 1 0)(0 1 2)
}
outlier{  span = (2015.Jan, )
}
regression{  variables = (lpyear LS2008.Oct LS2008.Nov TC2008.Dec)
	tcrate = 0.90
	user = (seg ter qua qui sex sab)
	usertype = td
	file = 'C:\Users\Eduardo\Google Drive\Meus Projetos\xlDESSAZ\RegressoresDessazIBCBR.txt'
	format = datevalue
}
estimate{ }
x11{  seasonalma = x11default
	calendarsigma = all
	final = user
	save = ( d10 d11 d12 d13 d16 d18)
}</t>
  </si>
  <si>
    <t>X13-ARIMA-SEATS specifications (with minor adaptations from original ones)
make sure that x11{ save = ( d10 d11 d12 d13 d16 d18) } is specified</t>
  </si>
  <si>
    <t>series{
    start= 1996.1
    period = 4
    format = free
}
transform{ 
    function = auto
}
pickmdl{
   method = best
   identify = all
}
outlier{ 
    types = all
}
forecast {
   maxlead = 6
   maxback = 0
}
regression {
   aictest = (td easter)
}
estimate{ }
x11{
save = ( d10 d11 d12 d13 d16 d18)
savelog = q
}</t>
  </si>
  <si>
    <t xml:space="preserve">series{ title = "Industria Geral"
 start= 2002.1
 period = 12
 format="(f6.2)"
 decimals=1 }
transform {function=none }
regression { variables = (td Easter[1])
user=(carnaval corpus)
file='C:\Users\Eduardo\Google Drive\Meus Projetos\xlDESSAZ\Holidays_IBGE_2002.txt'
 usertype=holiday
 format="datevalue"
 start= 2001.1 }
arima{model= (1 1 0)(0 1 1)}
forecast { }
outlier {types=all}
estimate { }
x11{
save = ( d10 d11 d12 d13 d16 d18)
print=(d11)
appendfcst=yes
savelog=(ids) } </t>
  </si>
  <si>
    <t xml:space="preserve">series{ title = "Indústrias Extrativas"
 start= 2002.1
 period = 12
 format="(f6.2)"
 decimals=1 }
transform {function=log }
regression { variables = (Easter[8])
 }
arima{model= (0 1 1)(0 1 1)}
forecast { }
outlier {types=all}
estimate { }
x11{
save = ( d10 d11 d12 d13 d16 d18)
print=(d11)
appendfcst=yes
savelog=(ids) } </t>
  </si>
  <si>
    <t xml:space="preserve">series{ title = "Industria de Transformação"
 start= 2002.1
 period = 12
 format="(f6.2)"
 decimals=1 }
transform {function=log }
regression { variables = (td Easter[1])
user=(carnaval corpus)
file='C:\Users\Eduardo\Google Drive\Meus Projetos\xlDESSAZ\Holidays_IBGE_2002.txt'
 usertype=holiday
 format="datevalue"
 start= 2001.1 }
arima{model= (0 1 0)(0 1 1)}
forecast { }
outlier {types=all}
estimate { }
x11{
save = ( d10 d11 d12 d13 d16 d18)
print=(d11)
appendfcst=yes
savelog=(ids) } </t>
  </si>
  <si>
    <t>series{
title="RNDBF/RNDBF restrita"
period=12
decimals=2
format=datevalue
}
transform{function=log}
regression{variables=()}
pickmdl{
method=best
identify=all
}
outlier{types=all}
estimate { }
x11{
save = ( d10 d11 d12 d13 d16 d18)
}</t>
  </si>
  <si>
    <t>*Adding forecasts changes the seasonal adjustment</t>
  </si>
  <si>
    <t>Covid (-)</t>
  </si>
  <si>
    <t>After Covid</t>
  </si>
  <si>
    <t>*Adding forecasts changes SA because the X13-ARIMA appends the forecasts to the original series before seasonal adjustment</t>
  </si>
  <si>
    <t>Function xlDESSAZ has new options of return: SF (seasonal factor), CF (calendar factor)</t>
  </si>
  <si>
    <t>v 0.2 (2022-02-24)</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</si>
</sst>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6">
    <numFmt numFmtId="44" formatCode="_-&quot;R$&quot;\ * #,##0.00_-;\-&quot;R$&quot;\ * #,##0.00_-;_-&quot;R$&quot;\ * &quot;-&quot;??_-;_-@_-"/>
    <numFmt numFmtId="164" formatCode="[$-416]mmm\-yy;@"/>
    <numFmt numFmtId="165" formatCode="0.0"/>
    <numFmt numFmtId="166" formatCode="0.0%"/>
    <numFmt numFmtId="167" formatCode="_-&quot;R$&quot;\ * #,##0_-;\-&quot;R$&quot;\ * #,##0_-;_-&quot;R$&quot;\ * &quot;-&quot;??_-;_-@_-"/>
    <numFmt numFmtId="168" formatCode="0.000"/>
  </numFmts>
  <fonts count="14" x14ac:knownFonts="1">
    <font>
      <sz val="11"/>
      <color theme="1"/>
      <name val="Calibri"/>
      <family val="2"/>
      <scheme val="minor"/>
    </font>
    <font>
      <sz val="11"/>
      <color theme="1"/>
      <name val="Calibri"/>
      <family val="2"/>
      <scheme val="minor"/>
    </font>
    <font>
      <b/>
      <sz val="11"/>
      <color theme="1"/>
      <name val="Calibri"/>
      <family val="2"/>
      <scheme val="minor"/>
    </font>
    <font>
      <b/>
      <sz val="18"/>
      <color theme="1"/>
      <name val="Calibri"/>
      <family val="2"/>
      <scheme val="minor"/>
    </font>
    <font>
      <u/>
      <sz val="11"/>
      <color theme="10"/>
      <name val="Calibri"/>
      <family val="2"/>
      <scheme val="minor"/>
    </font>
    <font>
      <sz val="10"/>
      <color theme="1"/>
      <name val="Arial"/>
      <family val="2"/>
    </font>
    <font>
      <b/>
      <sz val="14"/>
      <color theme="1"/>
      <name val="Arial"/>
      <family val="2"/>
    </font>
    <font>
      <sz val="11"/>
      <color theme="1"/>
      <name val="Arial"/>
      <family val="2"/>
    </font>
    <font>
      <b/>
      <sz val="11"/>
      <color theme="1"/>
      <name val="Arial"/>
      <family val="2"/>
    </font>
    <font>
      <b/>
      <sz val="10"/>
      <color theme="1"/>
      <name val="Arial"/>
      <family val="2"/>
    </font>
    <font>
      <b/>
      <sz val="16"/>
      <color theme="0"/>
      <name val="Calibri"/>
      <family val="2"/>
      <scheme val="minor"/>
    </font>
    <font>
      <sz val="11"/>
      <color rgb="FF3F3F76"/>
      <name val="Calibri"/>
      <family val="2"/>
      <scheme val="minor"/>
    </font>
    <font>
      <b/>
      <sz val="11"/>
      <color rgb="FFFF0000"/>
      <name val="Calibri"/>
      <family val="2"/>
      <scheme val="minor"/>
    </font>
    <font>
      <sz val="9"/>
      <color indexed="81"/>
      <name val="Segoe UI"/>
      <family val="2"/>
    </font>
  </fonts>
  <fills count="13">
    <fill>
      <patternFill patternType="none"/>
    </fill>
    <fill>
      <patternFill patternType="gray125"/>
    </fill>
    <fill>
      <patternFill patternType="solid">
        <fgColor theme="0" tint="-0.14999847407452621"/>
        <bgColor indexed="64"/>
      </patternFill>
    </fill>
    <fill>
      <patternFill patternType="solid">
        <fgColor theme="0" tint="-0.249977111117893"/>
        <bgColor indexed="64"/>
      </patternFill>
    </fill>
    <fill>
      <patternFill patternType="solid">
        <fgColor theme="0" tint="-4.9989318521683403E-2"/>
        <bgColor indexed="64"/>
      </patternFill>
    </fill>
    <fill>
      <patternFill patternType="solid">
        <fgColor theme="7" tint="0.59999389629810485"/>
        <bgColor indexed="64"/>
      </patternFill>
    </fill>
    <fill>
      <patternFill patternType="solid">
        <fgColor theme="8" tint="0.59999389629810485"/>
        <bgColor indexed="64"/>
      </patternFill>
    </fill>
    <fill>
      <patternFill patternType="solid">
        <fgColor theme="5" tint="0.39997558519241921"/>
        <bgColor indexed="64"/>
      </patternFill>
    </fill>
    <fill>
      <patternFill patternType="solid">
        <fgColor theme="5" tint="0.59999389629810485"/>
        <bgColor indexed="64"/>
      </patternFill>
    </fill>
    <fill>
      <patternFill patternType="solid">
        <fgColor theme="9" tint="0.79998168889431442"/>
        <bgColor indexed="64"/>
      </patternFill>
    </fill>
    <fill>
      <patternFill patternType="solid">
        <fgColor theme="0" tint="-0.34998626667073579"/>
        <bgColor indexed="64"/>
      </patternFill>
    </fill>
    <fill>
      <patternFill patternType="solid">
        <fgColor rgb="FFFFCC99"/>
      </patternFill>
    </fill>
    <fill>
      <patternFill patternType="solid">
        <fgColor theme="4" tint="0.59999389629810485"/>
        <bgColor indexed="64"/>
      </patternFill>
    </fill>
  </fills>
  <borders count="8">
    <border>
      <left/>
      <right/>
      <top/>
      <bottom/>
      <diagonal/>
    </border>
    <border>
      <left style="thin">
        <color indexed="64"/>
      </left>
      <right style="thin">
        <color indexed="64"/>
      </right>
      <top style="thin">
        <color indexed="64"/>
      </top>
      <bottom style="thin">
        <color indexed="64"/>
      </bottom>
      <diagonal/>
    </border>
    <border>
      <left/>
      <right/>
      <top/>
      <bottom style="thin">
        <color indexed="64"/>
      </bottom>
      <diagonal/>
    </border>
    <border>
      <left style="thin">
        <color indexed="64"/>
      </left>
      <right/>
      <top style="thin">
        <color indexed="64"/>
      </top>
      <bottom/>
      <diagonal/>
    </border>
    <border>
      <left/>
      <right/>
      <top style="thin">
        <color indexed="64"/>
      </top>
      <bottom/>
      <diagonal/>
    </border>
    <border>
      <left style="thin">
        <color indexed="64"/>
      </left>
      <right/>
      <top/>
      <bottom/>
      <diagonal/>
    </border>
    <border>
      <left style="thin">
        <color indexed="64"/>
      </left>
      <right/>
      <top/>
      <bottom style="thin">
        <color indexed="64"/>
      </bottom>
      <diagonal/>
    </border>
    <border>
      <left style="thin">
        <color rgb="FF7F7F7F"/>
      </left>
      <right style="thin">
        <color rgb="FF7F7F7F"/>
      </right>
      <top style="thin">
        <color rgb="FF7F7F7F"/>
      </top>
      <bottom style="thin">
        <color rgb="FF7F7F7F"/>
      </bottom>
      <diagonal/>
    </border>
  </borders>
  <cellStyleXfs count="6">
    <xf numFmtId="0" fontId="0" fillId="0" borderId="0"/>
    <xf numFmtId="9" fontId="1" fillId="0" borderId="0" applyFont="0" applyFill="0" applyBorder="0" applyAlignment="0" applyProtection="0"/>
    <xf numFmtId="44" fontId="1" fillId="0" borderId="0" applyFont="0" applyFill="0" applyBorder="0" applyAlignment="0" applyProtection="0"/>
    <xf numFmtId="0" fontId="4" fillId="0" borderId="0" applyNumberFormat="0" applyFill="0" applyBorder="0" applyAlignment="0" applyProtection="0"/>
    <xf numFmtId="0" fontId="5" fillId="0" borderId="0"/>
    <xf numFmtId="0" fontId="11" fillId="11" borderId="7" applyNumberFormat="0" applyAlignment="0" applyProtection="0"/>
  </cellStyleXfs>
  <cellXfs count="77">
    <xf numFmtId="0" fontId="0" fillId="0" borderId="0" xfId="0"/>
    <xf numFmtId="14" fontId="0" fillId="0" borderId="0" xfId="0" applyNumberFormat="1"/>
    <xf numFmtId="0" fontId="0" fillId="2" borderId="0" xfId="0" applyFill="1"/>
    <xf numFmtId="0" fontId="0" fillId="0" borderId="1" xfId="0" applyBorder="1" applyAlignment="1">
      <alignment vertical="top" wrapText="1"/>
    </xf>
    <xf numFmtId="0" fontId="0" fillId="0" borderId="0" xfId="0" applyAlignment="1">
      <alignment wrapText="1"/>
    </xf>
    <xf numFmtId="0" fontId="3" fillId="0" borderId="0" xfId="0" applyFont="1"/>
    <xf numFmtId="17" fontId="0" fillId="0" borderId="0" xfId="0" applyNumberFormat="1"/>
    <xf numFmtId="165" fontId="0" fillId="0" borderId="0" xfId="0" applyNumberFormat="1"/>
    <xf numFmtId="165" fontId="0" fillId="0" borderId="0" xfId="0" applyNumberFormat="1" applyAlignment="1">
      <alignment wrapText="1"/>
    </xf>
    <xf numFmtId="166" fontId="0" fillId="0" borderId="0" xfId="1" applyNumberFormat="1" applyFont="1"/>
    <xf numFmtId="0" fontId="0" fillId="3" borderId="0" xfId="0" applyFill="1"/>
    <xf numFmtId="0" fontId="0" fillId="3" borderId="0" xfId="0" applyFill="1" applyAlignment="1">
      <alignment wrapText="1"/>
    </xf>
    <xf numFmtId="0" fontId="2" fillId="0" borderId="0" xfId="0" applyFont="1"/>
    <xf numFmtId="0" fontId="2" fillId="2" borderId="0" xfId="0" applyFont="1" applyFill="1"/>
    <xf numFmtId="164" fontId="0" fillId="0" borderId="0" xfId="0" applyNumberFormat="1"/>
    <xf numFmtId="0" fontId="2" fillId="4" borderId="2" xfId="0" applyFont="1" applyFill="1" applyBorder="1"/>
    <xf numFmtId="0" fontId="2" fillId="4" borderId="2" xfId="0" applyFont="1" applyFill="1" applyBorder="1" applyAlignment="1">
      <alignment wrapText="1"/>
    </xf>
    <xf numFmtId="0" fontId="2" fillId="4" borderId="0" xfId="0" applyFont="1" applyFill="1" applyAlignment="1">
      <alignment wrapText="1"/>
    </xf>
    <xf numFmtId="167" fontId="0" fillId="0" borderId="0" xfId="2" applyNumberFormat="1" applyFont="1"/>
    <xf numFmtId="167" fontId="0" fillId="0" borderId="0" xfId="2" applyNumberFormat="1" applyFont="1" applyAlignment="1"/>
    <xf numFmtId="2" fontId="0" fillId="0" borderId="0" xfId="2" applyNumberFormat="1" applyFont="1"/>
    <xf numFmtId="165" fontId="0" fillId="0" borderId="0" xfId="2" applyNumberFormat="1" applyFont="1"/>
    <xf numFmtId="165" fontId="0" fillId="0" borderId="0" xfId="2" applyNumberFormat="1" applyFont="1" applyAlignment="1"/>
    <xf numFmtId="0" fontId="0" fillId="4" borderId="1" xfId="0" applyFill="1" applyBorder="1" applyAlignment="1">
      <alignment horizontal="center" vertical="top" wrapText="1"/>
    </xf>
    <xf numFmtId="0" fontId="0" fillId="5" borderId="0" xfId="0" applyFill="1"/>
    <xf numFmtId="0" fontId="0" fillId="0" borderId="1" xfId="0" applyFill="1" applyBorder="1" applyAlignment="1">
      <alignment vertical="top" wrapText="1"/>
    </xf>
    <xf numFmtId="0" fontId="2" fillId="2" borderId="0" xfId="0" applyFont="1" applyFill="1" applyAlignment="1">
      <alignment wrapText="1"/>
    </xf>
    <xf numFmtId="0" fontId="6" fillId="8" borderId="0" xfId="4" applyFont="1" applyFill="1"/>
    <xf numFmtId="0" fontId="5" fillId="8" borderId="0" xfId="4" applyFill="1"/>
    <xf numFmtId="0" fontId="5" fillId="0" borderId="0" xfId="4"/>
    <xf numFmtId="0" fontId="7" fillId="0" borderId="0" xfId="4" applyFont="1"/>
    <xf numFmtId="0" fontId="9" fillId="0" borderId="0" xfId="4" applyFont="1"/>
    <xf numFmtId="0" fontId="8" fillId="0" borderId="0" xfId="4" applyFont="1"/>
    <xf numFmtId="0" fontId="4" fillId="0" borderId="0" xfId="3"/>
    <xf numFmtId="0" fontId="5" fillId="0" borderId="0" xfId="4" quotePrefix="1"/>
    <xf numFmtId="0" fontId="9" fillId="0" borderId="2" xfId="4" applyFont="1" applyBorder="1"/>
    <xf numFmtId="0" fontId="5" fillId="0" borderId="2" xfId="4" applyBorder="1"/>
    <xf numFmtId="0" fontId="5" fillId="0" borderId="3" xfId="4" applyBorder="1"/>
    <xf numFmtId="0" fontId="5" fillId="0" borderId="4" xfId="4" applyBorder="1"/>
    <xf numFmtId="0" fontId="5" fillId="0" borderId="0" xfId="4" applyAlignment="1">
      <alignment horizontal="center"/>
    </xf>
    <xf numFmtId="0" fontId="5" fillId="0" borderId="0" xfId="4" applyBorder="1"/>
    <xf numFmtId="0" fontId="5" fillId="0" borderId="3" xfId="4" applyBorder="1" applyAlignment="1">
      <alignment horizontal="left" vertical="top"/>
    </xf>
    <xf numFmtId="0" fontId="5" fillId="0" borderId="4" xfId="4" applyBorder="1" applyAlignment="1">
      <alignment horizontal="left" vertical="top"/>
    </xf>
    <xf numFmtId="0" fontId="5" fillId="0" borderId="0" xfId="4" applyAlignment="1">
      <alignment horizontal="left" vertical="top"/>
    </xf>
    <xf numFmtId="0" fontId="5" fillId="0" borderId="5" xfId="4" applyBorder="1" applyAlignment="1">
      <alignment horizontal="left" vertical="top"/>
    </xf>
    <xf numFmtId="0" fontId="5" fillId="0" borderId="6" xfId="4" applyBorder="1" applyAlignment="1">
      <alignment horizontal="left" vertical="top"/>
    </xf>
    <xf numFmtId="0" fontId="5" fillId="0" borderId="2" xfId="4" applyBorder="1" applyAlignment="1">
      <alignment horizontal="left" vertical="top"/>
    </xf>
    <xf numFmtId="0" fontId="5" fillId="9" borderId="5" xfId="4" applyFill="1" applyBorder="1" applyAlignment="1">
      <alignment horizontal="left" vertical="top"/>
    </xf>
    <xf numFmtId="0" fontId="5" fillId="9" borderId="0" xfId="4" applyFill="1" applyAlignment="1">
      <alignment horizontal="left" vertical="top"/>
    </xf>
    <xf numFmtId="0" fontId="5" fillId="0" borderId="0" xfId="4" applyAlignment="1">
      <alignment horizontal="left" vertical="top" wrapText="1"/>
    </xf>
    <xf numFmtId="0" fontId="5" fillId="0" borderId="4" xfId="4" applyBorder="1" applyAlignment="1">
      <alignment horizontal="left" vertical="top" wrapText="1"/>
    </xf>
    <xf numFmtId="0" fontId="5" fillId="9" borderId="0" xfId="4" applyFill="1" applyAlignment="1">
      <alignment horizontal="left" vertical="top" wrapText="1"/>
    </xf>
    <xf numFmtId="0" fontId="5" fillId="0" borderId="2" xfId="4" applyBorder="1" applyAlignment="1">
      <alignment horizontal="left" vertical="top" wrapText="1"/>
    </xf>
    <xf numFmtId="0" fontId="5" fillId="0" borderId="4" xfId="4" applyBorder="1" applyAlignment="1">
      <alignment wrapText="1"/>
    </xf>
    <xf numFmtId="0" fontId="0" fillId="0" borderId="0" xfId="0" quotePrefix="1"/>
    <xf numFmtId="0" fontId="0" fillId="0" borderId="0" xfId="0" applyAlignment="1"/>
    <xf numFmtId="0" fontId="11" fillId="11" borderId="7" xfId="5" applyAlignment="1"/>
    <xf numFmtId="0" fontId="5" fillId="9" borderId="5" xfId="4" applyFill="1" applyBorder="1"/>
    <xf numFmtId="0" fontId="5" fillId="9" borderId="0" xfId="4" applyFill="1" applyBorder="1"/>
    <xf numFmtId="0" fontId="5" fillId="9" borderId="0" xfId="4" applyFill="1" applyBorder="1" applyAlignment="1">
      <alignment wrapText="1"/>
    </xf>
    <xf numFmtId="0" fontId="5" fillId="9" borderId="0" xfId="4" applyFill="1"/>
    <xf numFmtId="0" fontId="5" fillId="0" borderId="6" xfId="4" applyFill="1" applyBorder="1"/>
    <xf numFmtId="0" fontId="5" fillId="0" borderId="2" xfId="4" applyFill="1" applyBorder="1"/>
    <xf numFmtId="0" fontId="5" fillId="0" borderId="2" xfId="4" applyFill="1" applyBorder="1" applyAlignment="1">
      <alignment wrapText="1"/>
    </xf>
    <xf numFmtId="0" fontId="11" fillId="11" borderId="7" xfId="5"/>
    <xf numFmtId="2" fontId="0" fillId="0" borderId="0" xfId="0" applyNumberFormat="1"/>
    <xf numFmtId="168" fontId="0" fillId="0" borderId="0" xfId="0" applyNumberFormat="1"/>
    <xf numFmtId="0" fontId="12" fillId="0" borderId="0" xfId="0" applyFont="1"/>
    <xf numFmtId="0" fontId="5" fillId="0" borderId="0" xfId="4" applyAlignment="1">
      <alignment horizontal="left" vertical="top" wrapText="1"/>
    </xf>
    <xf numFmtId="0" fontId="0" fillId="0" borderId="0" xfId="0" applyAlignment="1">
      <alignment horizontal="left" vertical="top" wrapText="1"/>
    </xf>
    <xf numFmtId="0" fontId="7" fillId="0" borderId="0" xfId="4" applyFont="1" applyAlignment="1">
      <alignment horizontal="left" vertical="top" wrapText="1"/>
    </xf>
    <xf numFmtId="0" fontId="2" fillId="5" borderId="0" xfId="0" applyFont="1" applyFill="1" applyAlignment="1">
      <alignment horizontal="center" wrapText="1"/>
    </xf>
    <xf numFmtId="0" fontId="0" fillId="6" borderId="0" xfId="0" applyFill="1" applyAlignment="1">
      <alignment horizontal="center" wrapText="1"/>
    </xf>
    <xf numFmtId="0" fontId="0" fillId="7" borderId="0" xfId="0" applyFill="1" applyAlignment="1">
      <alignment horizontal="center"/>
    </xf>
    <xf numFmtId="0" fontId="10" fillId="10" borderId="0" xfId="0" applyFont="1" applyFill="1" applyAlignment="1">
      <alignment horizontal="left" wrapText="1"/>
    </xf>
    <xf numFmtId="0" fontId="2" fillId="12" borderId="0" xfId="0" applyFont="1" applyFill="1"/>
    <xf numFmtId="9" fontId="0" fillId="0" borderId="0" xfId="1" applyFont="1"/>
  </cellXfs>
  <cellStyles count="6">
    <cellStyle name="Entrada" xfId="5" builtinId="20"/>
    <cellStyle name="Hiperlink" xfId="3" builtinId="8"/>
    <cellStyle name="Moeda" xfId="2" builtinId="4"/>
    <cellStyle name="Normal" xfId="0" builtinId="0"/>
    <cellStyle name="Normal 2" xfId="4" xr:uid="{37EFEC2C-8610-4B1A-AD95-746AA27D3980}"/>
    <cellStyle name="Porcentagem" xfId="1" builtinId="5"/>
  </cellStyles>
  <dxfs count="0"/>
  <tableStyles count="1" defaultTableStyle="TableStyleMedium2" defaultPivotStyle="PivotStyleLight16">
    <tableStyle name="Invisible" pivot="0" table="0" count="0" xr9:uid="{592CD688-896F-47FF-B94D-7EA471DC7838}"/>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theme" Target="theme/theme1.xml"/><Relationship Id="rId1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externalLink" Target="externalLinks/externalLink1.xml"/><Relationship Id="rId17" Type="http://schemas.microsoft.com/office/2017/10/relationships/person" Target="persons/person.xml"/><Relationship Id="rId2" Type="http://schemas.openxmlformats.org/officeDocument/2006/relationships/worksheet" Target="worksheets/sheet2.xml"/><Relationship Id="rId16" Type="http://schemas.openxmlformats.org/officeDocument/2006/relationships/sheetMetadata" Target="metadata.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haredStrings" Target="sharedStrings.xml"/><Relationship Id="rId10" Type="http://schemas.openxmlformats.org/officeDocument/2006/relationships/worksheet" Target="worksheets/sheet10.xml"/><Relationship Id="rId19"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tyles" Target="style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1.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2.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13.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_rels/chart14.xml.rels><?xml version="1.0" encoding="UTF-8" standalone="yes"?>
<Relationships xmlns="http://schemas.openxmlformats.org/package/2006/relationships"><Relationship Id="rId2" Type="http://schemas.microsoft.com/office/2011/relationships/chartColorStyle" Target="colors14.xml"/><Relationship Id="rId1" Type="http://schemas.microsoft.com/office/2011/relationships/chartStyle" Target="style14.xml"/></Relationships>
</file>

<file path=xl/charts/_rels/chart15.xml.rels><?xml version="1.0" encoding="UTF-8" standalone="yes"?>
<Relationships xmlns="http://schemas.openxmlformats.org/package/2006/relationships"><Relationship Id="rId2" Type="http://schemas.microsoft.com/office/2011/relationships/chartColorStyle" Target="colors15.xml"/><Relationship Id="rId1" Type="http://schemas.microsoft.com/office/2011/relationships/chartStyle" Target="style15.xml"/></Relationships>
</file>

<file path=xl/charts/_rels/chart16.xml.rels><?xml version="1.0" encoding="UTF-8" standalone="yes"?>
<Relationships xmlns="http://schemas.openxmlformats.org/package/2006/relationships"><Relationship Id="rId2" Type="http://schemas.microsoft.com/office/2011/relationships/chartColorStyle" Target="colors16.xml"/><Relationship Id="rId1" Type="http://schemas.microsoft.com/office/2011/relationships/chartStyle" Target="style16.xml"/></Relationships>
</file>

<file path=xl/charts/_rels/chart17.xml.rels><?xml version="1.0" encoding="UTF-8" standalone="yes"?>
<Relationships xmlns="http://schemas.openxmlformats.org/package/2006/relationships"><Relationship Id="rId2" Type="http://schemas.microsoft.com/office/2011/relationships/chartColorStyle" Target="colors17.xml"/><Relationship Id="rId1" Type="http://schemas.microsoft.com/office/2011/relationships/chartStyle" Target="style17.xml"/></Relationships>
</file>

<file path=xl/charts/_rels/chart18.xml.rels><?xml version="1.0" encoding="UTF-8" standalone="yes"?>
<Relationships xmlns="http://schemas.openxmlformats.org/package/2006/relationships"><Relationship Id="rId2" Type="http://schemas.microsoft.com/office/2011/relationships/chartColorStyle" Target="colors18.xml"/><Relationship Id="rId1" Type="http://schemas.microsoft.com/office/2011/relationships/chartStyle" Target="style18.xml"/></Relationships>
</file>

<file path=xl/charts/_rels/chart19.xml.rels><?xml version="1.0" encoding="UTF-8" standalone="yes"?>
<Relationships xmlns="http://schemas.openxmlformats.org/package/2006/relationships"><Relationship Id="rId2" Type="http://schemas.microsoft.com/office/2011/relationships/chartColorStyle" Target="colors19.xml"/><Relationship Id="rId1" Type="http://schemas.microsoft.com/office/2011/relationships/chartStyle" Target="style19.xml"/></Relationships>
</file>

<file path=xl/charts/_rels/chart20.xml.rels><?xml version="1.0" encoding="UTF-8" standalone="yes"?>
<Relationships xmlns="http://schemas.openxmlformats.org/package/2006/relationships"><Relationship Id="rId2" Type="http://schemas.microsoft.com/office/2011/relationships/chartColorStyle" Target="colors20.xml"/><Relationship Id="rId1" Type="http://schemas.microsoft.com/office/2011/relationships/chartStyle" Target="style20.xml"/></Relationships>
</file>

<file path=xl/charts/_rels/chart21.xml.rels><?xml version="1.0" encoding="UTF-8" standalone="yes"?>
<Relationships xmlns="http://schemas.openxmlformats.org/package/2006/relationships"><Relationship Id="rId2" Type="http://schemas.microsoft.com/office/2011/relationships/chartColorStyle" Target="colors21.xml"/><Relationship Id="rId1" Type="http://schemas.microsoft.com/office/2011/relationships/chartStyle" Target="style21.xml"/></Relationships>
</file>

<file path=xl/charts/_rels/chart22.xml.rels><?xml version="1.0" encoding="UTF-8" standalone="yes"?>
<Relationships xmlns="http://schemas.openxmlformats.org/package/2006/relationships"><Relationship Id="rId2" Type="http://schemas.microsoft.com/office/2011/relationships/chartColorStyle" Target="colors22.xml"/><Relationship Id="rId1" Type="http://schemas.microsoft.com/office/2011/relationships/chartStyle" Target="style2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pt-BR"/>
              <a:t>IBC-Br</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pt-BR"/>
        </a:p>
      </c:txPr>
    </c:title>
    <c:autoTitleDeleted val="0"/>
    <c:plotArea>
      <c:layout/>
      <c:lineChart>
        <c:grouping val="standard"/>
        <c:varyColors val="0"/>
        <c:ser>
          <c:idx val="0"/>
          <c:order val="0"/>
          <c:tx>
            <c:strRef>
              <c:f>'Step-by-Step'!$B$6</c:f>
              <c:strCache>
                <c:ptCount val="1"/>
                <c:pt idx="0">
                  <c:v>Actual</c:v>
                </c:pt>
              </c:strCache>
            </c:strRef>
          </c:tx>
          <c:spPr>
            <a:ln w="28575" cap="rnd">
              <a:solidFill>
                <a:schemeClr val="tx1"/>
              </a:solidFill>
              <a:prstDash val="sysDash"/>
              <a:round/>
            </a:ln>
            <a:effectLst/>
          </c:spPr>
          <c:marker>
            <c:symbol val="none"/>
          </c:marker>
          <c:cat>
            <c:numRef>
              <c:f>'Step-by-Step'!$A$7:$A$223</c:f>
              <c:numCache>
                <c:formatCode>mmm\-yy</c:formatCode>
                <c:ptCount val="217"/>
                <c:pt idx="0">
                  <c:v>37622</c:v>
                </c:pt>
                <c:pt idx="1">
                  <c:v>37653</c:v>
                </c:pt>
                <c:pt idx="2">
                  <c:v>37681</c:v>
                </c:pt>
                <c:pt idx="3">
                  <c:v>37712</c:v>
                </c:pt>
                <c:pt idx="4">
                  <c:v>37742</c:v>
                </c:pt>
                <c:pt idx="5">
                  <c:v>37773</c:v>
                </c:pt>
                <c:pt idx="6">
                  <c:v>37803</c:v>
                </c:pt>
                <c:pt idx="7">
                  <c:v>37834</c:v>
                </c:pt>
                <c:pt idx="8">
                  <c:v>37865</c:v>
                </c:pt>
                <c:pt idx="9">
                  <c:v>37895</c:v>
                </c:pt>
                <c:pt idx="10">
                  <c:v>37926</c:v>
                </c:pt>
                <c:pt idx="11">
                  <c:v>37956</c:v>
                </c:pt>
                <c:pt idx="12">
                  <c:v>37987</c:v>
                </c:pt>
                <c:pt idx="13">
                  <c:v>38018</c:v>
                </c:pt>
                <c:pt idx="14">
                  <c:v>38047</c:v>
                </c:pt>
                <c:pt idx="15">
                  <c:v>38078</c:v>
                </c:pt>
                <c:pt idx="16">
                  <c:v>38108</c:v>
                </c:pt>
                <c:pt idx="17">
                  <c:v>38139</c:v>
                </c:pt>
                <c:pt idx="18">
                  <c:v>38169</c:v>
                </c:pt>
                <c:pt idx="19">
                  <c:v>38200</c:v>
                </c:pt>
                <c:pt idx="20">
                  <c:v>38231</c:v>
                </c:pt>
                <c:pt idx="21">
                  <c:v>38261</c:v>
                </c:pt>
                <c:pt idx="22">
                  <c:v>38292</c:v>
                </c:pt>
                <c:pt idx="23">
                  <c:v>38322</c:v>
                </c:pt>
                <c:pt idx="24">
                  <c:v>38353</c:v>
                </c:pt>
                <c:pt idx="25">
                  <c:v>38384</c:v>
                </c:pt>
                <c:pt idx="26">
                  <c:v>38412</c:v>
                </c:pt>
                <c:pt idx="27">
                  <c:v>38443</c:v>
                </c:pt>
                <c:pt idx="28">
                  <c:v>38473</c:v>
                </c:pt>
                <c:pt idx="29">
                  <c:v>38504</c:v>
                </c:pt>
                <c:pt idx="30">
                  <c:v>38534</c:v>
                </c:pt>
                <c:pt idx="31">
                  <c:v>38565</c:v>
                </c:pt>
                <c:pt idx="32">
                  <c:v>38596</c:v>
                </c:pt>
                <c:pt idx="33">
                  <c:v>38626</c:v>
                </c:pt>
                <c:pt idx="34">
                  <c:v>38657</c:v>
                </c:pt>
                <c:pt idx="35">
                  <c:v>38687</c:v>
                </c:pt>
                <c:pt idx="36">
                  <c:v>38718</c:v>
                </c:pt>
                <c:pt idx="37">
                  <c:v>38749</c:v>
                </c:pt>
                <c:pt idx="38">
                  <c:v>38777</c:v>
                </c:pt>
                <c:pt idx="39">
                  <c:v>38808</c:v>
                </c:pt>
                <c:pt idx="40">
                  <c:v>38838</c:v>
                </c:pt>
                <c:pt idx="41">
                  <c:v>38869</c:v>
                </c:pt>
                <c:pt idx="42">
                  <c:v>38899</c:v>
                </c:pt>
                <c:pt idx="43">
                  <c:v>38930</c:v>
                </c:pt>
                <c:pt idx="44">
                  <c:v>38961</c:v>
                </c:pt>
                <c:pt idx="45">
                  <c:v>38991</c:v>
                </c:pt>
                <c:pt idx="46">
                  <c:v>39022</c:v>
                </c:pt>
                <c:pt idx="47">
                  <c:v>39052</c:v>
                </c:pt>
                <c:pt idx="48">
                  <c:v>39083</c:v>
                </c:pt>
                <c:pt idx="49">
                  <c:v>39114</c:v>
                </c:pt>
                <c:pt idx="50">
                  <c:v>39142</c:v>
                </c:pt>
                <c:pt idx="51">
                  <c:v>39173</c:v>
                </c:pt>
                <c:pt idx="52">
                  <c:v>39203</c:v>
                </c:pt>
                <c:pt idx="53">
                  <c:v>39234</c:v>
                </c:pt>
                <c:pt idx="54">
                  <c:v>39264</c:v>
                </c:pt>
                <c:pt idx="55">
                  <c:v>39295</c:v>
                </c:pt>
                <c:pt idx="56">
                  <c:v>39326</c:v>
                </c:pt>
                <c:pt idx="57">
                  <c:v>39356</c:v>
                </c:pt>
                <c:pt idx="58">
                  <c:v>39387</c:v>
                </c:pt>
                <c:pt idx="59">
                  <c:v>39417</c:v>
                </c:pt>
                <c:pt idx="60">
                  <c:v>39448</c:v>
                </c:pt>
                <c:pt idx="61">
                  <c:v>39479</c:v>
                </c:pt>
                <c:pt idx="62">
                  <c:v>39508</c:v>
                </c:pt>
                <c:pt idx="63">
                  <c:v>39539</c:v>
                </c:pt>
                <c:pt idx="64">
                  <c:v>39569</c:v>
                </c:pt>
                <c:pt idx="65">
                  <c:v>39600</c:v>
                </c:pt>
                <c:pt idx="66">
                  <c:v>39630</c:v>
                </c:pt>
                <c:pt idx="67">
                  <c:v>39661</c:v>
                </c:pt>
                <c:pt idx="68">
                  <c:v>39692</c:v>
                </c:pt>
                <c:pt idx="69">
                  <c:v>39722</c:v>
                </c:pt>
                <c:pt idx="70">
                  <c:v>39753</c:v>
                </c:pt>
                <c:pt idx="71">
                  <c:v>39783</c:v>
                </c:pt>
                <c:pt idx="72">
                  <c:v>39814</c:v>
                </c:pt>
                <c:pt idx="73">
                  <c:v>39845</c:v>
                </c:pt>
                <c:pt idx="74">
                  <c:v>39873</c:v>
                </c:pt>
                <c:pt idx="75">
                  <c:v>39904</c:v>
                </c:pt>
                <c:pt idx="76">
                  <c:v>39934</c:v>
                </c:pt>
                <c:pt idx="77">
                  <c:v>39965</c:v>
                </c:pt>
                <c:pt idx="78">
                  <c:v>39995</c:v>
                </c:pt>
                <c:pt idx="79">
                  <c:v>40026</c:v>
                </c:pt>
                <c:pt idx="80">
                  <c:v>40057</c:v>
                </c:pt>
                <c:pt idx="81">
                  <c:v>40087</c:v>
                </c:pt>
                <c:pt idx="82">
                  <c:v>40118</c:v>
                </c:pt>
                <c:pt idx="83">
                  <c:v>40148</c:v>
                </c:pt>
                <c:pt idx="84">
                  <c:v>40179</c:v>
                </c:pt>
                <c:pt idx="85">
                  <c:v>40210</c:v>
                </c:pt>
                <c:pt idx="86">
                  <c:v>40238</c:v>
                </c:pt>
                <c:pt idx="87">
                  <c:v>40269</c:v>
                </c:pt>
                <c:pt idx="88">
                  <c:v>40299</c:v>
                </c:pt>
                <c:pt idx="89">
                  <c:v>40330</c:v>
                </c:pt>
                <c:pt idx="90">
                  <c:v>40360</c:v>
                </c:pt>
                <c:pt idx="91">
                  <c:v>40391</c:v>
                </c:pt>
                <c:pt idx="92">
                  <c:v>40422</c:v>
                </c:pt>
                <c:pt idx="93">
                  <c:v>40452</c:v>
                </c:pt>
                <c:pt idx="94">
                  <c:v>40483</c:v>
                </c:pt>
                <c:pt idx="95">
                  <c:v>40513</c:v>
                </c:pt>
                <c:pt idx="96">
                  <c:v>40544</c:v>
                </c:pt>
                <c:pt idx="97">
                  <c:v>40575</c:v>
                </c:pt>
                <c:pt idx="98">
                  <c:v>40603</c:v>
                </c:pt>
                <c:pt idx="99">
                  <c:v>40634</c:v>
                </c:pt>
                <c:pt idx="100">
                  <c:v>40664</c:v>
                </c:pt>
                <c:pt idx="101">
                  <c:v>40695</c:v>
                </c:pt>
                <c:pt idx="102">
                  <c:v>40725</c:v>
                </c:pt>
                <c:pt idx="103">
                  <c:v>40756</c:v>
                </c:pt>
                <c:pt idx="104">
                  <c:v>40787</c:v>
                </c:pt>
                <c:pt idx="105">
                  <c:v>40817</c:v>
                </c:pt>
                <c:pt idx="106">
                  <c:v>40848</c:v>
                </c:pt>
                <c:pt idx="107">
                  <c:v>40878</c:v>
                </c:pt>
                <c:pt idx="108">
                  <c:v>40909</c:v>
                </c:pt>
                <c:pt idx="109">
                  <c:v>40940</c:v>
                </c:pt>
                <c:pt idx="110">
                  <c:v>40969</c:v>
                </c:pt>
                <c:pt idx="111">
                  <c:v>41000</c:v>
                </c:pt>
                <c:pt idx="112">
                  <c:v>41030</c:v>
                </c:pt>
                <c:pt idx="113">
                  <c:v>41061</c:v>
                </c:pt>
                <c:pt idx="114">
                  <c:v>41091</c:v>
                </c:pt>
                <c:pt idx="115">
                  <c:v>41122</c:v>
                </c:pt>
                <c:pt idx="116">
                  <c:v>41153</c:v>
                </c:pt>
                <c:pt idx="117">
                  <c:v>41183</c:v>
                </c:pt>
                <c:pt idx="118">
                  <c:v>41214</c:v>
                </c:pt>
                <c:pt idx="119">
                  <c:v>41244</c:v>
                </c:pt>
                <c:pt idx="120">
                  <c:v>41275</c:v>
                </c:pt>
                <c:pt idx="121">
                  <c:v>41306</c:v>
                </c:pt>
                <c:pt idx="122">
                  <c:v>41334</c:v>
                </c:pt>
                <c:pt idx="123">
                  <c:v>41365</c:v>
                </c:pt>
                <c:pt idx="124">
                  <c:v>41395</c:v>
                </c:pt>
                <c:pt idx="125">
                  <c:v>41426</c:v>
                </c:pt>
                <c:pt idx="126">
                  <c:v>41456</c:v>
                </c:pt>
                <c:pt idx="127">
                  <c:v>41487</c:v>
                </c:pt>
                <c:pt idx="128">
                  <c:v>41518</c:v>
                </c:pt>
                <c:pt idx="129">
                  <c:v>41548</c:v>
                </c:pt>
                <c:pt idx="130">
                  <c:v>41579</c:v>
                </c:pt>
                <c:pt idx="131">
                  <c:v>41609</c:v>
                </c:pt>
                <c:pt idx="132">
                  <c:v>41640</c:v>
                </c:pt>
                <c:pt idx="133">
                  <c:v>41671</c:v>
                </c:pt>
                <c:pt idx="134">
                  <c:v>41699</c:v>
                </c:pt>
                <c:pt idx="135">
                  <c:v>41730</c:v>
                </c:pt>
                <c:pt idx="136">
                  <c:v>41760</c:v>
                </c:pt>
                <c:pt idx="137">
                  <c:v>41791</c:v>
                </c:pt>
                <c:pt idx="138">
                  <c:v>41821</c:v>
                </c:pt>
                <c:pt idx="139">
                  <c:v>41852</c:v>
                </c:pt>
                <c:pt idx="140">
                  <c:v>41883</c:v>
                </c:pt>
                <c:pt idx="141">
                  <c:v>41913</c:v>
                </c:pt>
                <c:pt idx="142">
                  <c:v>41944</c:v>
                </c:pt>
                <c:pt idx="143">
                  <c:v>41974</c:v>
                </c:pt>
                <c:pt idx="144">
                  <c:v>42005</c:v>
                </c:pt>
                <c:pt idx="145">
                  <c:v>42036</c:v>
                </c:pt>
                <c:pt idx="146">
                  <c:v>42064</c:v>
                </c:pt>
                <c:pt idx="147">
                  <c:v>42095</c:v>
                </c:pt>
                <c:pt idx="148">
                  <c:v>42125</c:v>
                </c:pt>
                <c:pt idx="149">
                  <c:v>42156</c:v>
                </c:pt>
                <c:pt idx="150">
                  <c:v>42186</c:v>
                </c:pt>
                <c:pt idx="151">
                  <c:v>42217</c:v>
                </c:pt>
                <c:pt idx="152">
                  <c:v>42248</c:v>
                </c:pt>
                <c:pt idx="153">
                  <c:v>42278</c:v>
                </c:pt>
                <c:pt idx="154">
                  <c:v>42309</c:v>
                </c:pt>
                <c:pt idx="155">
                  <c:v>42339</c:v>
                </c:pt>
                <c:pt idx="156">
                  <c:v>42370</c:v>
                </c:pt>
                <c:pt idx="157">
                  <c:v>42401</c:v>
                </c:pt>
                <c:pt idx="158">
                  <c:v>42430</c:v>
                </c:pt>
                <c:pt idx="159">
                  <c:v>42461</c:v>
                </c:pt>
                <c:pt idx="160">
                  <c:v>42491</c:v>
                </c:pt>
                <c:pt idx="161">
                  <c:v>42522</c:v>
                </c:pt>
                <c:pt idx="162">
                  <c:v>42552</c:v>
                </c:pt>
                <c:pt idx="163">
                  <c:v>42583</c:v>
                </c:pt>
                <c:pt idx="164">
                  <c:v>42614</c:v>
                </c:pt>
                <c:pt idx="165">
                  <c:v>42644</c:v>
                </c:pt>
                <c:pt idx="166">
                  <c:v>42675</c:v>
                </c:pt>
                <c:pt idx="167">
                  <c:v>42705</c:v>
                </c:pt>
                <c:pt idx="168">
                  <c:v>42736</c:v>
                </c:pt>
                <c:pt idx="169">
                  <c:v>42767</c:v>
                </c:pt>
                <c:pt idx="170">
                  <c:v>42795</c:v>
                </c:pt>
                <c:pt idx="171">
                  <c:v>42826</c:v>
                </c:pt>
                <c:pt idx="172">
                  <c:v>42856</c:v>
                </c:pt>
                <c:pt idx="173">
                  <c:v>42887</c:v>
                </c:pt>
                <c:pt idx="174">
                  <c:v>42917</c:v>
                </c:pt>
                <c:pt idx="175">
                  <c:v>42948</c:v>
                </c:pt>
                <c:pt idx="176">
                  <c:v>42979</c:v>
                </c:pt>
                <c:pt idx="177">
                  <c:v>43009</c:v>
                </c:pt>
                <c:pt idx="178">
                  <c:v>43040</c:v>
                </c:pt>
                <c:pt idx="179">
                  <c:v>43070</c:v>
                </c:pt>
                <c:pt idx="180">
                  <c:v>43101</c:v>
                </c:pt>
                <c:pt idx="181">
                  <c:v>43132</c:v>
                </c:pt>
                <c:pt idx="182">
                  <c:v>43160</c:v>
                </c:pt>
                <c:pt idx="183">
                  <c:v>43191</c:v>
                </c:pt>
                <c:pt idx="184">
                  <c:v>43221</c:v>
                </c:pt>
                <c:pt idx="185">
                  <c:v>43252</c:v>
                </c:pt>
                <c:pt idx="186">
                  <c:v>43282</c:v>
                </c:pt>
                <c:pt idx="187">
                  <c:v>43313</c:v>
                </c:pt>
                <c:pt idx="188">
                  <c:v>43344</c:v>
                </c:pt>
                <c:pt idx="189">
                  <c:v>43374</c:v>
                </c:pt>
                <c:pt idx="190">
                  <c:v>43405</c:v>
                </c:pt>
                <c:pt idx="191">
                  <c:v>43435</c:v>
                </c:pt>
                <c:pt idx="192">
                  <c:v>43466</c:v>
                </c:pt>
                <c:pt idx="193">
                  <c:v>43497</c:v>
                </c:pt>
                <c:pt idx="194">
                  <c:v>43525</c:v>
                </c:pt>
                <c:pt idx="195">
                  <c:v>43556</c:v>
                </c:pt>
                <c:pt idx="196">
                  <c:v>43586</c:v>
                </c:pt>
                <c:pt idx="197">
                  <c:v>43617</c:v>
                </c:pt>
                <c:pt idx="198">
                  <c:v>43647</c:v>
                </c:pt>
                <c:pt idx="199">
                  <c:v>43678</c:v>
                </c:pt>
                <c:pt idx="200">
                  <c:v>43709</c:v>
                </c:pt>
                <c:pt idx="201">
                  <c:v>43739</c:v>
                </c:pt>
                <c:pt idx="202">
                  <c:v>43770</c:v>
                </c:pt>
                <c:pt idx="203">
                  <c:v>43800</c:v>
                </c:pt>
                <c:pt idx="204">
                  <c:v>43831</c:v>
                </c:pt>
                <c:pt idx="205">
                  <c:v>43862</c:v>
                </c:pt>
                <c:pt idx="206">
                  <c:v>43891</c:v>
                </c:pt>
                <c:pt idx="207">
                  <c:v>43922</c:v>
                </c:pt>
                <c:pt idx="208">
                  <c:v>43952</c:v>
                </c:pt>
                <c:pt idx="209">
                  <c:v>43983</c:v>
                </c:pt>
                <c:pt idx="210">
                  <c:v>44013</c:v>
                </c:pt>
                <c:pt idx="211">
                  <c:v>44044</c:v>
                </c:pt>
                <c:pt idx="212">
                  <c:v>44075</c:v>
                </c:pt>
                <c:pt idx="213">
                  <c:v>44105</c:v>
                </c:pt>
                <c:pt idx="214">
                  <c:v>44136</c:v>
                </c:pt>
                <c:pt idx="215">
                  <c:v>44166</c:v>
                </c:pt>
                <c:pt idx="216">
                  <c:v>44197</c:v>
                </c:pt>
              </c:numCache>
            </c:numRef>
          </c:cat>
          <c:val>
            <c:numRef>
              <c:f>'Step-by-Step'!$B$7:$B$223</c:f>
              <c:numCache>
                <c:formatCode>0.0</c:formatCode>
                <c:ptCount val="217"/>
                <c:pt idx="0">
                  <c:v>96.15</c:v>
                </c:pt>
                <c:pt idx="1">
                  <c:v>98.67</c:v>
                </c:pt>
                <c:pt idx="2">
                  <c:v>103.41</c:v>
                </c:pt>
                <c:pt idx="3">
                  <c:v>102.19</c:v>
                </c:pt>
                <c:pt idx="4">
                  <c:v>100.3</c:v>
                </c:pt>
                <c:pt idx="5">
                  <c:v>98.58</c:v>
                </c:pt>
                <c:pt idx="6">
                  <c:v>103.05</c:v>
                </c:pt>
                <c:pt idx="7">
                  <c:v>101.47</c:v>
                </c:pt>
                <c:pt idx="8">
                  <c:v>102.87</c:v>
                </c:pt>
                <c:pt idx="9">
                  <c:v>105.06</c:v>
                </c:pt>
                <c:pt idx="10">
                  <c:v>101.95</c:v>
                </c:pt>
                <c:pt idx="11">
                  <c:v>99.74</c:v>
                </c:pt>
                <c:pt idx="12">
                  <c:v>98.59</c:v>
                </c:pt>
                <c:pt idx="13">
                  <c:v>99.45</c:v>
                </c:pt>
                <c:pt idx="14">
                  <c:v>111.98</c:v>
                </c:pt>
                <c:pt idx="15">
                  <c:v>107.36</c:v>
                </c:pt>
                <c:pt idx="16">
                  <c:v>106.03</c:v>
                </c:pt>
                <c:pt idx="17">
                  <c:v>107</c:v>
                </c:pt>
                <c:pt idx="18">
                  <c:v>111.47</c:v>
                </c:pt>
                <c:pt idx="19">
                  <c:v>110.65</c:v>
                </c:pt>
                <c:pt idx="20">
                  <c:v>109.21</c:v>
                </c:pt>
                <c:pt idx="21">
                  <c:v>108.89</c:v>
                </c:pt>
                <c:pt idx="22">
                  <c:v>109.59</c:v>
                </c:pt>
                <c:pt idx="23">
                  <c:v>107.56</c:v>
                </c:pt>
                <c:pt idx="24">
                  <c:v>103.52</c:v>
                </c:pt>
                <c:pt idx="25">
                  <c:v>104</c:v>
                </c:pt>
                <c:pt idx="26">
                  <c:v>115.42</c:v>
                </c:pt>
                <c:pt idx="27">
                  <c:v>112.35</c:v>
                </c:pt>
                <c:pt idx="28">
                  <c:v>110.86</c:v>
                </c:pt>
                <c:pt idx="29">
                  <c:v>111.5</c:v>
                </c:pt>
                <c:pt idx="30">
                  <c:v>113.15</c:v>
                </c:pt>
                <c:pt idx="31">
                  <c:v>115.15</c:v>
                </c:pt>
                <c:pt idx="32">
                  <c:v>110.95</c:v>
                </c:pt>
                <c:pt idx="33">
                  <c:v>111.33</c:v>
                </c:pt>
                <c:pt idx="34">
                  <c:v>111.73</c:v>
                </c:pt>
                <c:pt idx="35">
                  <c:v>111.25</c:v>
                </c:pt>
                <c:pt idx="36">
                  <c:v>108.55</c:v>
                </c:pt>
                <c:pt idx="37">
                  <c:v>107.8</c:v>
                </c:pt>
                <c:pt idx="38">
                  <c:v>119.09</c:v>
                </c:pt>
                <c:pt idx="39">
                  <c:v>112.61</c:v>
                </c:pt>
                <c:pt idx="40">
                  <c:v>117.19</c:v>
                </c:pt>
                <c:pt idx="41">
                  <c:v>114.4</c:v>
                </c:pt>
                <c:pt idx="42">
                  <c:v>119.41</c:v>
                </c:pt>
                <c:pt idx="43">
                  <c:v>121.06</c:v>
                </c:pt>
                <c:pt idx="44">
                  <c:v>116.21</c:v>
                </c:pt>
                <c:pt idx="45">
                  <c:v>119.33</c:v>
                </c:pt>
                <c:pt idx="46">
                  <c:v>118.67</c:v>
                </c:pt>
                <c:pt idx="47">
                  <c:v>116.3</c:v>
                </c:pt>
                <c:pt idx="48">
                  <c:v>114.79</c:v>
                </c:pt>
                <c:pt idx="49">
                  <c:v>113.33</c:v>
                </c:pt>
                <c:pt idx="50">
                  <c:v>125.11</c:v>
                </c:pt>
                <c:pt idx="51">
                  <c:v>120.29</c:v>
                </c:pt>
                <c:pt idx="52">
                  <c:v>123.9</c:v>
                </c:pt>
                <c:pt idx="53">
                  <c:v>122.38</c:v>
                </c:pt>
                <c:pt idx="54">
                  <c:v>127.85</c:v>
                </c:pt>
                <c:pt idx="55">
                  <c:v>129.05000000000001</c:v>
                </c:pt>
                <c:pt idx="56">
                  <c:v>123.24</c:v>
                </c:pt>
                <c:pt idx="57">
                  <c:v>129.16999999999999</c:v>
                </c:pt>
                <c:pt idx="58">
                  <c:v>125.88</c:v>
                </c:pt>
                <c:pt idx="59">
                  <c:v>122.43</c:v>
                </c:pt>
                <c:pt idx="60">
                  <c:v>121.86</c:v>
                </c:pt>
                <c:pt idx="61">
                  <c:v>121.91</c:v>
                </c:pt>
                <c:pt idx="62">
                  <c:v>128.99</c:v>
                </c:pt>
                <c:pt idx="63">
                  <c:v>129.47999999999999</c:v>
                </c:pt>
                <c:pt idx="64">
                  <c:v>128.91999999999999</c:v>
                </c:pt>
                <c:pt idx="65">
                  <c:v>130.59</c:v>
                </c:pt>
                <c:pt idx="66">
                  <c:v>136.53</c:v>
                </c:pt>
                <c:pt idx="67">
                  <c:v>133.87</c:v>
                </c:pt>
                <c:pt idx="68">
                  <c:v>132.6</c:v>
                </c:pt>
                <c:pt idx="69">
                  <c:v>132.80000000000001</c:v>
                </c:pt>
                <c:pt idx="70">
                  <c:v>124.58</c:v>
                </c:pt>
                <c:pt idx="71">
                  <c:v>118.9</c:v>
                </c:pt>
                <c:pt idx="72">
                  <c:v>115.2</c:v>
                </c:pt>
                <c:pt idx="73">
                  <c:v>115.26</c:v>
                </c:pt>
                <c:pt idx="74">
                  <c:v>127.81</c:v>
                </c:pt>
                <c:pt idx="75">
                  <c:v>123.09</c:v>
                </c:pt>
                <c:pt idx="76">
                  <c:v>124.41</c:v>
                </c:pt>
                <c:pt idx="77">
                  <c:v>125.61</c:v>
                </c:pt>
                <c:pt idx="78">
                  <c:v>131.44</c:v>
                </c:pt>
                <c:pt idx="79">
                  <c:v>130.69999999999999</c:v>
                </c:pt>
                <c:pt idx="80">
                  <c:v>129.81</c:v>
                </c:pt>
                <c:pt idx="81">
                  <c:v>132.47999999999999</c:v>
                </c:pt>
                <c:pt idx="82">
                  <c:v>129.62</c:v>
                </c:pt>
                <c:pt idx="83">
                  <c:v>129.22999999999999</c:v>
                </c:pt>
                <c:pt idx="84">
                  <c:v>125.81</c:v>
                </c:pt>
                <c:pt idx="85">
                  <c:v>127.61</c:v>
                </c:pt>
                <c:pt idx="86">
                  <c:v>143.44</c:v>
                </c:pt>
                <c:pt idx="87">
                  <c:v>136.87</c:v>
                </c:pt>
                <c:pt idx="88">
                  <c:v>136.52000000000001</c:v>
                </c:pt>
                <c:pt idx="89">
                  <c:v>136.09</c:v>
                </c:pt>
                <c:pt idx="90">
                  <c:v>141.63999999999999</c:v>
                </c:pt>
                <c:pt idx="91">
                  <c:v>141.55000000000001</c:v>
                </c:pt>
                <c:pt idx="92">
                  <c:v>139.46</c:v>
                </c:pt>
                <c:pt idx="93">
                  <c:v>139.33000000000001</c:v>
                </c:pt>
                <c:pt idx="94">
                  <c:v>139.68</c:v>
                </c:pt>
                <c:pt idx="95">
                  <c:v>136.69</c:v>
                </c:pt>
                <c:pt idx="96">
                  <c:v>132.66</c:v>
                </c:pt>
                <c:pt idx="97">
                  <c:v>136.18</c:v>
                </c:pt>
                <c:pt idx="98">
                  <c:v>144.93</c:v>
                </c:pt>
                <c:pt idx="99">
                  <c:v>139.88999999999999</c:v>
                </c:pt>
                <c:pt idx="100">
                  <c:v>143.22999999999999</c:v>
                </c:pt>
                <c:pt idx="101">
                  <c:v>141.75</c:v>
                </c:pt>
                <c:pt idx="102">
                  <c:v>145.19</c:v>
                </c:pt>
                <c:pt idx="103">
                  <c:v>147.51</c:v>
                </c:pt>
                <c:pt idx="104">
                  <c:v>142.30000000000001</c:v>
                </c:pt>
                <c:pt idx="105">
                  <c:v>142.02000000000001</c:v>
                </c:pt>
                <c:pt idx="106">
                  <c:v>141.87</c:v>
                </c:pt>
                <c:pt idx="107">
                  <c:v>139.22999999999999</c:v>
                </c:pt>
                <c:pt idx="108">
                  <c:v>133.34</c:v>
                </c:pt>
                <c:pt idx="109">
                  <c:v>135.35</c:v>
                </c:pt>
                <c:pt idx="110">
                  <c:v>146.35</c:v>
                </c:pt>
                <c:pt idx="111">
                  <c:v>139.85</c:v>
                </c:pt>
                <c:pt idx="112">
                  <c:v>144.56</c:v>
                </c:pt>
                <c:pt idx="113">
                  <c:v>142.28</c:v>
                </c:pt>
                <c:pt idx="114">
                  <c:v>147.46</c:v>
                </c:pt>
                <c:pt idx="115">
                  <c:v>149.91</c:v>
                </c:pt>
                <c:pt idx="116">
                  <c:v>141.6</c:v>
                </c:pt>
                <c:pt idx="117">
                  <c:v>147.71</c:v>
                </c:pt>
                <c:pt idx="118">
                  <c:v>144.15</c:v>
                </c:pt>
                <c:pt idx="119">
                  <c:v>139.52000000000001</c:v>
                </c:pt>
                <c:pt idx="120">
                  <c:v>139.32</c:v>
                </c:pt>
                <c:pt idx="121">
                  <c:v>136.13999999999999</c:v>
                </c:pt>
                <c:pt idx="122">
                  <c:v>148.01</c:v>
                </c:pt>
                <c:pt idx="123">
                  <c:v>149.79</c:v>
                </c:pt>
                <c:pt idx="124">
                  <c:v>147.03</c:v>
                </c:pt>
                <c:pt idx="125">
                  <c:v>144.87</c:v>
                </c:pt>
                <c:pt idx="126">
                  <c:v>152.13</c:v>
                </c:pt>
                <c:pt idx="127">
                  <c:v>151.81</c:v>
                </c:pt>
                <c:pt idx="128">
                  <c:v>147.27000000000001</c:v>
                </c:pt>
                <c:pt idx="129">
                  <c:v>151.9</c:v>
                </c:pt>
                <c:pt idx="130">
                  <c:v>147.79</c:v>
                </c:pt>
                <c:pt idx="131">
                  <c:v>145.77000000000001</c:v>
                </c:pt>
                <c:pt idx="132">
                  <c:v>142.72</c:v>
                </c:pt>
                <c:pt idx="133">
                  <c:v>143.53</c:v>
                </c:pt>
                <c:pt idx="134">
                  <c:v>149.03</c:v>
                </c:pt>
                <c:pt idx="135">
                  <c:v>147.69</c:v>
                </c:pt>
                <c:pt idx="136">
                  <c:v>147.13999999999999</c:v>
                </c:pt>
                <c:pt idx="137">
                  <c:v>140.88</c:v>
                </c:pt>
                <c:pt idx="138">
                  <c:v>149.85</c:v>
                </c:pt>
                <c:pt idx="139">
                  <c:v>148.27000000000001</c:v>
                </c:pt>
                <c:pt idx="140">
                  <c:v>148.12</c:v>
                </c:pt>
                <c:pt idx="141">
                  <c:v>149.69999999999999</c:v>
                </c:pt>
                <c:pt idx="142">
                  <c:v>144.91999999999999</c:v>
                </c:pt>
                <c:pt idx="143">
                  <c:v>145.47999999999999</c:v>
                </c:pt>
                <c:pt idx="144">
                  <c:v>138.97999999999999</c:v>
                </c:pt>
                <c:pt idx="145">
                  <c:v>136.69</c:v>
                </c:pt>
                <c:pt idx="146">
                  <c:v>149.75</c:v>
                </c:pt>
                <c:pt idx="147">
                  <c:v>142.47999999999999</c:v>
                </c:pt>
                <c:pt idx="148">
                  <c:v>139.94999999999999</c:v>
                </c:pt>
                <c:pt idx="149">
                  <c:v>138.75</c:v>
                </c:pt>
                <c:pt idx="150">
                  <c:v>143.32</c:v>
                </c:pt>
                <c:pt idx="151">
                  <c:v>140.93</c:v>
                </c:pt>
                <c:pt idx="152">
                  <c:v>138.30000000000001</c:v>
                </c:pt>
                <c:pt idx="153">
                  <c:v>140.22</c:v>
                </c:pt>
                <c:pt idx="154">
                  <c:v>136.06</c:v>
                </c:pt>
                <c:pt idx="155">
                  <c:v>136.47999999999999</c:v>
                </c:pt>
                <c:pt idx="156">
                  <c:v>128.47999999999999</c:v>
                </c:pt>
                <c:pt idx="157">
                  <c:v>130.91999999999999</c:v>
                </c:pt>
                <c:pt idx="158">
                  <c:v>140.54</c:v>
                </c:pt>
                <c:pt idx="159">
                  <c:v>136.08000000000001</c:v>
                </c:pt>
                <c:pt idx="160">
                  <c:v>133.72999999999999</c:v>
                </c:pt>
                <c:pt idx="161">
                  <c:v>135.46</c:v>
                </c:pt>
                <c:pt idx="162">
                  <c:v>136.72999999999999</c:v>
                </c:pt>
                <c:pt idx="163">
                  <c:v>138.22</c:v>
                </c:pt>
                <c:pt idx="164">
                  <c:v>134.09</c:v>
                </c:pt>
                <c:pt idx="165">
                  <c:v>132.83000000000001</c:v>
                </c:pt>
                <c:pt idx="166">
                  <c:v>132.55000000000001</c:v>
                </c:pt>
                <c:pt idx="167">
                  <c:v>133.56</c:v>
                </c:pt>
                <c:pt idx="168">
                  <c:v>128.62</c:v>
                </c:pt>
                <c:pt idx="169">
                  <c:v>129.54</c:v>
                </c:pt>
                <c:pt idx="170">
                  <c:v>142.03</c:v>
                </c:pt>
                <c:pt idx="171">
                  <c:v>133.74</c:v>
                </c:pt>
                <c:pt idx="172">
                  <c:v>135.97999999999999</c:v>
                </c:pt>
                <c:pt idx="173">
                  <c:v>135.03</c:v>
                </c:pt>
                <c:pt idx="174">
                  <c:v>138.35</c:v>
                </c:pt>
                <c:pt idx="175">
                  <c:v>140.12</c:v>
                </c:pt>
                <c:pt idx="176">
                  <c:v>134.99</c:v>
                </c:pt>
                <c:pt idx="177">
                  <c:v>135.94</c:v>
                </c:pt>
                <c:pt idx="178">
                  <c:v>135.11000000000001</c:v>
                </c:pt>
                <c:pt idx="179">
                  <c:v>135.88</c:v>
                </c:pt>
                <c:pt idx="180">
                  <c:v>132.03</c:v>
                </c:pt>
                <c:pt idx="181">
                  <c:v>129.85</c:v>
                </c:pt>
                <c:pt idx="182">
                  <c:v>141.63</c:v>
                </c:pt>
                <c:pt idx="183">
                  <c:v>139.02000000000001</c:v>
                </c:pt>
                <c:pt idx="184">
                  <c:v>132.29</c:v>
                </c:pt>
                <c:pt idx="185">
                  <c:v>137.06</c:v>
                </c:pt>
                <c:pt idx="186">
                  <c:v>140.97</c:v>
                </c:pt>
                <c:pt idx="187">
                  <c:v>143.33000000000001</c:v>
                </c:pt>
                <c:pt idx="188">
                  <c:v>135.87</c:v>
                </c:pt>
                <c:pt idx="189">
                  <c:v>139.75</c:v>
                </c:pt>
                <c:pt idx="190">
                  <c:v>137.62</c:v>
                </c:pt>
                <c:pt idx="191">
                  <c:v>136.33000000000001</c:v>
                </c:pt>
                <c:pt idx="192">
                  <c:v>133.43</c:v>
                </c:pt>
                <c:pt idx="193">
                  <c:v>133.75</c:v>
                </c:pt>
                <c:pt idx="194">
                  <c:v>138.99</c:v>
                </c:pt>
                <c:pt idx="195">
                  <c:v>139.46</c:v>
                </c:pt>
                <c:pt idx="196">
                  <c:v>139.26</c:v>
                </c:pt>
                <c:pt idx="197">
                  <c:v>135.01</c:v>
                </c:pt>
                <c:pt idx="198">
                  <c:v>142.91999999999999</c:v>
                </c:pt>
                <c:pt idx="199">
                  <c:v>141.77000000000001</c:v>
                </c:pt>
                <c:pt idx="200">
                  <c:v>138.30000000000001</c:v>
                </c:pt>
                <c:pt idx="201">
                  <c:v>142.76</c:v>
                </c:pt>
                <c:pt idx="202">
                  <c:v>138.84</c:v>
                </c:pt>
                <c:pt idx="203">
                  <c:v>137.54</c:v>
                </c:pt>
                <c:pt idx="204">
                  <c:v>133.6</c:v>
                </c:pt>
                <c:pt idx="205">
                  <c:v>134.63</c:v>
                </c:pt>
                <c:pt idx="206">
                  <c:v>136.72</c:v>
                </c:pt>
                <c:pt idx="207">
                  <c:v>119.13</c:v>
                </c:pt>
                <c:pt idx="208">
                  <c:v>119.79</c:v>
                </c:pt>
                <c:pt idx="209">
                  <c:v>126.18</c:v>
                </c:pt>
                <c:pt idx="210">
                  <c:v>135.82</c:v>
                </c:pt>
                <c:pt idx="211">
                  <c:v>135.5</c:v>
                </c:pt>
                <c:pt idx="212">
                  <c:v>137.13999999999999</c:v>
                </c:pt>
                <c:pt idx="213">
                  <c:v>139.62</c:v>
                </c:pt>
                <c:pt idx="214">
                  <c:v>138.1</c:v>
                </c:pt>
                <c:pt idx="215">
                  <c:v>139.53</c:v>
                </c:pt>
                <c:pt idx="216">
                  <c:v>132.1</c:v>
                </c:pt>
              </c:numCache>
            </c:numRef>
          </c:val>
          <c:smooth val="0"/>
          <c:extLst>
            <c:ext xmlns:c16="http://schemas.microsoft.com/office/drawing/2014/chart" uri="{C3380CC4-5D6E-409C-BE32-E72D297353CC}">
              <c16:uniqueId val="{00000000-6FC8-4449-8617-3B40702E3F02}"/>
            </c:ext>
          </c:extLst>
        </c:ser>
        <c:ser>
          <c:idx val="1"/>
          <c:order val="1"/>
          <c:tx>
            <c:strRef>
              <c:f>'Step-by-Step'!$C$6</c:f>
              <c:strCache>
                <c:ptCount val="1"/>
                <c:pt idx="0">
                  <c:v>SA Depec</c:v>
                </c:pt>
              </c:strCache>
            </c:strRef>
          </c:tx>
          <c:spPr>
            <a:ln w="28575" cap="rnd">
              <a:solidFill>
                <a:schemeClr val="accent2"/>
              </a:solidFill>
              <a:round/>
            </a:ln>
            <a:effectLst/>
          </c:spPr>
          <c:marker>
            <c:symbol val="none"/>
          </c:marker>
          <c:cat>
            <c:numRef>
              <c:f>'Step-by-Step'!$A$7:$A$223</c:f>
              <c:numCache>
                <c:formatCode>mmm\-yy</c:formatCode>
                <c:ptCount val="217"/>
                <c:pt idx="0">
                  <c:v>37622</c:v>
                </c:pt>
                <c:pt idx="1">
                  <c:v>37653</c:v>
                </c:pt>
                <c:pt idx="2">
                  <c:v>37681</c:v>
                </c:pt>
                <c:pt idx="3">
                  <c:v>37712</c:v>
                </c:pt>
                <c:pt idx="4">
                  <c:v>37742</c:v>
                </c:pt>
                <c:pt idx="5">
                  <c:v>37773</c:v>
                </c:pt>
                <c:pt idx="6">
                  <c:v>37803</c:v>
                </c:pt>
                <c:pt idx="7">
                  <c:v>37834</c:v>
                </c:pt>
                <c:pt idx="8">
                  <c:v>37865</c:v>
                </c:pt>
                <c:pt idx="9">
                  <c:v>37895</c:v>
                </c:pt>
                <c:pt idx="10">
                  <c:v>37926</c:v>
                </c:pt>
                <c:pt idx="11">
                  <c:v>37956</c:v>
                </c:pt>
                <c:pt idx="12">
                  <c:v>37987</c:v>
                </c:pt>
                <c:pt idx="13">
                  <c:v>38018</c:v>
                </c:pt>
                <c:pt idx="14">
                  <c:v>38047</c:v>
                </c:pt>
                <c:pt idx="15">
                  <c:v>38078</c:v>
                </c:pt>
                <c:pt idx="16">
                  <c:v>38108</c:v>
                </c:pt>
                <c:pt idx="17">
                  <c:v>38139</c:v>
                </c:pt>
                <c:pt idx="18">
                  <c:v>38169</c:v>
                </c:pt>
                <c:pt idx="19">
                  <c:v>38200</c:v>
                </c:pt>
                <c:pt idx="20">
                  <c:v>38231</c:v>
                </c:pt>
                <c:pt idx="21">
                  <c:v>38261</c:v>
                </c:pt>
                <c:pt idx="22">
                  <c:v>38292</c:v>
                </c:pt>
                <c:pt idx="23">
                  <c:v>38322</c:v>
                </c:pt>
                <c:pt idx="24">
                  <c:v>38353</c:v>
                </c:pt>
                <c:pt idx="25">
                  <c:v>38384</c:v>
                </c:pt>
                <c:pt idx="26">
                  <c:v>38412</c:v>
                </c:pt>
                <c:pt idx="27">
                  <c:v>38443</c:v>
                </c:pt>
                <c:pt idx="28">
                  <c:v>38473</c:v>
                </c:pt>
                <c:pt idx="29">
                  <c:v>38504</c:v>
                </c:pt>
                <c:pt idx="30">
                  <c:v>38534</c:v>
                </c:pt>
                <c:pt idx="31">
                  <c:v>38565</c:v>
                </c:pt>
                <c:pt idx="32">
                  <c:v>38596</c:v>
                </c:pt>
                <c:pt idx="33">
                  <c:v>38626</c:v>
                </c:pt>
                <c:pt idx="34">
                  <c:v>38657</c:v>
                </c:pt>
                <c:pt idx="35">
                  <c:v>38687</c:v>
                </c:pt>
                <c:pt idx="36">
                  <c:v>38718</c:v>
                </c:pt>
                <c:pt idx="37">
                  <c:v>38749</c:v>
                </c:pt>
                <c:pt idx="38">
                  <c:v>38777</c:v>
                </c:pt>
                <c:pt idx="39">
                  <c:v>38808</c:v>
                </c:pt>
                <c:pt idx="40">
                  <c:v>38838</c:v>
                </c:pt>
                <c:pt idx="41">
                  <c:v>38869</c:v>
                </c:pt>
                <c:pt idx="42">
                  <c:v>38899</c:v>
                </c:pt>
                <c:pt idx="43">
                  <c:v>38930</c:v>
                </c:pt>
                <c:pt idx="44">
                  <c:v>38961</c:v>
                </c:pt>
                <c:pt idx="45">
                  <c:v>38991</c:v>
                </c:pt>
                <c:pt idx="46">
                  <c:v>39022</c:v>
                </c:pt>
                <c:pt idx="47">
                  <c:v>39052</c:v>
                </c:pt>
                <c:pt idx="48">
                  <c:v>39083</c:v>
                </c:pt>
                <c:pt idx="49">
                  <c:v>39114</c:v>
                </c:pt>
                <c:pt idx="50">
                  <c:v>39142</c:v>
                </c:pt>
                <c:pt idx="51">
                  <c:v>39173</c:v>
                </c:pt>
                <c:pt idx="52">
                  <c:v>39203</c:v>
                </c:pt>
                <c:pt idx="53">
                  <c:v>39234</c:v>
                </c:pt>
                <c:pt idx="54">
                  <c:v>39264</c:v>
                </c:pt>
                <c:pt idx="55">
                  <c:v>39295</c:v>
                </c:pt>
                <c:pt idx="56">
                  <c:v>39326</c:v>
                </c:pt>
                <c:pt idx="57">
                  <c:v>39356</c:v>
                </c:pt>
                <c:pt idx="58">
                  <c:v>39387</c:v>
                </c:pt>
                <c:pt idx="59">
                  <c:v>39417</c:v>
                </c:pt>
                <c:pt idx="60">
                  <c:v>39448</c:v>
                </c:pt>
                <c:pt idx="61">
                  <c:v>39479</c:v>
                </c:pt>
                <c:pt idx="62">
                  <c:v>39508</c:v>
                </c:pt>
                <c:pt idx="63">
                  <c:v>39539</c:v>
                </c:pt>
                <c:pt idx="64">
                  <c:v>39569</c:v>
                </c:pt>
                <c:pt idx="65">
                  <c:v>39600</c:v>
                </c:pt>
                <c:pt idx="66">
                  <c:v>39630</c:v>
                </c:pt>
                <c:pt idx="67">
                  <c:v>39661</c:v>
                </c:pt>
                <c:pt idx="68">
                  <c:v>39692</c:v>
                </c:pt>
                <c:pt idx="69">
                  <c:v>39722</c:v>
                </c:pt>
                <c:pt idx="70">
                  <c:v>39753</c:v>
                </c:pt>
                <c:pt idx="71">
                  <c:v>39783</c:v>
                </c:pt>
                <c:pt idx="72">
                  <c:v>39814</c:v>
                </c:pt>
                <c:pt idx="73">
                  <c:v>39845</c:v>
                </c:pt>
                <c:pt idx="74">
                  <c:v>39873</c:v>
                </c:pt>
                <c:pt idx="75">
                  <c:v>39904</c:v>
                </c:pt>
                <c:pt idx="76">
                  <c:v>39934</c:v>
                </c:pt>
                <c:pt idx="77">
                  <c:v>39965</c:v>
                </c:pt>
                <c:pt idx="78">
                  <c:v>39995</c:v>
                </c:pt>
                <c:pt idx="79">
                  <c:v>40026</c:v>
                </c:pt>
                <c:pt idx="80">
                  <c:v>40057</c:v>
                </c:pt>
                <c:pt idx="81">
                  <c:v>40087</c:v>
                </c:pt>
                <c:pt idx="82">
                  <c:v>40118</c:v>
                </c:pt>
                <c:pt idx="83">
                  <c:v>40148</c:v>
                </c:pt>
                <c:pt idx="84">
                  <c:v>40179</c:v>
                </c:pt>
                <c:pt idx="85">
                  <c:v>40210</c:v>
                </c:pt>
                <c:pt idx="86">
                  <c:v>40238</c:v>
                </c:pt>
                <c:pt idx="87">
                  <c:v>40269</c:v>
                </c:pt>
                <c:pt idx="88">
                  <c:v>40299</c:v>
                </c:pt>
                <c:pt idx="89">
                  <c:v>40330</c:v>
                </c:pt>
                <c:pt idx="90">
                  <c:v>40360</c:v>
                </c:pt>
                <c:pt idx="91">
                  <c:v>40391</c:v>
                </c:pt>
                <c:pt idx="92">
                  <c:v>40422</c:v>
                </c:pt>
                <c:pt idx="93">
                  <c:v>40452</c:v>
                </c:pt>
                <c:pt idx="94">
                  <c:v>40483</c:v>
                </c:pt>
                <c:pt idx="95">
                  <c:v>40513</c:v>
                </c:pt>
                <c:pt idx="96">
                  <c:v>40544</c:v>
                </c:pt>
                <c:pt idx="97">
                  <c:v>40575</c:v>
                </c:pt>
                <c:pt idx="98">
                  <c:v>40603</c:v>
                </c:pt>
                <c:pt idx="99">
                  <c:v>40634</c:v>
                </c:pt>
                <c:pt idx="100">
                  <c:v>40664</c:v>
                </c:pt>
                <c:pt idx="101">
                  <c:v>40695</c:v>
                </c:pt>
                <c:pt idx="102">
                  <c:v>40725</c:v>
                </c:pt>
                <c:pt idx="103">
                  <c:v>40756</c:v>
                </c:pt>
                <c:pt idx="104">
                  <c:v>40787</c:v>
                </c:pt>
                <c:pt idx="105">
                  <c:v>40817</c:v>
                </c:pt>
                <c:pt idx="106">
                  <c:v>40848</c:v>
                </c:pt>
                <c:pt idx="107">
                  <c:v>40878</c:v>
                </c:pt>
                <c:pt idx="108">
                  <c:v>40909</c:v>
                </c:pt>
                <c:pt idx="109">
                  <c:v>40940</c:v>
                </c:pt>
                <c:pt idx="110">
                  <c:v>40969</c:v>
                </c:pt>
                <c:pt idx="111">
                  <c:v>41000</c:v>
                </c:pt>
                <c:pt idx="112">
                  <c:v>41030</c:v>
                </c:pt>
                <c:pt idx="113">
                  <c:v>41061</c:v>
                </c:pt>
                <c:pt idx="114">
                  <c:v>41091</c:v>
                </c:pt>
                <c:pt idx="115">
                  <c:v>41122</c:v>
                </c:pt>
                <c:pt idx="116">
                  <c:v>41153</c:v>
                </c:pt>
                <c:pt idx="117">
                  <c:v>41183</c:v>
                </c:pt>
                <c:pt idx="118">
                  <c:v>41214</c:v>
                </c:pt>
                <c:pt idx="119">
                  <c:v>41244</c:v>
                </c:pt>
                <c:pt idx="120">
                  <c:v>41275</c:v>
                </c:pt>
                <c:pt idx="121">
                  <c:v>41306</c:v>
                </c:pt>
                <c:pt idx="122">
                  <c:v>41334</c:v>
                </c:pt>
                <c:pt idx="123">
                  <c:v>41365</c:v>
                </c:pt>
                <c:pt idx="124">
                  <c:v>41395</c:v>
                </c:pt>
                <c:pt idx="125">
                  <c:v>41426</c:v>
                </c:pt>
                <c:pt idx="126">
                  <c:v>41456</c:v>
                </c:pt>
                <c:pt idx="127">
                  <c:v>41487</c:v>
                </c:pt>
                <c:pt idx="128">
                  <c:v>41518</c:v>
                </c:pt>
                <c:pt idx="129">
                  <c:v>41548</c:v>
                </c:pt>
                <c:pt idx="130">
                  <c:v>41579</c:v>
                </c:pt>
                <c:pt idx="131">
                  <c:v>41609</c:v>
                </c:pt>
                <c:pt idx="132">
                  <c:v>41640</c:v>
                </c:pt>
                <c:pt idx="133">
                  <c:v>41671</c:v>
                </c:pt>
                <c:pt idx="134">
                  <c:v>41699</c:v>
                </c:pt>
                <c:pt idx="135">
                  <c:v>41730</c:v>
                </c:pt>
                <c:pt idx="136">
                  <c:v>41760</c:v>
                </c:pt>
                <c:pt idx="137">
                  <c:v>41791</c:v>
                </c:pt>
                <c:pt idx="138">
                  <c:v>41821</c:v>
                </c:pt>
                <c:pt idx="139">
                  <c:v>41852</c:v>
                </c:pt>
                <c:pt idx="140">
                  <c:v>41883</c:v>
                </c:pt>
                <c:pt idx="141">
                  <c:v>41913</c:v>
                </c:pt>
                <c:pt idx="142">
                  <c:v>41944</c:v>
                </c:pt>
                <c:pt idx="143">
                  <c:v>41974</c:v>
                </c:pt>
                <c:pt idx="144">
                  <c:v>42005</c:v>
                </c:pt>
                <c:pt idx="145">
                  <c:v>42036</c:v>
                </c:pt>
                <c:pt idx="146">
                  <c:v>42064</c:v>
                </c:pt>
                <c:pt idx="147">
                  <c:v>42095</c:v>
                </c:pt>
                <c:pt idx="148">
                  <c:v>42125</c:v>
                </c:pt>
                <c:pt idx="149">
                  <c:v>42156</c:v>
                </c:pt>
                <c:pt idx="150">
                  <c:v>42186</c:v>
                </c:pt>
                <c:pt idx="151">
                  <c:v>42217</c:v>
                </c:pt>
                <c:pt idx="152">
                  <c:v>42248</c:v>
                </c:pt>
                <c:pt idx="153">
                  <c:v>42278</c:v>
                </c:pt>
                <c:pt idx="154">
                  <c:v>42309</c:v>
                </c:pt>
                <c:pt idx="155">
                  <c:v>42339</c:v>
                </c:pt>
                <c:pt idx="156">
                  <c:v>42370</c:v>
                </c:pt>
                <c:pt idx="157">
                  <c:v>42401</c:v>
                </c:pt>
                <c:pt idx="158">
                  <c:v>42430</c:v>
                </c:pt>
                <c:pt idx="159">
                  <c:v>42461</c:v>
                </c:pt>
                <c:pt idx="160">
                  <c:v>42491</c:v>
                </c:pt>
                <c:pt idx="161">
                  <c:v>42522</c:v>
                </c:pt>
                <c:pt idx="162">
                  <c:v>42552</c:v>
                </c:pt>
                <c:pt idx="163">
                  <c:v>42583</c:v>
                </c:pt>
                <c:pt idx="164">
                  <c:v>42614</c:v>
                </c:pt>
                <c:pt idx="165">
                  <c:v>42644</c:v>
                </c:pt>
                <c:pt idx="166">
                  <c:v>42675</c:v>
                </c:pt>
                <c:pt idx="167">
                  <c:v>42705</c:v>
                </c:pt>
                <c:pt idx="168">
                  <c:v>42736</c:v>
                </c:pt>
                <c:pt idx="169">
                  <c:v>42767</c:v>
                </c:pt>
                <c:pt idx="170">
                  <c:v>42795</c:v>
                </c:pt>
                <c:pt idx="171">
                  <c:v>42826</c:v>
                </c:pt>
                <c:pt idx="172">
                  <c:v>42856</c:v>
                </c:pt>
                <c:pt idx="173">
                  <c:v>42887</c:v>
                </c:pt>
                <c:pt idx="174">
                  <c:v>42917</c:v>
                </c:pt>
                <c:pt idx="175">
                  <c:v>42948</c:v>
                </c:pt>
                <c:pt idx="176">
                  <c:v>42979</c:v>
                </c:pt>
                <c:pt idx="177">
                  <c:v>43009</c:v>
                </c:pt>
                <c:pt idx="178">
                  <c:v>43040</c:v>
                </c:pt>
                <c:pt idx="179">
                  <c:v>43070</c:v>
                </c:pt>
                <c:pt idx="180">
                  <c:v>43101</c:v>
                </c:pt>
                <c:pt idx="181">
                  <c:v>43132</c:v>
                </c:pt>
                <c:pt idx="182">
                  <c:v>43160</c:v>
                </c:pt>
                <c:pt idx="183">
                  <c:v>43191</c:v>
                </c:pt>
                <c:pt idx="184">
                  <c:v>43221</c:v>
                </c:pt>
                <c:pt idx="185">
                  <c:v>43252</c:v>
                </c:pt>
                <c:pt idx="186">
                  <c:v>43282</c:v>
                </c:pt>
                <c:pt idx="187">
                  <c:v>43313</c:v>
                </c:pt>
                <c:pt idx="188">
                  <c:v>43344</c:v>
                </c:pt>
                <c:pt idx="189">
                  <c:v>43374</c:v>
                </c:pt>
                <c:pt idx="190">
                  <c:v>43405</c:v>
                </c:pt>
                <c:pt idx="191">
                  <c:v>43435</c:v>
                </c:pt>
                <c:pt idx="192">
                  <c:v>43466</c:v>
                </c:pt>
                <c:pt idx="193">
                  <c:v>43497</c:v>
                </c:pt>
                <c:pt idx="194">
                  <c:v>43525</c:v>
                </c:pt>
                <c:pt idx="195">
                  <c:v>43556</c:v>
                </c:pt>
                <c:pt idx="196">
                  <c:v>43586</c:v>
                </c:pt>
                <c:pt idx="197">
                  <c:v>43617</c:v>
                </c:pt>
                <c:pt idx="198">
                  <c:v>43647</c:v>
                </c:pt>
                <c:pt idx="199">
                  <c:v>43678</c:v>
                </c:pt>
                <c:pt idx="200">
                  <c:v>43709</c:v>
                </c:pt>
                <c:pt idx="201">
                  <c:v>43739</c:v>
                </c:pt>
                <c:pt idx="202">
                  <c:v>43770</c:v>
                </c:pt>
                <c:pt idx="203">
                  <c:v>43800</c:v>
                </c:pt>
                <c:pt idx="204">
                  <c:v>43831</c:v>
                </c:pt>
                <c:pt idx="205">
                  <c:v>43862</c:v>
                </c:pt>
                <c:pt idx="206">
                  <c:v>43891</c:v>
                </c:pt>
                <c:pt idx="207">
                  <c:v>43922</c:v>
                </c:pt>
                <c:pt idx="208">
                  <c:v>43952</c:v>
                </c:pt>
                <c:pt idx="209">
                  <c:v>43983</c:v>
                </c:pt>
                <c:pt idx="210">
                  <c:v>44013</c:v>
                </c:pt>
                <c:pt idx="211">
                  <c:v>44044</c:v>
                </c:pt>
                <c:pt idx="212">
                  <c:v>44075</c:v>
                </c:pt>
                <c:pt idx="213">
                  <c:v>44105</c:v>
                </c:pt>
                <c:pt idx="214">
                  <c:v>44136</c:v>
                </c:pt>
                <c:pt idx="215">
                  <c:v>44166</c:v>
                </c:pt>
                <c:pt idx="216">
                  <c:v>44197</c:v>
                </c:pt>
              </c:numCache>
            </c:numRef>
          </c:cat>
          <c:val>
            <c:numRef>
              <c:f>'Step-by-Step'!$C$7:$C$223</c:f>
              <c:numCache>
                <c:formatCode>0.0</c:formatCode>
                <c:ptCount val="217"/>
                <c:pt idx="0">
                  <c:v>100.5</c:v>
                </c:pt>
                <c:pt idx="1">
                  <c:v>102</c:v>
                </c:pt>
                <c:pt idx="2">
                  <c:v>101.77</c:v>
                </c:pt>
                <c:pt idx="3">
                  <c:v>100.94</c:v>
                </c:pt>
                <c:pt idx="4">
                  <c:v>99.8</c:v>
                </c:pt>
                <c:pt idx="5">
                  <c:v>100.39</c:v>
                </c:pt>
                <c:pt idx="6">
                  <c:v>99.12</c:v>
                </c:pt>
                <c:pt idx="7">
                  <c:v>99.72</c:v>
                </c:pt>
                <c:pt idx="8">
                  <c:v>101.81</c:v>
                </c:pt>
                <c:pt idx="9">
                  <c:v>101.88</c:v>
                </c:pt>
                <c:pt idx="10">
                  <c:v>101.97</c:v>
                </c:pt>
                <c:pt idx="11">
                  <c:v>101.59</c:v>
                </c:pt>
                <c:pt idx="12">
                  <c:v>103.61</c:v>
                </c:pt>
                <c:pt idx="13">
                  <c:v>104.48</c:v>
                </c:pt>
                <c:pt idx="14">
                  <c:v>105.81</c:v>
                </c:pt>
                <c:pt idx="15">
                  <c:v>106.45</c:v>
                </c:pt>
                <c:pt idx="16">
                  <c:v>106.34</c:v>
                </c:pt>
                <c:pt idx="17">
                  <c:v>107.38</c:v>
                </c:pt>
                <c:pt idx="18">
                  <c:v>107.85</c:v>
                </c:pt>
                <c:pt idx="19">
                  <c:v>108.21</c:v>
                </c:pt>
                <c:pt idx="20">
                  <c:v>109.41</c:v>
                </c:pt>
                <c:pt idx="21">
                  <c:v>108.67</c:v>
                </c:pt>
                <c:pt idx="22">
                  <c:v>109.62</c:v>
                </c:pt>
                <c:pt idx="23">
                  <c:v>108.75</c:v>
                </c:pt>
                <c:pt idx="24">
                  <c:v>109.65</c:v>
                </c:pt>
                <c:pt idx="25">
                  <c:v>110.13</c:v>
                </c:pt>
                <c:pt idx="26">
                  <c:v>110.29</c:v>
                </c:pt>
                <c:pt idx="27">
                  <c:v>110.96</c:v>
                </c:pt>
                <c:pt idx="28">
                  <c:v>110.99</c:v>
                </c:pt>
                <c:pt idx="29">
                  <c:v>110.75</c:v>
                </c:pt>
                <c:pt idx="30">
                  <c:v>110.64</c:v>
                </c:pt>
                <c:pt idx="31">
                  <c:v>111.27</c:v>
                </c:pt>
                <c:pt idx="32">
                  <c:v>110.92</c:v>
                </c:pt>
                <c:pt idx="33">
                  <c:v>111.06</c:v>
                </c:pt>
                <c:pt idx="34">
                  <c:v>111.8</c:v>
                </c:pt>
                <c:pt idx="35">
                  <c:v>112.34</c:v>
                </c:pt>
                <c:pt idx="36">
                  <c:v>113.47</c:v>
                </c:pt>
                <c:pt idx="37">
                  <c:v>113.6</c:v>
                </c:pt>
                <c:pt idx="38">
                  <c:v>113.43</c:v>
                </c:pt>
                <c:pt idx="39">
                  <c:v>114.21</c:v>
                </c:pt>
                <c:pt idx="40">
                  <c:v>115.69</c:v>
                </c:pt>
                <c:pt idx="41">
                  <c:v>114.81</c:v>
                </c:pt>
                <c:pt idx="42">
                  <c:v>116.95</c:v>
                </c:pt>
                <c:pt idx="43">
                  <c:v>116.6</c:v>
                </c:pt>
                <c:pt idx="44">
                  <c:v>116.8</c:v>
                </c:pt>
                <c:pt idx="45">
                  <c:v>118.07</c:v>
                </c:pt>
                <c:pt idx="46">
                  <c:v>118.87</c:v>
                </c:pt>
                <c:pt idx="47">
                  <c:v>119.87</c:v>
                </c:pt>
                <c:pt idx="48">
                  <c:v>119.71</c:v>
                </c:pt>
                <c:pt idx="49">
                  <c:v>120.16</c:v>
                </c:pt>
                <c:pt idx="50">
                  <c:v>119.34</c:v>
                </c:pt>
                <c:pt idx="51">
                  <c:v>121.14</c:v>
                </c:pt>
                <c:pt idx="52">
                  <c:v>122.39</c:v>
                </c:pt>
                <c:pt idx="53">
                  <c:v>123.47</c:v>
                </c:pt>
                <c:pt idx="54">
                  <c:v>124.29</c:v>
                </c:pt>
                <c:pt idx="55">
                  <c:v>124.25</c:v>
                </c:pt>
                <c:pt idx="56">
                  <c:v>125.29</c:v>
                </c:pt>
                <c:pt idx="57">
                  <c:v>126.29</c:v>
                </c:pt>
                <c:pt idx="58">
                  <c:v>126.22</c:v>
                </c:pt>
                <c:pt idx="59">
                  <c:v>126.9</c:v>
                </c:pt>
                <c:pt idx="60">
                  <c:v>127.22</c:v>
                </c:pt>
                <c:pt idx="61">
                  <c:v>126.84</c:v>
                </c:pt>
                <c:pt idx="62">
                  <c:v>126.35</c:v>
                </c:pt>
                <c:pt idx="63">
                  <c:v>127.73</c:v>
                </c:pt>
                <c:pt idx="64">
                  <c:v>129.41999999999999</c:v>
                </c:pt>
                <c:pt idx="65">
                  <c:v>131.19999999999999</c:v>
                </c:pt>
                <c:pt idx="66">
                  <c:v>130.96</c:v>
                </c:pt>
                <c:pt idx="67">
                  <c:v>130.94999999999999</c:v>
                </c:pt>
                <c:pt idx="68">
                  <c:v>130.94</c:v>
                </c:pt>
                <c:pt idx="69">
                  <c:v>128.13</c:v>
                </c:pt>
                <c:pt idx="70">
                  <c:v>125.06</c:v>
                </c:pt>
                <c:pt idx="71">
                  <c:v>120.95</c:v>
                </c:pt>
                <c:pt idx="72">
                  <c:v>120.85</c:v>
                </c:pt>
                <c:pt idx="73">
                  <c:v>122.19</c:v>
                </c:pt>
                <c:pt idx="74">
                  <c:v>122.96</c:v>
                </c:pt>
                <c:pt idx="75">
                  <c:v>123.53</c:v>
                </c:pt>
                <c:pt idx="76">
                  <c:v>124.88</c:v>
                </c:pt>
                <c:pt idx="77">
                  <c:v>125.96</c:v>
                </c:pt>
                <c:pt idx="78">
                  <c:v>126.25</c:v>
                </c:pt>
                <c:pt idx="79">
                  <c:v>128.06</c:v>
                </c:pt>
                <c:pt idx="80">
                  <c:v>129.07</c:v>
                </c:pt>
                <c:pt idx="81">
                  <c:v>129.77000000000001</c:v>
                </c:pt>
                <c:pt idx="82">
                  <c:v>130.19</c:v>
                </c:pt>
                <c:pt idx="83">
                  <c:v>131.34</c:v>
                </c:pt>
                <c:pt idx="84">
                  <c:v>133.47</c:v>
                </c:pt>
                <c:pt idx="85">
                  <c:v>135.16999999999999</c:v>
                </c:pt>
                <c:pt idx="86">
                  <c:v>136.57</c:v>
                </c:pt>
                <c:pt idx="87">
                  <c:v>137.09</c:v>
                </c:pt>
                <c:pt idx="88">
                  <c:v>136.47</c:v>
                </c:pt>
                <c:pt idx="89">
                  <c:v>136.18</c:v>
                </c:pt>
                <c:pt idx="90">
                  <c:v>136.94</c:v>
                </c:pt>
                <c:pt idx="91">
                  <c:v>137.71</c:v>
                </c:pt>
                <c:pt idx="92">
                  <c:v>139.24</c:v>
                </c:pt>
                <c:pt idx="93">
                  <c:v>138.61000000000001</c:v>
                </c:pt>
                <c:pt idx="94">
                  <c:v>140.29</c:v>
                </c:pt>
                <c:pt idx="95">
                  <c:v>138.24</c:v>
                </c:pt>
                <c:pt idx="96">
                  <c:v>140.12</c:v>
                </c:pt>
                <c:pt idx="97">
                  <c:v>140.81</c:v>
                </c:pt>
                <c:pt idx="98">
                  <c:v>141.04</c:v>
                </c:pt>
                <c:pt idx="99">
                  <c:v>140.81</c:v>
                </c:pt>
                <c:pt idx="100">
                  <c:v>141.33000000000001</c:v>
                </c:pt>
                <c:pt idx="101">
                  <c:v>142.13</c:v>
                </c:pt>
                <c:pt idx="102">
                  <c:v>142.16999999999999</c:v>
                </c:pt>
                <c:pt idx="103">
                  <c:v>141.97999999999999</c:v>
                </c:pt>
                <c:pt idx="104">
                  <c:v>141.79</c:v>
                </c:pt>
                <c:pt idx="105">
                  <c:v>141.6</c:v>
                </c:pt>
                <c:pt idx="106">
                  <c:v>142.44</c:v>
                </c:pt>
                <c:pt idx="107">
                  <c:v>140.47</c:v>
                </c:pt>
                <c:pt idx="108">
                  <c:v>138.91999999999999</c:v>
                </c:pt>
                <c:pt idx="109">
                  <c:v>140.46</c:v>
                </c:pt>
                <c:pt idx="110">
                  <c:v>140.07</c:v>
                </c:pt>
                <c:pt idx="111">
                  <c:v>141</c:v>
                </c:pt>
                <c:pt idx="112">
                  <c:v>142.62</c:v>
                </c:pt>
                <c:pt idx="113">
                  <c:v>143.55000000000001</c:v>
                </c:pt>
                <c:pt idx="114">
                  <c:v>143.94999999999999</c:v>
                </c:pt>
                <c:pt idx="115">
                  <c:v>144.31</c:v>
                </c:pt>
                <c:pt idx="116">
                  <c:v>143.66999999999999</c:v>
                </c:pt>
                <c:pt idx="117">
                  <c:v>144.88999999999999</c:v>
                </c:pt>
                <c:pt idx="118">
                  <c:v>144.72999999999999</c:v>
                </c:pt>
                <c:pt idx="119">
                  <c:v>144.06</c:v>
                </c:pt>
                <c:pt idx="120">
                  <c:v>144.91999999999999</c:v>
                </c:pt>
                <c:pt idx="121">
                  <c:v>143.78</c:v>
                </c:pt>
                <c:pt idx="122">
                  <c:v>144.91999999999999</c:v>
                </c:pt>
                <c:pt idx="123">
                  <c:v>146.35</c:v>
                </c:pt>
                <c:pt idx="124">
                  <c:v>146.81</c:v>
                </c:pt>
                <c:pt idx="125">
                  <c:v>146.35</c:v>
                </c:pt>
                <c:pt idx="126">
                  <c:v>147.06</c:v>
                </c:pt>
                <c:pt idx="127">
                  <c:v>147.16999999999999</c:v>
                </c:pt>
                <c:pt idx="128">
                  <c:v>148.09</c:v>
                </c:pt>
                <c:pt idx="129">
                  <c:v>148.05000000000001</c:v>
                </c:pt>
                <c:pt idx="130">
                  <c:v>148.44</c:v>
                </c:pt>
                <c:pt idx="131">
                  <c:v>148.62</c:v>
                </c:pt>
                <c:pt idx="132">
                  <c:v>148.25</c:v>
                </c:pt>
                <c:pt idx="133">
                  <c:v>147.94999999999999</c:v>
                </c:pt>
                <c:pt idx="134">
                  <c:v>147.78</c:v>
                </c:pt>
                <c:pt idx="135">
                  <c:v>146.96</c:v>
                </c:pt>
                <c:pt idx="136">
                  <c:v>146.33000000000001</c:v>
                </c:pt>
                <c:pt idx="137">
                  <c:v>143.57</c:v>
                </c:pt>
                <c:pt idx="138">
                  <c:v>144.72</c:v>
                </c:pt>
                <c:pt idx="139">
                  <c:v>145.63</c:v>
                </c:pt>
                <c:pt idx="140">
                  <c:v>146.29</c:v>
                </c:pt>
                <c:pt idx="141">
                  <c:v>145.46</c:v>
                </c:pt>
                <c:pt idx="142">
                  <c:v>145.61000000000001</c:v>
                </c:pt>
                <c:pt idx="143">
                  <c:v>146.04</c:v>
                </c:pt>
                <c:pt idx="144">
                  <c:v>145.07</c:v>
                </c:pt>
                <c:pt idx="145">
                  <c:v>144.03</c:v>
                </c:pt>
                <c:pt idx="146">
                  <c:v>143.93</c:v>
                </c:pt>
                <c:pt idx="147">
                  <c:v>142.36000000000001</c:v>
                </c:pt>
                <c:pt idx="148">
                  <c:v>141.15</c:v>
                </c:pt>
                <c:pt idx="149">
                  <c:v>139.75</c:v>
                </c:pt>
                <c:pt idx="150">
                  <c:v>138.63</c:v>
                </c:pt>
                <c:pt idx="151">
                  <c:v>138.88999999999999</c:v>
                </c:pt>
                <c:pt idx="152">
                  <c:v>137.68</c:v>
                </c:pt>
                <c:pt idx="153">
                  <c:v>138.52000000000001</c:v>
                </c:pt>
                <c:pt idx="154">
                  <c:v>136.69999999999999</c:v>
                </c:pt>
                <c:pt idx="155">
                  <c:v>136.21</c:v>
                </c:pt>
                <c:pt idx="156">
                  <c:v>135.61000000000001</c:v>
                </c:pt>
                <c:pt idx="157">
                  <c:v>135.53</c:v>
                </c:pt>
                <c:pt idx="158">
                  <c:v>134.80000000000001</c:v>
                </c:pt>
                <c:pt idx="159">
                  <c:v>134.97</c:v>
                </c:pt>
                <c:pt idx="160">
                  <c:v>134.53</c:v>
                </c:pt>
                <c:pt idx="161">
                  <c:v>134.96</c:v>
                </c:pt>
                <c:pt idx="162">
                  <c:v>134.54</c:v>
                </c:pt>
                <c:pt idx="163">
                  <c:v>133.84</c:v>
                </c:pt>
                <c:pt idx="164">
                  <c:v>133.84</c:v>
                </c:pt>
                <c:pt idx="165">
                  <c:v>133.31</c:v>
                </c:pt>
                <c:pt idx="166">
                  <c:v>133.05000000000001</c:v>
                </c:pt>
                <c:pt idx="167">
                  <c:v>132.18</c:v>
                </c:pt>
                <c:pt idx="168">
                  <c:v>133.47999999999999</c:v>
                </c:pt>
                <c:pt idx="169">
                  <c:v>135.43</c:v>
                </c:pt>
                <c:pt idx="170">
                  <c:v>135.74</c:v>
                </c:pt>
                <c:pt idx="171">
                  <c:v>136.07</c:v>
                </c:pt>
                <c:pt idx="172">
                  <c:v>135.30000000000001</c:v>
                </c:pt>
                <c:pt idx="173">
                  <c:v>136.16</c:v>
                </c:pt>
                <c:pt idx="174">
                  <c:v>136.44999999999999</c:v>
                </c:pt>
                <c:pt idx="175">
                  <c:v>135.38999999999999</c:v>
                </c:pt>
                <c:pt idx="176">
                  <c:v>135.37</c:v>
                </c:pt>
                <c:pt idx="177">
                  <c:v>135.33000000000001</c:v>
                </c:pt>
                <c:pt idx="178">
                  <c:v>135.38</c:v>
                </c:pt>
                <c:pt idx="179">
                  <c:v>137.04</c:v>
                </c:pt>
                <c:pt idx="180">
                  <c:v>136.65</c:v>
                </c:pt>
                <c:pt idx="181">
                  <c:v>136.4</c:v>
                </c:pt>
                <c:pt idx="182">
                  <c:v>137.38</c:v>
                </c:pt>
                <c:pt idx="183">
                  <c:v>138.82</c:v>
                </c:pt>
                <c:pt idx="184">
                  <c:v>133.59</c:v>
                </c:pt>
                <c:pt idx="185">
                  <c:v>137.71</c:v>
                </c:pt>
                <c:pt idx="186">
                  <c:v>138.06</c:v>
                </c:pt>
                <c:pt idx="187">
                  <c:v>138.54</c:v>
                </c:pt>
                <c:pt idx="188">
                  <c:v>137.59</c:v>
                </c:pt>
                <c:pt idx="189">
                  <c:v>137.22</c:v>
                </c:pt>
                <c:pt idx="190">
                  <c:v>137.55000000000001</c:v>
                </c:pt>
                <c:pt idx="191">
                  <c:v>138.08000000000001</c:v>
                </c:pt>
                <c:pt idx="192">
                  <c:v>138.19</c:v>
                </c:pt>
                <c:pt idx="193">
                  <c:v>137.16</c:v>
                </c:pt>
                <c:pt idx="194">
                  <c:v>138.53</c:v>
                </c:pt>
                <c:pt idx="195">
                  <c:v>138.80000000000001</c:v>
                </c:pt>
                <c:pt idx="196">
                  <c:v>139.16999999999999</c:v>
                </c:pt>
                <c:pt idx="197">
                  <c:v>139.16</c:v>
                </c:pt>
                <c:pt idx="198">
                  <c:v>138.43</c:v>
                </c:pt>
                <c:pt idx="199">
                  <c:v>137.62</c:v>
                </c:pt>
                <c:pt idx="200">
                  <c:v>138.34</c:v>
                </c:pt>
                <c:pt idx="201">
                  <c:v>138.66999999999999</c:v>
                </c:pt>
                <c:pt idx="202">
                  <c:v>138.44999999999999</c:v>
                </c:pt>
                <c:pt idx="203">
                  <c:v>138</c:v>
                </c:pt>
                <c:pt idx="204">
                  <c:v>138.19999999999999</c:v>
                </c:pt>
                <c:pt idx="205">
                  <c:v>139.35</c:v>
                </c:pt>
                <c:pt idx="206">
                  <c:v>133.07</c:v>
                </c:pt>
                <c:pt idx="207">
                  <c:v>120.43</c:v>
                </c:pt>
                <c:pt idx="208">
                  <c:v>121.92</c:v>
                </c:pt>
                <c:pt idx="209">
                  <c:v>128.25</c:v>
                </c:pt>
                <c:pt idx="210">
                  <c:v>131.47999999999999</c:v>
                </c:pt>
                <c:pt idx="211">
                  <c:v>133.19999999999999</c:v>
                </c:pt>
                <c:pt idx="212">
                  <c:v>135.36000000000001</c:v>
                </c:pt>
                <c:pt idx="213">
                  <c:v>136.63</c:v>
                </c:pt>
                <c:pt idx="214">
                  <c:v>137.46</c:v>
                </c:pt>
                <c:pt idx="215">
                  <c:v>138.16999999999999</c:v>
                </c:pt>
                <c:pt idx="216">
                  <c:v>139.01</c:v>
                </c:pt>
              </c:numCache>
            </c:numRef>
          </c:val>
          <c:smooth val="0"/>
          <c:extLst>
            <c:ext xmlns:c16="http://schemas.microsoft.com/office/drawing/2014/chart" uri="{C3380CC4-5D6E-409C-BE32-E72D297353CC}">
              <c16:uniqueId val="{00000001-6FC8-4449-8617-3B40702E3F02}"/>
            </c:ext>
          </c:extLst>
        </c:ser>
        <c:dLbls>
          <c:showLegendKey val="0"/>
          <c:showVal val="0"/>
          <c:showCatName val="0"/>
          <c:showSerName val="0"/>
          <c:showPercent val="0"/>
          <c:showBubbleSize val="0"/>
        </c:dLbls>
        <c:smooth val="0"/>
        <c:axId val="1787836336"/>
        <c:axId val="1787850896"/>
      </c:lineChart>
      <c:dateAx>
        <c:axId val="1787836336"/>
        <c:scaling>
          <c:orientation val="minMax"/>
        </c:scaling>
        <c:delete val="0"/>
        <c:axPos val="b"/>
        <c:numFmt formatCode="mmm\-yy"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1787850896"/>
        <c:crosses val="autoZero"/>
        <c:auto val="1"/>
        <c:lblOffset val="100"/>
        <c:baseTimeUnit val="months"/>
      </c:dateAx>
      <c:valAx>
        <c:axId val="1787850896"/>
        <c:scaling>
          <c:orientation val="minMax"/>
          <c:min val="80"/>
        </c:scaling>
        <c:delete val="0"/>
        <c:axPos val="l"/>
        <c:majorGridlines>
          <c:spPr>
            <a:ln w="9525" cap="flat" cmpd="sng" algn="ctr">
              <a:solidFill>
                <a:schemeClr val="tx1">
                  <a:lumMod val="15000"/>
                  <a:lumOff val="85000"/>
                </a:schemeClr>
              </a:solidFill>
              <a:round/>
            </a:ln>
            <a:effectLst/>
          </c:spPr>
        </c:majorGridlines>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178783633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pt-BR"/>
              <a:t>IBC-Br</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pt-BR"/>
        </a:p>
      </c:txPr>
    </c:title>
    <c:autoTitleDeleted val="0"/>
    <c:plotArea>
      <c:layout/>
      <c:lineChart>
        <c:grouping val="standard"/>
        <c:varyColors val="0"/>
        <c:ser>
          <c:idx val="0"/>
          <c:order val="0"/>
          <c:tx>
            <c:strRef>
              <c:f>'Step-by-Step'!$B$6</c:f>
              <c:strCache>
                <c:ptCount val="1"/>
                <c:pt idx="0">
                  <c:v>Actual</c:v>
                </c:pt>
              </c:strCache>
            </c:strRef>
          </c:tx>
          <c:spPr>
            <a:ln w="28575" cap="rnd">
              <a:solidFill>
                <a:schemeClr val="tx1"/>
              </a:solidFill>
              <a:prstDash val="sysDash"/>
              <a:round/>
            </a:ln>
            <a:effectLst/>
          </c:spPr>
          <c:marker>
            <c:symbol val="none"/>
          </c:marker>
          <c:cat>
            <c:numRef>
              <c:f>'Step-by-Step'!$A$7:$A$223</c:f>
              <c:numCache>
                <c:formatCode>mmm\-yy</c:formatCode>
                <c:ptCount val="217"/>
                <c:pt idx="0">
                  <c:v>37622</c:v>
                </c:pt>
                <c:pt idx="1">
                  <c:v>37653</c:v>
                </c:pt>
                <c:pt idx="2">
                  <c:v>37681</c:v>
                </c:pt>
                <c:pt idx="3">
                  <c:v>37712</c:v>
                </c:pt>
                <c:pt idx="4">
                  <c:v>37742</c:v>
                </c:pt>
                <c:pt idx="5">
                  <c:v>37773</c:v>
                </c:pt>
                <c:pt idx="6">
                  <c:v>37803</c:v>
                </c:pt>
                <c:pt idx="7">
                  <c:v>37834</c:v>
                </c:pt>
                <c:pt idx="8">
                  <c:v>37865</c:v>
                </c:pt>
                <c:pt idx="9">
                  <c:v>37895</c:v>
                </c:pt>
                <c:pt idx="10">
                  <c:v>37926</c:v>
                </c:pt>
                <c:pt idx="11">
                  <c:v>37956</c:v>
                </c:pt>
                <c:pt idx="12">
                  <c:v>37987</c:v>
                </c:pt>
                <c:pt idx="13">
                  <c:v>38018</c:v>
                </c:pt>
                <c:pt idx="14">
                  <c:v>38047</c:v>
                </c:pt>
                <c:pt idx="15">
                  <c:v>38078</c:v>
                </c:pt>
                <c:pt idx="16">
                  <c:v>38108</c:v>
                </c:pt>
                <c:pt idx="17">
                  <c:v>38139</c:v>
                </c:pt>
                <c:pt idx="18">
                  <c:v>38169</c:v>
                </c:pt>
                <c:pt idx="19">
                  <c:v>38200</c:v>
                </c:pt>
                <c:pt idx="20">
                  <c:v>38231</c:v>
                </c:pt>
                <c:pt idx="21">
                  <c:v>38261</c:v>
                </c:pt>
                <c:pt idx="22">
                  <c:v>38292</c:v>
                </c:pt>
                <c:pt idx="23">
                  <c:v>38322</c:v>
                </c:pt>
                <c:pt idx="24">
                  <c:v>38353</c:v>
                </c:pt>
                <c:pt idx="25">
                  <c:v>38384</c:v>
                </c:pt>
                <c:pt idx="26">
                  <c:v>38412</c:v>
                </c:pt>
                <c:pt idx="27">
                  <c:v>38443</c:v>
                </c:pt>
                <c:pt idx="28">
                  <c:v>38473</c:v>
                </c:pt>
                <c:pt idx="29">
                  <c:v>38504</c:v>
                </c:pt>
                <c:pt idx="30">
                  <c:v>38534</c:v>
                </c:pt>
                <c:pt idx="31">
                  <c:v>38565</c:v>
                </c:pt>
                <c:pt idx="32">
                  <c:v>38596</c:v>
                </c:pt>
                <c:pt idx="33">
                  <c:v>38626</c:v>
                </c:pt>
                <c:pt idx="34">
                  <c:v>38657</c:v>
                </c:pt>
                <c:pt idx="35">
                  <c:v>38687</c:v>
                </c:pt>
                <c:pt idx="36">
                  <c:v>38718</c:v>
                </c:pt>
                <c:pt idx="37">
                  <c:v>38749</c:v>
                </c:pt>
                <c:pt idx="38">
                  <c:v>38777</c:v>
                </c:pt>
                <c:pt idx="39">
                  <c:v>38808</c:v>
                </c:pt>
                <c:pt idx="40">
                  <c:v>38838</c:v>
                </c:pt>
                <c:pt idx="41">
                  <c:v>38869</c:v>
                </c:pt>
                <c:pt idx="42">
                  <c:v>38899</c:v>
                </c:pt>
                <c:pt idx="43">
                  <c:v>38930</c:v>
                </c:pt>
                <c:pt idx="44">
                  <c:v>38961</c:v>
                </c:pt>
                <c:pt idx="45">
                  <c:v>38991</c:v>
                </c:pt>
                <c:pt idx="46">
                  <c:v>39022</c:v>
                </c:pt>
                <c:pt idx="47">
                  <c:v>39052</c:v>
                </c:pt>
                <c:pt idx="48">
                  <c:v>39083</c:v>
                </c:pt>
                <c:pt idx="49">
                  <c:v>39114</c:v>
                </c:pt>
                <c:pt idx="50">
                  <c:v>39142</c:v>
                </c:pt>
                <c:pt idx="51">
                  <c:v>39173</c:v>
                </c:pt>
                <c:pt idx="52">
                  <c:v>39203</c:v>
                </c:pt>
                <c:pt idx="53">
                  <c:v>39234</c:v>
                </c:pt>
                <c:pt idx="54">
                  <c:v>39264</c:v>
                </c:pt>
                <c:pt idx="55">
                  <c:v>39295</c:v>
                </c:pt>
                <c:pt idx="56">
                  <c:v>39326</c:v>
                </c:pt>
                <c:pt idx="57">
                  <c:v>39356</c:v>
                </c:pt>
                <c:pt idx="58">
                  <c:v>39387</c:v>
                </c:pt>
                <c:pt idx="59">
                  <c:v>39417</c:v>
                </c:pt>
                <c:pt idx="60">
                  <c:v>39448</c:v>
                </c:pt>
                <c:pt idx="61">
                  <c:v>39479</c:v>
                </c:pt>
                <c:pt idx="62">
                  <c:v>39508</c:v>
                </c:pt>
                <c:pt idx="63">
                  <c:v>39539</c:v>
                </c:pt>
                <c:pt idx="64">
                  <c:v>39569</c:v>
                </c:pt>
                <c:pt idx="65">
                  <c:v>39600</c:v>
                </c:pt>
                <c:pt idx="66">
                  <c:v>39630</c:v>
                </c:pt>
                <c:pt idx="67">
                  <c:v>39661</c:v>
                </c:pt>
                <c:pt idx="68">
                  <c:v>39692</c:v>
                </c:pt>
                <c:pt idx="69">
                  <c:v>39722</c:v>
                </c:pt>
                <c:pt idx="70">
                  <c:v>39753</c:v>
                </c:pt>
                <c:pt idx="71">
                  <c:v>39783</c:v>
                </c:pt>
                <c:pt idx="72">
                  <c:v>39814</c:v>
                </c:pt>
                <c:pt idx="73">
                  <c:v>39845</c:v>
                </c:pt>
                <c:pt idx="74">
                  <c:v>39873</c:v>
                </c:pt>
                <c:pt idx="75">
                  <c:v>39904</c:v>
                </c:pt>
                <c:pt idx="76">
                  <c:v>39934</c:v>
                </c:pt>
                <c:pt idx="77">
                  <c:v>39965</c:v>
                </c:pt>
                <c:pt idx="78">
                  <c:v>39995</c:v>
                </c:pt>
                <c:pt idx="79">
                  <c:v>40026</c:v>
                </c:pt>
                <c:pt idx="80">
                  <c:v>40057</c:v>
                </c:pt>
                <c:pt idx="81">
                  <c:v>40087</c:v>
                </c:pt>
                <c:pt idx="82">
                  <c:v>40118</c:v>
                </c:pt>
                <c:pt idx="83">
                  <c:v>40148</c:v>
                </c:pt>
                <c:pt idx="84">
                  <c:v>40179</c:v>
                </c:pt>
                <c:pt idx="85">
                  <c:v>40210</c:v>
                </c:pt>
                <c:pt idx="86">
                  <c:v>40238</c:v>
                </c:pt>
                <c:pt idx="87">
                  <c:v>40269</c:v>
                </c:pt>
                <c:pt idx="88">
                  <c:v>40299</c:v>
                </c:pt>
                <c:pt idx="89">
                  <c:v>40330</c:v>
                </c:pt>
                <c:pt idx="90">
                  <c:v>40360</c:v>
                </c:pt>
                <c:pt idx="91">
                  <c:v>40391</c:v>
                </c:pt>
                <c:pt idx="92">
                  <c:v>40422</c:v>
                </c:pt>
                <c:pt idx="93">
                  <c:v>40452</c:v>
                </c:pt>
                <c:pt idx="94">
                  <c:v>40483</c:v>
                </c:pt>
                <c:pt idx="95">
                  <c:v>40513</c:v>
                </c:pt>
                <c:pt idx="96">
                  <c:v>40544</c:v>
                </c:pt>
                <c:pt idx="97">
                  <c:v>40575</c:v>
                </c:pt>
                <c:pt idx="98">
                  <c:v>40603</c:v>
                </c:pt>
                <c:pt idx="99">
                  <c:v>40634</c:v>
                </c:pt>
                <c:pt idx="100">
                  <c:v>40664</c:v>
                </c:pt>
                <c:pt idx="101">
                  <c:v>40695</c:v>
                </c:pt>
                <c:pt idx="102">
                  <c:v>40725</c:v>
                </c:pt>
                <c:pt idx="103">
                  <c:v>40756</c:v>
                </c:pt>
                <c:pt idx="104">
                  <c:v>40787</c:v>
                </c:pt>
                <c:pt idx="105">
                  <c:v>40817</c:v>
                </c:pt>
                <c:pt idx="106">
                  <c:v>40848</c:v>
                </c:pt>
                <c:pt idx="107">
                  <c:v>40878</c:v>
                </c:pt>
                <c:pt idx="108">
                  <c:v>40909</c:v>
                </c:pt>
                <c:pt idx="109">
                  <c:v>40940</c:v>
                </c:pt>
                <c:pt idx="110">
                  <c:v>40969</c:v>
                </c:pt>
                <c:pt idx="111">
                  <c:v>41000</c:v>
                </c:pt>
                <c:pt idx="112">
                  <c:v>41030</c:v>
                </c:pt>
                <c:pt idx="113">
                  <c:v>41061</c:v>
                </c:pt>
                <c:pt idx="114">
                  <c:v>41091</c:v>
                </c:pt>
                <c:pt idx="115">
                  <c:v>41122</c:v>
                </c:pt>
                <c:pt idx="116">
                  <c:v>41153</c:v>
                </c:pt>
                <c:pt idx="117">
                  <c:v>41183</c:v>
                </c:pt>
                <c:pt idx="118">
                  <c:v>41214</c:v>
                </c:pt>
                <c:pt idx="119">
                  <c:v>41244</c:v>
                </c:pt>
                <c:pt idx="120">
                  <c:v>41275</c:v>
                </c:pt>
                <c:pt idx="121">
                  <c:v>41306</c:v>
                </c:pt>
                <c:pt idx="122">
                  <c:v>41334</c:v>
                </c:pt>
                <c:pt idx="123">
                  <c:v>41365</c:v>
                </c:pt>
                <c:pt idx="124">
                  <c:v>41395</c:v>
                </c:pt>
                <c:pt idx="125">
                  <c:v>41426</c:v>
                </c:pt>
                <c:pt idx="126">
                  <c:v>41456</c:v>
                </c:pt>
                <c:pt idx="127">
                  <c:v>41487</c:v>
                </c:pt>
                <c:pt idx="128">
                  <c:v>41518</c:v>
                </c:pt>
                <c:pt idx="129">
                  <c:v>41548</c:v>
                </c:pt>
                <c:pt idx="130">
                  <c:v>41579</c:v>
                </c:pt>
                <c:pt idx="131">
                  <c:v>41609</c:v>
                </c:pt>
                <c:pt idx="132">
                  <c:v>41640</c:v>
                </c:pt>
                <c:pt idx="133">
                  <c:v>41671</c:v>
                </c:pt>
                <c:pt idx="134">
                  <c:v>41699</c:v>
                </c:pt>
                <c:pt idx="135">
                  <c:v>41730</c:v>
                </c:pt>
                <c:pt idx="136">
                  <c:v>41760</c:v>
                </c:pt>
                <c:pt idx="137">
                  <c:v>41791</c:v>
                </c:pt>
                <c:pt idx="138">
                  <c:v>41821</c:v>
                </c:pt>
                <c:pt idx="139">
                  <c:v>41852</c:v>
                </c:pt>
                <c:pt idx="140">
                  <c:v>41883</c:v>
                </c:pt>
                <c:pt idx="141">
                  <c:v>41913</c:v>
                </c:pt>
                <c:pt idx="142">
                  <c:v>41944</c:v>
                </c:pt>
                <c:pt idx="143">
                  <c:v>41974</c:v>
                </c:pt>
                <c:pt idx="144">
                  <c:v>42005</c:v>
                </c:pt>
                <c:pt idx="145">
                  <c:v>42036</c:v>
                </c:pt>
                <c:pt idx="146">
                  <c:v>42064</c:v>
                </c:pt>
                <c:pt idx="147">
                  <c:v>42095</c:v>
                </c:pt>
                <c:pt idx="148">
                  <c:v>42125</c:v>
                </c:pt>
                <c:pt idx="149">
                  <c:v>42156</c:v>
                </c:pt>
                <c:pt idx="150">
                  <c:v>42186</c:v>
                </c:pt>
                <c:pt idx="151">
                  <c:v>42217</c:v>
                </c:pt>
                <c:pt idx="152">
                  <c:v>42248</c:v>
                </c:pt>
                <c:pt idx="153">
                  <c:v>42278</c:v>
                </c:pt>
                <c:pt idx="154">
                  <c:v>42309</c:v>
                </c:pt>
                <c:pt idx="155">
                  <c:v>42339</c:v>
                </c:pt>
                <c:pt idx="156">
                  <c:v>42370</c:v>
                </c:pt>
                <c:pt idx="157">
                  <c:v>42401</c:v>
                </c:pt>
                <c:pt idx="158">
                  <c:v>42430</c:v>
                </c:pt>
                <c:pt idx="159">
                  <c:v>42461</c:v>
                </c:pt>
                <c:pt idx="160">
                  <c:v>42491</c:v>
                </c:pt>
                <c:pt idx="161">
                  <c:v>42522</c:v>
                </c:pt>
                <c:pt idx="162">
                  <c:v>42552</c:v>
                </c:pt>
                <c:pt idx="163">
                  <c:v>42583</c:v>
                </c:pt>
                <c:pt idx="164">
                  <c:v>42614</c:v>
                </c:pt>
                <c:pt idx="165">
                  <c:v>42644</c:v>
                </c:pt>
                <c:pt idx="166">
                  <c:v>42675</c:v>
                </c:pt>
                <c:pt idx="167">
                  <c:v>42705</c:v>
                </c:pt>
                <c:pt idx="168">
                  <c:v>42736</c:v>
                </c:pt>
                <c:pt idx="169">
                  <c:v>42767</c:v>
                </c:pt>
                <c:pt idx="170">
                  <c:v>42795</c:v>
                </c:pt>
                <c:pt idx="171">
                  <c:v>42826</c:v>
                </c:pt>
                <c:pt idx="172">
                  <c:v>42856</c:v>
                </c:pt>
                <c:pt idx="173">
                  <c:v>42887</c:v>
                </c:pt>
                <c:pt idx="174">
                  <c:v>42917</c:v>
                </c:pt>
                <c:pt idx="175">
                  <c:v>42948</c:v>
                </c:pt>
                <c:pt idx="176">
                  <c:v>42979</c:v>
                </c:pt>
                <c:pt idx="177">
                  <c:v>43009</c:v>
                </c:pt>
                <c:pt idx="178">
                  <c:v>43040</c:v>
                </c:pt>
                <c:pt idx="179">
                  <c:v>43070</c:v>
                </c:pt>
                <c:pt idx="180">
                  <c:v>43101</c:v>
                </c:pt>
                <c:pt idx="181">
                  <c:v>43132</c:v>
                </c:pt>
                <c:pt idx="182">
                  <c:v>43160</c:v>
                </c:pt>
                <c:pt idx="183">
                  <c:v>43191</c:v>
                </c:pt>
                <c:pt idx="184">
                  <c:v>43221</c:v>
                </c:pt>
                <c:pt idx="185">
                  <c:v>43252</c:v>
                </c:pt>
                <c:pt idx="186">
                  <c:v>43282</c:v>
                </c:pt>
                <c:pt idx="187">
                  <c:v>43313</c:v>
                </c:pt>
                <c:pt idx="188">
                  <c:v>43344</c:v>
                </c:pt>
                <c:pt idx="189">
                  <c:v>43374</c:v>
                </c:pt>
                <c:pt idx="190">
                  <c:v>43405</c:v>
                </c:pt>
                <c:pt idx="191">
                  <c:v>43435</c:v>
                </c:pt>
                <c:pt idx="192">
                  <c:v>43466</c:v>
                </c:pt>
                <c:pt idx="193">
                  <c:v>43497</c:v>
                </c:pt>
                <c:pt idx="194">
                  <c:v>43525</c:v>
                </c:pt>
                <c:pt idx="195">
                  <c:v>43556</c:v>
                </c:pt>
                <c:pt idx="196">
                  <c:v>43586</c:v>
                </c:pt>
                <c:pt idx="197">
                  <c:v>43617</c:v>
                </c:pt>
                <c:pt idx="198">
                  <c:v>43647</c:v>
                </c:pt>
                <c:pt idx="199">
                  <c:v>43678</c:v>
                </c:pt>
                <c:pt idx="200">
                  <c:v>43709</c:v>
                </c:pt>
                <c:pt idx="201">
                  <c:v>43739</c:v>
                </c:pt>
                <c:pt idx="202">
                  <c:v>43770</c:v>
                </c:pt>
                <c:pt idx="203">
                  <c:v>43800</c:v>
                </c:pt>
                <c:pt idx="204">
                  <c:v>43831</c:v>
                </c:pt>
                <c:pt idx="205">
                  <c:v>43862</c:v>
                </c:pt>
                <c:pt idx="206">
                  <c:v>43891</c:v>
                </c:pt>
                <c:pt idx="207">
                  <c:v>43922</c:v>
                </c:pt>
                <c:pt idx="208">
                  <c:v>43952</c:v>
                </c:pt>
                <c:pt idx="209">
                  <c:v>43983</c:v>
                </c:pt>
                <c:pt idx="210">
                  <c:v>44013</c:v>
                </c:pt>
                <c:pt idx="211">
                  <c:v>44044</c:v>
                </c:pt>
                <c:pt idx="212">
                  <c:v>44075</c:v>
                </c:pt>
                <c:pt idx="213">
                  <c:v>44105</c:v>
                </c:pt>
                <c:pt idx="214">
                  <c:v>44136</c:v>
                </c:pt>
                <c:pt idx="215">
                  <c:v>44166</c:v>
                </c:pt>
                <c:pt idx="216">
                  <c:v>44197</c:v>
                </c:pt>
              </c:numCache>
            </c:numRef>
          </c:cat>
          <c:val>
            <c:numRef>
              <c:f>'Step-by-Step'!$B$7:$B$223</c:f>
              <c:numCache>
                <c:formatCode>0.0</c:formatCode>
                <c:ptCount val="217"/>
                <c:pt idx="0">
                  <c:v>96.15</c:v>
                </c:pt>
                <c:pt idx="1">
                  <c:v>98.67</c:v>
                </c:pt>
                <c:pt idx="2">
                  <c:v>103.41</c:v>
                </c:pt>
                <c:pt idx="3">
                  <c:v>102.19</c:v>
                </c:pt>
                <c:pt idx="4">
                  <c:v>100.3</c:v>
                </c:pt>
                <c:pt idx="5">
                  <c:v>98.58</c:v>
                </c:pt>
                <c:pt idx="6">
                  <c:v>103.05</c:v>
                </c:pt>
                <c:pt idx="7">
                  <c:v>101.47</c:v>
                </c:pt>
                <c:pt idx="8">
                  <c:v>102.87</c:v>
                </c:pt>
                <c:pt idx="9">
                  <c:v>105.06</c:v>
                </c:pt>
                <c:pt idx="10">
                  <c:v>101.95</c:v>
                </c:pt>
                <c:pt idx="11">
                  <c:v>99.74</c:v>
                </c:pt>
                <c:pt idx="12">
                  <c:v>98.59</c:v>
                </c:pt>
                <c:pt idx="13">
                  <c:v>99.45</c:v>
                </c:pt>
                <c:pt idx="14">
                  <c:v>111.98</c:v>
                </c:pt>
                <c:pt idx="15">
                  <c:v>107.36</c:v>
                </c:pt>
                <c:pt idx="16">
                  <c:v>106.03</c:v>
                </c:pt>
                <c:pt idx="17">
                  <c:v>107</c:v>
                </c:pt>
                <c:pt idx="18">
                  <c:v>111.47</c:v>
                </c:pt>
                <c:pt idx="19">
                  <c:v>110.65</c:v>
                </c:pt>
                <c:pt idx="20">
                  <c:v>109.21</c:v>
                </c:pt>
                <c:pt idx="21">
                  <c:v>108.89</c:v>
                </c:pt>
                <c:pt idx="22">
                  <c:v>109.59</c:v>
                </c:pt>
                <c:pt idx="23">
                  <c:v>107.56</c:v>
                </c:pt>
                <c:pt idx="24">
                  <c:v>103.52</c:v>
                </c:pt>
                <c:pt idx="25">
                  <c:v>104</c:v>
                </c:pt>
                <c:pt idx="26">
                  <c:v>115.42</c:v>
                </c:pt>
                <c:pt idx="27">
                  <c:v>112.35</c:v>
                </c:pt>
                <c:pt idx="28">
                  <c:v>110.86</c:v>
                </c:pt>
                <c:pt idx="29">
                  <c:v>111.5</c:v>
                </c:pt>
                <c:pt idx="30">
                  <c:v>113.15</c:v>
                </c:pt>
                <c:pt idx="31">
                  <c:v>115.15</c:v>
                </c:pt>
                <c:pt idx="32">
                  <c:v>110.95</c:v>
                </c:pt>
                <c:pt idx="33">
                  <c:v>111.33</c:v>
                </c:pt>
                <c:pt idx="34">
                  <c:v>111.73</c:v>
                </c:pt>
                <c:pt idx="35">
                  <c:v>111.25</c:v>
                </c:pt>
                <c:pt idx="36">
                  <c:v>108.55</c:v>
                </c:pt>
                <c:pt idx="37">
                  <c:v>107.8</c:v>
                </c:pt>
                <c:pt idx="38">
                  <c:v>119.09</c:v>
                </c:pt>
                <c:pt idx="39">
                  <c:v>112.61</c:v>
                </c:pt>
                <c:pt idx="40">
                  <c:v>117.19</c:v>
                </c:pt>
                <c:pt idx="41">
                  <c:v>114.4</c:v>
                </c:pt>
                <c:pt idx="42">
                  <c:v>119.41</c:v>
                </c:pt>
                <c:pt idx="43">
                  <c:v>121.06</c:v>
                </c:pt>
                <c:pt idx="44">
                  <c:v>116.21</c:v>
                </c:pt>
                <c:pt idx="45">
                  <c:v>119.33</c:v>
                </c:pt>
                <c:pt idx="46">
                  <c:v>118.67</c:v>
                </c:pt>
                <c:pt idx="47">
                  <c:v>116.3</c:v>
                </c:pt>
                <c:pt idx="48">
                  <c:v>114.79</c:v>
                </c:pt>
                <c:pt idx="49">
                  <c:v>113.33</c:v>
                </c:pt>
                <c:pt idx="50">
                  <c:v>125.11</c:v>
                </c:pt>
                <c:pt idx="51">
                  <c:v>120.29</c:v>
                </c:pt>
                <c:pt idx="52">
                  <c:v>123.9</c:v>
                </c:pt>
                <c:pt idx="53">
                  <c:v>122.38</c:v>
                </c:pt>
                <c:pt idx="54">
                  <c:v>127.85</c:v>
                </c:pt>
                <c:pt idx="55">
                  <c:v>129.05000000000001</c:v>
                </c:pt>
                <c:pt idx="56">
                  <c:v>123.24</c:v>
                </c:pt>
                <c:pt idx="57">
                  <c:v>129.16999999999999</c:v>
                </c:pt>
                <c:pt idx="58">
                  <c:v>125.88</c:v>
                </c:pt>
                <c:pt idx="59">
                  <c:v>122.43</c:v>
                </c:pt>
                <c:pt idx="60">
                  <c:v>121.86</c:v>
                </c:pt>
                <c:pt idx="61">
                  <c:v>121.91</c:v>
                </c:pt>
                <c:pt idx="62">
                  <c:v>128.99</c:v>
                </c:pt>
                <c:pt idx="63">
                  <c:v>129.47999999999999</c:v>
                </c:pt>
                <c:pt idx="64">
                  <c:v>128.91999999999999</c:v>
                </c:pt>
                <c:pt idx="65">
                  <c:v>130.59</c:v>
                </c:pt>
                <c:pt idx="66">
                  <c:v>136.53</c:v>
                </c:pt>
                <c:pt idx="67">
                  <c:v>133.87</c:v>
                </c:pt>
                <c:pt idx="68">
                  <c:v>132.6</c:v>
                </c:pt>
                <c:pt idx="69">
                  <c:v>132.80000000000001</c:v>
                </c:pt>
                <c:pt idx="70">
                  <c:v>124.58</c:v>
                </c:pt>
                <c:pt idx="71">
                  <c:v>118.9</c:v>
                </c:pt>
                <c:pt idx="72">
                  <c:v>115.2</c:v>
                </c:pt>
                <c:pt idx="73">
                  <c:v>115.26</c:v>
                </c:pt>
                <c:pt idx="74">
                  <c:v>127.81</c:v>
                </c:pt>
                <c:pt idx="75">
                  <c:v>123.09</c:v>
                </c:pt>
                <c:pt idx="76">
                  <c:v>124.41</c:v>
                </c:pt>
                <c:pt idx="77">
                  <c:v>125.61</c:v>
                </c:pt>
                <c:pt idx="78">
                  <c:v>131.44</c:v>
                </c:pt>
                <c:pt idx="79">
                  <c:v>130.69999999999999</c:v>
                </c:pt>
                <c:pt idx="80">
                  <c:v>129.81</c:v>
                </c:pt>
                <c:pt idx="81">
                  <c:v>132.47999999999999</c:v>
                </c:pt>
                <c:pt idx="82">
                  <c:v>129.62</c:v>
                </c:pt>
                <c:pt idx="83">
                  <c:v>129.22999999999999</c:v>
                </c:pt>
                <c:pt idx="84">
                  <c:v>125.81</c:v>
                </c:pt>
                <c:pt idx="85">
                  <c:v>127.61</c:v>
                </c:pt>
                <c:pt idx="86">
                  <c:v>143.44</c:v>
                </c:pt>
                <c:pt idx="87">
                  <c:v>136.87</c:v>
                </c:pt>
                <c:pt idx="88">
                  <c:v>136.52000000000001</c:v>
                </c:pt>
                <c:pt idx="89">
                  <c:v>136.09</c:v>
                </c:pt>
                <c:pt idx="90">
                  <c:v>141.63999999999999</c:v>
                </c:pt>
                <c:pt idx="91">
                  <c:v>141.55000000000001</c:v>
                </c:pt>
                <c:pt idx="92">
                  <c:v>139.46</c:v>
                </c:pt>
                <c:pt idx="93">
                  <c:v>139.33000000000001</c:v>
                </c:pt>
                <c:pt idx="94">
                  <c:v>139.68</c:v>
                </c:pt>
                <c:pt idx="95">
                  <c:v>136.69</c:v>
                </c:pt>
                <c:pt idx="96">
                  <c:v>132.66</c:v>
                </c:pt>
                <c:pt idx="97">
                  <c:v>136.18</c:v>
                </c:pt>
                <c:pt idx="98">
                  <c:v>144.93</c:v>
                </c:pt>
                <c:pt idx="99">
                  <c:v>139.88999999999999</c:v>
                </c:pt>
                <c:pt idx="100">
                  <c:v>143.22999999999999</c:v>
                </c:pt>
                <c:pt idx="101">
                  <c:v>141.75</c:v>
                </c:pt>
                <c:pt idx="102">
                  <c:v>145.19</c:v>
                </c:pt>
                <c:pt idx="103">
                  <c:v>147.51</c:v>
                </c:pt>
                <c:pt idx="104">
                  <c:v>142.30000000000001</c:v>
                </c:pt>
                <c:pt idx="105">
                  <c:v>142.02000000000001</c:v>
                </c:pt>
                <c:pt idx="106">
                  <c:v>141.87</c:v>
                </c:pt>
                <c:pt idx="107">
                  <c:v>139.22999999999999</c:v>
                </c:pt>
                <c:pt idx="108">
                  <c:v>133.34</c:v>
                </c:pt>
                <c:pt idx="109">
                  <c:v>135.35</c:v>
                </c:pt>
                <c:pt idx="110">
                  <c:v>146.35</c:v>
                </c:pt>
                <c:pt idx="111">
                  <c:v>139.85</c:v>
                </c:pt>
                <c:pt idx="112">
                  <c:v>144.56</c:v>
                </c:pt>
                <c:pt idx="113">
                  <c:v>142.28</c:v>
                </c:pt>
                <c:pt idx="114">
                  <c:v>147.46</c:v>
                </c:pt>
                <c:pt idx="115">
                  <c:v>149.91</c:v>
                </c:pt>
                <c:pt idx="116">
                  <c:v>141.6</c:v>
                </c:pt>
                <c:pt idx="117">
                  <c:v>147.71</c:v>
                </c:pt>
                <c:pt idx="118">
                  <c:v>144.15</c:v>
                </c:pt>
                <c:pt idx="119">
                  <c:v>139.52000000000001</c:v>
                </c:pt>
                <c:pt idx="120">
                  <c:v>139.32</c:v>
                </c:pt>
                <c:pt idx="121">
                  <c:v>136.13999999999999</c:v>
                </c:pt>
                <c:pt idx="122">
                  <c:v>148.01</c:v>
                </c:pt>
                <c:pt idx="123">
                  <c:v>149.79</c:v>
                </c:pt>
                <c:pt idx="124">
                  <c:v>147.03</c:v>
                </c:pt>
                <c:pt idx="125">
                  <c:v>144.87</c:v>
                </c:pt>
                <c:pt idx="126">
                  <c:v>152.13</c:v>
                </c:pt>
                <c:pt idx="127">
                  <c:v>151.81</c:v>
                </c:pt>
                <c:pt idx="128">
                  <c:v>147.27000000000001</c:v>
                </c:pt>
                <c:pt idx="129">
                  <c:v>151.9</c:v>
                </c:pt>
                <c:pt idx="130">
                  <c:v>147.79</c:v>
                </c:pt>
                <c:pt idx="131">
                  <c:v>145.77000000000001</c:v>
                </c:pt>
                <c:pt idx="132">
                  <c:v>142.72</c:v>
                </c:pt>
                <c:pt idx="133">
                  <c:v>143.53</c:v>
                </c:pt>
                <c:pt idx="134">
                  <c:v>149.03</c:v>
                </c:pt>
                <c:pt idx="135">
                  <c:v>147.69</c:v>
                </c:pt>
                <c:pt idx="136">
                  <c:v>147.13999999999999</c:v>
                </c:pt>
                <c:pt idx="137">
                  <c:v>140.88</c:v>
                </c:pt>
                <c:pt idx="138">
                  <c:v>149.85</c:v>
                </c:pt>
                <c:pt idx="139">
                  <c:v>148.27000000000001</c:v>
                </c:pt>
                <c:pt idx="140">
                  <c:v>148.12</c:v>
                </c:pt>
                <c:pt idx="141">
                  <c:v>149.69999999999999</c:v>
                </c:pt>
                <c:pt idx="142">
                  <c:v>144.91999999999999</c:v>
                </c:pt>
                <c:pt idx="143">
                  <c:v>145.47999999999999</c:v>
                </c:pt>
                <c:pt idx="144">
                  <c:v>138.97999999999999</c:v>
                </c:pt>
                <c:pt idx="145">
                  <c:v>136.69</c:v>
                </c:pt>
                <c:pt idx="146">
                  <c:v>149.75</c:v>
                </c:pt>
                <c:pt idx="147">
                  <c:v>142.47999999999999</c:v>
                </c:pt>
                <c:pt idx="148">
                  <c:v>139.94999999999999</c:v>
                </c:pt>
                <c:pt idx="149">
                  <c:v>138.75</c:v>
                </c:pt>
                <c:pt idx="150">
                  <c:v>143.32</c:v>
                </c:pt>
                <c:pt idx="151">
                  <c:v>140.93</c:v>
                </c:pt>
                <c:pt idx="152">
                  <c:v>138.30000000000001</c:v>
                </c:pt>
                <c:pt idx="153">
                  <c:v>140.22</c:v>
                </c:pt>
                <c:pt idx="154">
                  <c:v>136.06</c:v>
                </c:pt>
                <c:pt idx="155">
                  <c:v>136.47999999999999</c:v>
                </c:pt>
                <c:pt idx="156">
                  <c:v>128.47999999999999</c:v>
                </c:pt>
                <c:pt idx="157">
                  <c:v>130.91999999999999</c:v>
                </c:pt>
                <c:pt idx="158">
                  <c:v>140.54</c:v>
                </c:pt>
                <c:pt idx="159">
                  <c:v>136.08000000000001</c:v>
                </c:pt>
                <c:pt idx="160">
                  <c:v>133.72999999999999</c:v>
                </c:pt>
                <c:pt idx="161">
                  <c:v>135.46</c:v>
                </c:pt>
                <c:pt idx="162">
                  <c:v>136.72999999999999</c:v>
                </c:pt>
                <c:pt idx="163">
                  <c:v>138.22</c:v>
                </c:pt>
                <c:pt idx="164">
                  <c:v>134.09</c:v>
                </c:pt>
                <c:pt idx="165">
                  <c:v>132.83000000000001</c:v>
                </c:pt>
                <c:pt idx="166">
                  <c:v>132.55000000000001</c:v>
                </c:pt>
                <c:pt idx="167">
                  <c:v>133.56</c:v>
                </c:pt>
                <c:pt idx="168">
                  <c:v>128.62</c:v>
                </c:pt>
                <c:pt idx="169">
                  <c:v>129.54</c:v>
                </c:pt>
                <c:pt idx="170">
                  <c:v>142.03</c:v>
                </c:pt>
                <c:pt idx="171">
                  <c:v>133.74</c:v>
                </c:pt>
                <c:pt idx="172">
                  <c:v>135.97999999999999</c:v>
                </c:pt>
                <c:pt idx="173">
                  <c:v>135.03</c:v>
                </c:pt>
                <c:pt idx="174">
                  <c:v>138.35</c:v>
                </c:pt>
                <c:pt idx="175">
                  <c:v>140.12</c:v>
                </c:pt>
                <c:pt idx="176">
                  <c:v>134.99</c:v>
                </c:pt>
                <c:pt idx="177">
                  <c:v>135.94</c:v>
                </c:pt>
                <c:pt idx="178">
                  <c:v>135.11000000000001</c:v>
                </c:pt>
                <c:pt idx="179">
                  <c:v>135.88</c:v>
                </c:pt>
                <c:pt idx="180">
                  <c:v>132.03</c:v>
                </c:pt>
                <c:pt idx="181">
                  <c:v>129.85</c:v>
                </c:pt>
                <c:pt idx="182">
                  <c:v>141.63</c:v>
                </c:pt>
                <c:pt idx="183">
                  <c:v>139.02000000000001</c:v>
                </c:pt>
                <c:pt idx="184">
                  <c:v>132.29</c:v>
                </c:pt>
                <c:pt idx="185">
                  <c:v>137.06</c:v>
                </c:pt>
                <c:pt idx="186">
                  <c:v>140.97</c:v>
                </c:pt>
                <c:pt idx="187">
                  <c:v>143.33000000000001</c:v>
                </c:pt>
                <c:pt idx="188">
                  <c:v>135.87</c:v>
                </c:pt>
                <c:pt idx="189">
                  <c:v>139.75</c:v>
                </c:pt>
                <c:pt idx="190">
                  <c:v>137.62</c:v>
                </c:pt>
                <c:pt idx="191">
                  <c:v>136.33000000000001</c:v>
                </c:pt>
                <c:pt idx="192">
                  <c:v>133.43</c:v>
                </c:pt>
                <c:pt idx="193">
                  <c:v>133.75</c:v>
                </c:pt>
                <c:pt idx="194">
                  <c:v>138.99</c:v>
                </c:pt>
                <c:pt idx="195">
                  <c:v>139.46</c:v>
                </c:pt>
                <c:pt idx="196">
                  <c:v>139.26</c:v>
                </c:pt>
                <c:pt idx="197">
                  <c:v>135.01</c:v>
                </c:pt>
                <c:pt idx="198">
                  <c:v>142.91999999999999</c:v>
                </c:pt>
                <c:pt idx="199">
                  <c:v>141.77000000000001</c:v>
                </c:pt>
                <c:pt idx="200">
                  <c:v>138.30000000000001</c:v>
                </c:pt>
                <c:pt idx="201">
                  <c:v>142.76</c:v>
                </c:pt>
                <c:pt idx="202">
                  <c:v>138.84</c:v>
                </c:pt>
                <c:pt idx="203">
                  <c:v>137.54</c:v>
                </c:pt>
                <c:pt idx="204">
                  <c:v>133.6</c:v>
                </c:pt>
                <c:pt idx="205">
                  <c:v>134.63</c:v>
                </c:pt>
                <c:pt idx="206">
                  <c:v>136.72</c:v>
                </c:pt>
                <c:pt idx="207">
                  <c:v>119.13</c:v>
                </c:pt>
                <c:pt idx="208">
                  <c:v>119.79</c:v>
                </c:pt>
                <c:pt idx="209">
                  <c:v>126.18</c:v>
                </c:pt>
                <c:pt idx="210">
                  <c:v>135.82</c:v>
                </c:pt>
                <c:pt idx="211">
                  <c:v>135.5</c:v>
                </c:pt>
                <c:pt idx="212">
                  <c:v>137.13999999999999</c:v>
                </c:pt>
                <c:pt idx="213">
                  <c:v>139.62</c:v>
                </c:pt>
                <c:pt idx="214">
                  <c:v>138.1</c:v>
                </c:pt>
                <c:pt idx="215">
                  <c:v>139.53</c:v>
                </c:pt>
                <c:pt idx="216">
                  <c:v>132.1</c:v>
                </c:pt>
              </c:numCache>
            </c:numRef>
          </c:val>
          <c:smooth val="0"/>
          <c:extLst>
            <c:ext xmlns:c16="http://schemas.microsoft.com/office/drawing/2014/chart" uri="{C3380CC4-5D6E-409C-BE32-E72D297353CC}">
              <c16:uniqueId val="{00000000-F0FC-41E6-B9AE-2B8BB602A29A}"/>
            </c:ext>
          </c:extLst>
        </c:ser>
        <c:ser>
          <c:idx val="1"/>
          <c:order val="1"/>
          <c:tx>
            <c:strRef>
              <c:f>'Step-by-Step'!$E$6</c:f>
              <c:strCache>
                <c:ptCount val="1"/>
                <c:pt idx="0">
                  <c:v>SA X13</c:v>
                </c:pt>
              </c:strCache>
            </c:strRef>
          </c:tx>
          <c:spPr>
            <a:ln w="28575" cap="rnd">
              <a:solidFill>
                <a:schemeClr val="accent2"/>
              </a:solidFill>
              <a:round/>
            </a:ln>
            <a:effectLst/>
          </c:spPr>
          <c:marker>
            <c:symbol val="none"/>
          </c:marker>
          <c:cat>
            <c:numRef>
              <c:f>'Step-by-Step'!$A$7:$A$223</c:f>
              <c:numCache>
                <c:formatCode>mmm\-yy</c:formatCode>
                <c:ptCount val="217"/>
                <c:pt idx="0">
                  <c:v>37622</c:v>
                </c:pt>
                <c:pt idx="1">
                  <c:v>37653</c:v>
                </c:pt>
                <c:pt idx="2">
                  <c:v>37681</c:v>
                </c:pt>
                <c:pt idx="3">
                  <c:v>37712</c:v>
                </c:pt>
                <c:pt idx="4">
                  <c:v>37742</c:v>
                </c:pt>
                <c:pt idx="5">
                  <c:v>37773</c:v>
                </c:pt>
                <c:pt idx="6">
                  <c:v>37803</c:v>
                </c:pt>
                <c:pt idx="7">
                  <c:v>37834</c:v>
                </c:pt>
                <c:pt idx="8">
                  <c:v>37865</c:v>
                </c:pt>
                <c:pt idx="9">
                  <c:v>37895</c:v>
                </c:pt>
                <c:pt idx="10">
                  <c:v>37926</c:v>
                </c:pt>
                <c:pt idx="11">
                  <c:v>37956</c:v>
                </c:pt>
                <c:pt idx="12">
                  <c:v>37987</c:v>
                </c:pt>
                <c:pt idx="13">
                  <c:v>38018</c:v>
                </c:pt>
                <c:pt idx="14">
                  <c:v>38047</c:v>
                </c:pt>
                <c:pt idx="15">
                  <c:v>38078</c:v>
                </c:pt>
                <c:pt idx="16">
                  <c:v>38108</c:v>
                </c:pt>
                <c:pt idx="17">
                  <c:v>38139</c:v>
                </c:pt>
                <c:pt idx="18">
                  <c:v>38169</c:v>
                </c:pt>
                <c:pt idx="19">
                  <c:v>38200</c:v>
                </c:pt>
                <c:pt idx="20">
                  <c:v>38231</c:v>
                </c:pt>
                <c:pt idx="21">
                  <c:v>38261</c:v>
                </c:pt>
                <c:pt idx="22">
                  <c:v>38292</c:v>
                </c:pt>
                <c:pt idx="23">
                  <c:v>38322</c:v>
                </c:pt>
                <c:pt idx="24">
                  <c:v>38353</c:v>
                </c:pt>
                <c:pt idx="25">
                  <c:v>38384</c:v>
                </c:pt>
                <c:pt idx="26">
                  <c:v>38412</c:v>
                </c:pt>
                <c:pt idx="27">
                  <c:v>38443</c:v>
                </c:pt>
                <c:pt idx="28">
                  <c:v>38473</c:v>
                </c:pt>
                <c:pt idx="29">
                  <c:v>38504</c:v>
                </c:pt>
                <c:pt idx="30">
                  <c:v>38534</c:v>
                </c:pt>
                <c:pt idx="31">
                  <c:v>38565</c:v>
                </c:pt>
                <c:pt idx="32">
                  <c:v>38596</c:v>
                </c:pt>
                <c:pt idx="33">
                  <c:v>38626</c:v>
                </c:pt>
                <c:pt idx="34">
                  <c:v>38657</c:v>
                </c:pt>
                <c:pt idx="35">
                  <c:v>38687</c:v>
                </c:pt>
                <c:pt idx="36">
                  <c:v>38718</c:v>
                </c:pt>
                <c:pt idx="37">
                  <c:v>38749</c:v>
                </c:pt>
                <c:pt idx="38">
                  <c:v>38777</c:v>
                </c:pt>
                <c:pt idx="39">
                  <c:v>38808</c:v>
                </c:pt>
                <c:pt idx="40">
                  <c:v>38838</c:v>
                </c:pt>
                <c:pt idx="41">
                  <c:v>38869</c:v>
                </c:pt>
                <c:pt idx="42">
                  <c:v>38899</c:v>
                </c:pt>
                <c:pt idx="43">
                  <c:v>38930</c:v>
                </c:pt>
                <c:pt idx="44">
                  <c:v>38961</c:v>
                </c:pt>
                <c:pt idx="45">
                  <c:v>38991</c:v>
                </c:pt>
                <c:pt idx="46">
                  <c:v>39022</c:v>
                </c:pt>
                <c:pt idx="47">
                  <c:v>39052</c:v>
                </c:pt>
                <c:pt idx="48">
                  <c:v>39083</c:v>
                </c:pt>
                <c:pt idx="49">
                  <c:v>39114</c:v>
                </c:pt>
                <c:pt idx="50">
                  <c:v>39142</c:v>
                </c:pt>
                <c:pt idx="51">
                  <c:v>39173</c:v>
                </c:pt>
                <c:pt idx="52">
                  <c:v>39203</c:v>
                </c:pt>
                <c:pt idx="53">
                  <c:v>39234</c:v>
                </c:pt>
                <c:pt idx="54">
                  <c:v>39264</c:v>
                </c:pt>
                <c:pt idx="55">
                  <c:v>39295</c:v>
                </c:pt>
                <c:pt idx="56">
                  <c:v>39326</c:v>
                </c:pt>
                <c:pt idx="57">
                  <c:v>39356</c:v>
                </c:pt>
                <c:pt idx="58">
                  <c:v>39387</c:v>
                </c:pt>
                <c:pt idx="59">
                  <c:v>39417</c:v>
                </c:pt>
                <c:pt idx="60">
                  <c:v>39448</c:v>
                </c:pt>
                <c:pt idx="61">
                  <c:v>39479</c:v>
                </c:pt>
                <c:pt idx="62">
                  <c:v>39508</c:v>
                </c:pt>
                <c:pt idx="63">
                  <c:v>39539</c:v>
                </c:pt>
                <c:pt idx="64">
                  <c:v>39569</c:v>
                </c:pt>
                <c:pt idx="65">
                  <c:v>39600</c:v>
                </c:pt>
                <c:pt idx="66">
                  <c:v>39630</c:v>
                </c:pt>
                <c:pt idx="67">
                  <c:v>39661</c:v>
                </c:pt>
                <c:pt idx="68">
                  <c:v>39692</c:v>
                </c:pt>
                <c:pt idx="69">
                  <c:v>39722</c:v>
                </c:pt>
                <c:pt idx="70">
                  <c:v>39753</c:v>
                </c:pt>
                <c:pt idx="71">
                  <c:v>39783</c:v>
                </c:pt>
                <c:pt idx="72">
                  <c:v>39814</c:v>
                </c:pt>
                <c:pt idx="73">
                  <c:v>39845</c:v>
                </c:pt>
                <c:pt idx="74">
                  <c:v>39873</c:v>
                </c:pt>
                <c:pt idx="75">
                  <c:v>39904</c:v>
                </c:pt>
                <c:pt idx="76">
                  <c:v>39934</c:v>
                </c:pt>
                <c:pt idx="77">
                  <c:v>39965</c:v>
                </c:pt>
                <c:pt idx="78">
                  <c:v>39995</c:v>
                </c:pt>
                <c:pt idx="79">
                  <c:v>40026</c:v>
                </c:pt>
                <c:pt idx="80">
                  <c:v>40057</c:v>
                </c:pt>
                <c:pt idx="81">
                  <c:v>40087</c:v>
                </c:pt>
                <c:pt idx="82">
                  <c:v>40118</c:v>
                </c:pt>
                <c:pt idx="83">
                  <c:v>40148</c:v>
                </c:pt>
                <c:pt idx="84">
                  <c:v>40179</c:v>
                </c:pt>
                <c:pt idx="85">
                  <c:v>40210</c:v>
                </c:pt>
                <c:pt idx="86">
                  <c:v>40238</c:v>
                </c:pt>
                <c:pt idx="87">
                  <c:v>40269</c:v>
                </c:pt>
                <c:pt idx="88">
                  <c:v>40299</c:v>
                </c:pt>
                <c:pt idx="89">
                  <c:v>40330</c:v>
                </c:pt>
                <c:pt idx="90">
                  <c:v>40360</c:v>
                </c:pt>
                <c:pt idx="91">
                  <c:v>40391</c:v>
                </c:pt>
                <c:pt idx="92">
                  <c:v>40422</c:v>
                </c:pt>
                <c:pt idx="93">
                  <c:v>40452</c:v>
                </c:pt>
                <c:pt idx="94">
                  <c:v>40483</c:v>
                </c:pt>
                <c:pt idx="95">
                  <c:v>40513</c:v>
                </c:pt>
                <c:pt idx="96">
                  <c:v>40544</c:v>
                </c:pt>
                <c:pt idx="97">
                  <c:v>40575</c:v>
                </c:pt>
                <c:pt idx="98">
                  <c:v>40603</c:v>
                </c:pt>
                <c:pt idx="99">
                  <c:v>40634</c:v>
                </c:pt>
                <c:pt idx="100">
                  <c:v>40664</c:v>
                </c:pt>
                <c:pt idx="101">
                  <c:v>40695</c:v>
                </c:pt>
                <c:pt idx="102">
                  <c:v>40725</c:v>
                </c:pt>
                <c:pt idx="103">
                  <c:v>40756</c:v>
                </c:pt>
                <c:pt idx="104">
                  <c:v>40787</c:v>
                </c:pt>
                <c:pt idx="105">
                  <c:v>40817</c:v>
                </c:pt>
                <c:pt idx="106">
                  <c:v>40848</c:v>
                </c:pt>
                <c:pt idx="107">
                  <c:v>40878</c:v>
                </c:pt>
                <c:pt idx="108">
                  <c:v>40909</c:v>
                </c:pt>
                <c:pt idx="109">
                  <c:v>40940</c:v>
                </c:pt>
                <c:pt idx="110">
                  <c:v>40969</c:v>
                </c:pt>
                <c:pt idx="111">
                  <c:v>41000</c:v>
                </c:pt>
                <c:pt idx="112">
                  <c:v>41030</c:v>
                </c:pt>
                <c:pt idx="113">
                  <c:v>41061</c:v>
                </c:pt>
                <c:pt idx="114">
                  <c:v>41091</c:v>
                </c:pt>
                <c:pt idx="115">
                  <c:v>41122</c:v>
                </c:pt>
                <c:pt idx="116">
                  <c:v>41153</c:v>
                </c:pt>
                <c:pt idx="117">
                  <c:v>41183</c:v>
                </c:pt>
                <c:pt idx="118">
                  <c:v>41214</c:v>
                </c:pt>
                <c:pt idx="119">
                  <c:v>41244</c:v>
                </c:pt>
                <c:pt idx="120">
                  <c:v>41275</c:v>
                </c:pt>
                <c:pt idx="121">
                  <c:v>41306</c:v>
                </c:pt>
                <c:pt idx="122">
                  <c:v>41334</c:v>
                </c:pt>
                <c:pt idx="123">
                  <c:v>41365</c:v>
                </c:pt>
                <c:pt idx="124">
                  <c:v>41395</c:v>
                </c:pt>
                <c:pt idx="125">
                  <c:v>41426</c:v>
                </c:pt>
                <c:pt idx="126">
                  <c:v>41456</c:v>
                </c:pt>
                <c:pt idx="127">
                  <c:v>41487</c:v>
                </c:pt>
                <c:pt idx="128">
                  <c:v>41518</c:v>
                </c:pt>
                <c:pt idx="129">
                  <c:v>41548</c:v>
                </c:pt>
                <c:pt idx="130">
                  <c:v>41579</c:v>
                </c:pt>
                <c:pt idx="131">
                  <c:v>41609</c:v>
                </c:pt>
                <c:pt idx="132">
                  <c:v>41640</c:v>
                </c:pt>
                <c:pt idx="133">
                  <c:v>41671</c:v>
                </c:pt>
                <c:pt idx="134">
                  <c:v>41699</c:v>
                </c:pt>
                <c:pt idx="135">
                  <c:v>41730</c:v>
                </c:pt>
                <c:pt idx="136">
                  <c:v>41760</c:v>
                </c:pt>
                <c:pt idx="137">
                  <c:v>41791</c:v>
                </c:pt>
                <c:pt idx="138">
                  <c:v>41821</c:v>
                </c:pt>
                <c:pt idx="139">
                  <c:v>41852</c:v>
                </c:pt>
                <c:pt idx="140">
                  <c:v>41883</c:v>
                </c:pt>
                <c:pt idx="141">
                  <c:v>41913</c:v>
                </c:pt>
                <c:pt idx="142">
                  <c:v>41944</c:v>
                </c:pt>
                <c:pt idx="143">
                  <c:v>41974</c:v>
                </c:pt>
                <c:pt idx="144">
                  <c:v>42005</c:v>
                </c:pt>
                <c:pt idx="145">
                  <c:v>42036</c:v>
                </c:pt>
                <c:pt idx="146">
                  <c:v>42064</c:v>
                </c:pt>
                <c:pt idx="147">
                  <c:v>42095</c:v>
                </c:pt>
                <c:pt idx="148">
                  <c:v>42125</c:v>
                </c:pt>
                <c:pt idx="149">
                  <c:v>42156</c:v>
                </c:pt>
                <c:pt idx="150">
                  <c:v>42186</c:v>
                </c:pt>
                <c:pt idx="151">
                  <c:v>42217</c:v>
                </c:pt>
                <c:pt idx="152">
                  <c:v>42248</c:v>
                </c:pt>
                <c:pt idx="153">
                  <c:v>42278</c:v>
                </c:pt>
                <c:pt idx="154">
                  <c:v>42309</c:v>
                </c:pt>
                <c:pt idx="155">
                  <c:v>42339</c:v>
                </c:pt>
                <c:pt idx="156">
                  <c:v>42370</c:v>
                </c:pt>
                <c:pt idx="157">
                  <c:v>42401</c:v>
                </c:pt>
                <c:pt idx="158">
                  <c:v>42430</c:v>
                </c:pt>
                <c:pt idx="159">
                  <c:v>42461</c:v>
                </c:pt>
                <c:pt idx="160">
                  <c:v>42491</c:v>
                </c:pt>
                <c:pt idx="161">
                  <c:v>42522</c:v>
                </c:pt>
                <c:pt idx="162">
                  <c:v>42552</c:v>
                </c:pt>
                <c:pt idx="163">
                  <c:v>42583</c:v>
                </c:pt>
                <c:pt idx="164">
                  <c:v>42614</c:v>
                </c:pt>
                <c:pt idx="165">
                  <c:v>42644</c:v>
                </c:pt>
                <c:pt idx="166">
                  <c:v>42675</c:v>
                </c:pt>
                <c:pt idx="167">
                  <c:v>42705</c:v>
                </c:pt>
                <c:pt idx="168">
                  <c:v>42736</c:v>
                </c:pt>
                <c:pt idx="169">
                  <c:v>42767</c:v>
                </c:pt>
                <c:pt idx="170">
                  <c:v>42795</c:v>
                </c:pt>
                <c:pt idx="171">
                  <c:v>42826</c:v>
                </c:pt>
                <c:pt idx="172">
                  <c:v>42856</c:v>
                </c:pt>
                <c:pt idx="173">
                  <c:v>42887</c:v>
                </c:pt>
                <c:pt idx="174">
                  <c:v>42917</c:v>
                </c:pt>
                <c:pt idx="175">
                  <c:v>42948</c:v>
                </c:pt>
                <c:pt idx="176">
                  <c:v>42979</c:v>
                </c:pt>
                <c:pt idx="177">
                  <c:v>43009</c:v>
                </c:pt>
                <c:pt idx="178">
                  <c:v>43040</c:v>
                </c:pt>
                <c:pt idx="179">
                  <c:v>43070</c:v>
                </c:pt>
                <c:pt idx="180">
                  <c:v>43101</c:v>
                </c:pt>
                <c:pt idx="181">
                  <c:v>43132</c:v>
                </c:pt>
                <c:pt idx="182">
                  <c:v>43160</c:v>
                </c:pt>
                <c:pt idx="183">
                  <c:v>43191</c:v>
                </c:pt>
                <c:pt idx="184">
                  <c:v>43221</c:v>
                </c:pt>
                <c:pt idx="185">
                  <c:v>43252</c:v>
                </c:pt>
                <c:pt idx="186">
                  <c:v>43282</c:v>
                </c:pt>
                <c:pt idx="187">
                  <c:v>43313</c:v>
                </c:pt>
                <c:pt idx="188">
                  <c:v>43344</c:v>
                </c:pt>
                <c:pt idx="189">
                  <c:v>43374</c:v>
                </c:pt>
                <c:pt idx="190">
                  <c:v>43405</c:v>
                </c:pt>
                <c:pt idx="191">
                  <c:v>43435</c:v>
                </c:pt>
                <c:pt idx="192">
                  <c:v>43466</c:v>
                </c:pt>
                <c:pt idx="193">
                  <c:v>43497</c:v>
                </c:pt>
                <c:pt idx="194">
                  <c:v>43525</c:v>
                </c:pt>
                <c:pt idx="195">
                  <c:v>43556</c:v>
                </c:pt>
                <c:pt idx="196">
                  <c:v>43586</c:v>
                </c:pt>
                <c:pt idx="197">
                  <c:v>43617</c:v>
                </c:pt>
                <c:pt idx="198">
                  <c:v>43647</c:v>
                </c:pt>
                <c:pt idx="199">
                  <c:v>43678</c:v>
                </c:pt>
                <c:pt idx="200">
                  <c:v>43709</c:v>
                </c:pt>
                <c:pt idx="201">
                  <c:v>43739</c:v>
                </c:pt>
                <c:pt idx="202">
                  <c:v>43770</c:v>
                </c:pt>
                <c:pt idx="203">
                  <c:v>43800</c:v>
                </c:pt>
                <c:pt idx="204">
                  <c:v>43831</c:v>
                </c:pt>
                <c:pt idx="205">
                  <c:v>43862</c:v>
                </c:pt>
                <c:pt idx="206">
                  <c:v>43891</c:v>
                </c:pt>
                <c:pt idx="207">
                  <c:v>43922</c:v>
                </c:pt>
                <c:pt idx="208">
                  <c:v>43952</c:v>
                </c:pt>
                <c:pt idx="209">
                  <c:v>43983</c:v>
                </c:pt>
                <c:pt idx="210">
                  <c:v>44013</c:v>
                </c:pt>
                <c:pt idx="211">
                  <c:v>44044</c:v>
                </c:pt>
                <c:pt idx="212">
                  <c:v>44075</c:v>
                </c:pt>
                <c:pt idx="213">
                  <c:v>44105</c:v>
                </c:pt>
                <c:pt idx="214">
                  <c:v>44136</c:v>
                </c:pt>
                <c:pt idx="215">
                  <c:v>44166</c:v>
                </c:pt>
                <c:pt idx="216">
                  <c:v>44197</c:v>
                </c:pt>
              </c:numCache>
            </c:numRef>
          </c:cat>
          <c:val>
            <c:numRef>
              <c:f>'Step-by-Step'!$E$7:$E$223</c:f>
              <c:numCache>
                <c:formatCode>0.0</c:formatCode>
                <c:ptCount val="217"/>
                <c:pt idx="0">
                  <c:v>101.580051050555</c:v>
                </c:pt>
                <c:pt idx="1">
                  <c:v>104.319529580658</c:v>
                </c:pt>
                <c:pt idx="2">
                  <c:v>97.853067294410394</c:v>
                </c:pt>
                <c:pt idx="3">
                  <c:v>100.706855574748</c:v>
                </c:pt>
                <c:pt idx="4">
                  <c:v>100.201790870327</c:v>
                </c:pt>
                <c:pt idx="5">
                  <c:v>99.028018924873706</c:v>
                </c:pt>
                <c:pt idx="6">
                  <c:v>100.086923622285</c:v>
                </c:pt>
                <c:pt idx="7">
                  <c:v>97.9721154001694</c:v>
                </c:pt>
                <c:pt idx="8">
                  <c:v>102.554330970539</c:v>
                </c:pt>
                <c:pt idx="9">
                  <c:v>104.85673319103</c:v>
                </c:pt>
                <c:pt idx="10">
                  <c:v>102.13332963821701</c:v>
                </c:pt>
                <c:pt idx="11">
                  <c:v>102.104482335387</c:v>
                </c:pt>
                <c:pt idx="12">
                  <c:v>103.925477428923</c:v>
                </c:pt>
                <c:pt idx="13">
                  <c:v>105.185342785239</c:v>
                </c:pt>
                <c:pt idx="14">
                  <c:v>106.52893619227901</c:v>
                </c:pt>
                <c:pt idx="15">
                  <c:v>106.105588406495</c:v>
                </c:pt>
                <c:pt idx="16">
                  <c:v>105.77383733198</c:v>
                </c:pt>
                <c:pt idx="17">
                  <c:v>107.480549081782</c:v>
                </c:pt>
                <c:pt idx="18">
                  <c:v>108.390933089664</c:v>
                </c:pt>
                <c:pt idx="19">
                  <c:v>107.001064260376</c:v>
                </c:pt>
                <c:pt idx="20">
                  <c:v>109.009581020775</c:v>
                </c:pt>
                <c:pt idx="21">
                  <c:v>108.513997975777</c:v>
                </c:pt>
                <c:pt idx="22">
                  <c:v>109.705109738991</c:v>
                </c:pt>
                <c:pt idx="23">
                  <c:v>110.028019007935</c:v>
                </c:pt>
                <c:pt idx="24">
                  <c:v>108.78570376115501</c:v>
                </c:pt>
                <c:pt idx="25">
                  <c:v>109.860204120536</c:v>
                </c:pt>
                <c:pt idx="26">
                  <c:v>110.139084436574</c:v>
                </c:pt>
                <c:pt idx="27">
                  <c:v>111.449885996295</c:v>
                </c:pt>
                <c:pt idx="28">
                  <c:v>110.52891321011001</c:v>
                </c:pt>
                <c:pt idx="29">
                  <c:v>111.90244516947899</c:v>
                </c:pt>
                <c:pt idx="30">
                  <c:v>109.74799721238099</c:v>
                </c:pt>
                <c:pt idx="31">
                  <c:v>111.387152299261</c:v>
                </c:pt>
                <c:pt idx="32">
                  <c:v>110.865600429952</c:v>
                </c:pt>
                <c:pt idx="33">
                  <c:v>110.709597958562</c:v>
                </c:pt>
                <c:pt idx="34">
                  <c:v>111.72967676090801</c:v>
                </c:pt>
                <c:pt idx="35">
                  <c:v>113.788719939068</c:v>
                </c:pt>
                <c:pt idx="36">
                  <c:v>113.875256447547</c:v>
                </c:pt>
                <c:pt idx="37">
                  <c:v>113.87281448776599</c:v>
                </c:pt>
                <c:pt idx="38">
                  <c:v>114.036597353697</c:v>
                </c:pt>
                <c:pt idx="39">
                  <c:v>112.108090862507</c:v>
                </c:pt>
                <c:pt idx="40">
                  <c:v>116.796747873252</c:v>
                </c:pt>
                <c:pt idx="41">
                  <c:v>114.654906878166</c:v>
                </c:pt>
                <c:pt idx="42">
                  <c:v>115.621437624438</c:v>
                </c:pt>
                <c:pt idx="43">
                  <c:v>117.18786896311499</c:v>
                </c:pt>
                <c:pt idx="44">
                  <c:v>116.12521247811701</c:v>
                </c:pt>
                <c:pt idx="45">
                  <c:v>118.360590245404</c:v>
                </c:pt>
                <c:pt idx="46">
                  <c:v>118.695272473168</c:v>
                </c:pt>
                <c:pt idx="47">
                  <c:v>118.951419148398</c:v>
                </c:pt>
                <c:pt idx="48">
                  <c:v>120.290984053372</c:v>
                </c:pt>
                <c:pt idx="49">
                  <c:v>119.582878059956</c:v>
                </c:pt>
                <c:pt idx="50">
                  <c:v>120.253604345879</c:v>
                </c:pt>
                <c:pt idx="51">
                  <c:v>120.065921560097</c:v>
                </c:pt>
                <c:pt idx="52">
                  <c:v>123.533113479086</c:v>
                </c:pt>
                <c:pt idx="53">
                  <c:v>122.56827810880399</c:v>
                </c:pt>
                <c:pt idx="54">
                  <c:v>123.600977279475</c:v>
                </c:pt>
                <c:pt idx="55">
                  <c:v>125.1614444618</c:v>
                </c:pt>
                <c:pt idx="56">
                  <c:v>122.995419928052</c:v>
                </c:pt>
                <c:pt idx="57">
                  <c:v>127.865383687858</c:v>
                </c:pt>
                <c:pt idx="58">
                  <c:v>125.89888578852</c:v>
                </c:pt>
                <c:pt idx="59">
                  <c:v>125.210475109507</c:v>
                </c:pt>
                <c:pt idx="60">
                  <c:v>127.71693097823599</c:v>
                </c:pt>
                <c:pt idx="61">
                  <c:v>128.21436632171</c:v>
                </c:pt>
                <c:pt idx="62">
                  <c:v>124.34544382939001</c:v>
                </c:pt>
                <c:pt idx="63">
                  <c:v>129.532494192325</c:v>
                </c:pt>
                <c:pt idx="64">
                  <c:v>128.45569858272199</c:v>
                </c:pt>
                <c:pt idx="65">
                  <c:v>130.75225993833499</c:v>
                </c:pt>
                <c:pt idx="66">
                  <c:v>132.028401506184</c:v>
                </c:pt>
                <c:pt idx="67">
                  <c:v>129.83765664175601</c:v>
                </c:pt>
                <c:pt idx="68">
                  <c:v>132.08159474467101</c:v>
                </c:pt>
                <c:pt idx="69">
                  <c:v>131.296425771625</c:v>
                </c:pt>
                <c:pt idx="70">
                  <c:v>124.62919867740101</c:v>
                </c:pt>
                <c:pt idx="71">
                  <c:v>121.80493666242999</c:v>
                </c:pt>
                <c:pt idx="72">
                  <c:v>121.536611195654</c:v>
                </c:pt>
                <c:pt idx="73">
                  <c:v>121.456594681585</c:v>
                </c:pt>
                <c:pt idx="74">
                  <c:v>123.25572625188801</c:v>
                </c:pt>
                <c:pt idx="75">
                  <c:v>123.35583515712599</c:v>
                </c:pt>
                <c:pt idx="76">
                  <c:v>123.880509476556</c:v>
                </c:pt>
                <c:pt idx="77">
                  <c:v>125.808263814011</c:v>
                </c:pt>
                <c:pt idx="78">
                  <c:v>126.82173594654699</c:v>
                </c:pt>
                <c:pt idx="79">
                  <c:v>126.53357491684601</c:v>
                </c:pt>
                <c:pt idx="80">
                  <c:v>129.00966216130399</c:v>
                </c:pt>
                <c:pt idx="81">
                  <c:v>130.84946981733199</c:v>
                </c:pt>
                <c:pt idx="82">
                  <c:v>129.62084374235599</c:v>
                </c:pt>
                <c:pt idx="83">
                  <c:v>132.21465278134201</c:v>
                </c:pt>
                <c:pt idx="84">
                  <c:v>132.53786285006899</c:v>
                </c:pt>
                <c:pt idx="85">
                  <c:v>133.68718059266999</c:v>
                </c:pt>
                <c:pt idx="86">
                  <c:v>139.02730102816301</c:v>
                </c:pt>
                <c:pt idx="87">
                  <c:v>137.307205852821</c:v>
                </c:pt>
                <c:pt idx="88">
                  <c:v>135.80911230436399</c:v>
                </c:pt>
                <c:pt idx="89">
                  <c:v>136.37709917866201</c:v>
                </c:pt>
                <c:pt idx="90">
                  <c:v>137.12266759990399</c:v>
                </c:pt>
                <c:pt idx="91">
                  <c:v>137.15874886953699</c:v>
                </c:pt>
                <c:pt idx="92">
                  <c:v>138.63009651847599</c:v>
                </c:pt>
                <c:pt idx="93">
                  <c:v>137.493368983403</c:v>
                </c:pt>
                <c:pt idx="94">
                  <c:v>139.74245977051001</c:v>
                </c:pt>
                <c:pt idx="95">
                  <c:v>139.62661137812901</c:v>
                </c:pt>
                <c:pt idx="96">
                  <c:v>139.51252484457601</c:v>
                </c:pt>
                <c:pt idx="97">
                  <c:v>142.07360459191599</c:v>
                </c:pt>
                <c:pt idx="98">
                  <c:v>140.71644577897399</c:v>
                </c:pt>
                <c:pt idx="99">
                  <c:v>140.33366494212601</c:v>
                </c:pt>
                <c:pt idx="100">
                  <c:v>142.36696708922599</c:v>
                </c:pt>
                <c:pt idx="101">
                  <c:v>142.32356720527801</c:v>
                </c:pt>
                <c:pt idx="102">
                  <c:v>140.882175394689</c:v>
                </c:pt>
                <c:pt idx="103">
                  <c:v>143.06750535047499</c:v>
                </c:pt>
                <c:pt idx="104">
                  <c:v>141.51838604845699</c:v>
                </c:pt>
                <c:pt idx="105">
                  <c:v>139.882812382369</c:v>
                </c:pt>
                <c:pt idx="106">
                  <c:v>142.00863711969799</c:v>
                </c:pt>
                <c:pt idx="107">
                  <c:v>141.98778901533501</c:v>
                </c:pt>
                <c:pt idx="108">
                  <c:v>140.016655845027</c:v>
                </c:pt>
                <c:pt idx="109">
                  <c:v>141.16189283976499</c:v>
                </c:pt>
                <c:pt idx="110">
                  <c:v>142.277378721768</c:v>
                </c:pt>
                <c:pt idx="111">
                  <c:v>140.28314439819999</c:v>
                </c:pt>
                <c:pt idx="112">
                  <c:v>143.634748871477</c:v>
                </c:pt>
                <c:pt idx="113">
                  <c:v>143.15667780661801</c:v>
                </c:pt>
                <c:pt idx="114">
                  <c:v>143.35087310817201</c:v>
                </c:pt>
                <c:pt idx="115">
                  <c:v>145.57563049500499</c:v>
                </c:pt>
                <c:pt idx="116">
                  <c:v>140.996235465165</c:v>
                </c:pt>
                <c:pt idx="117">
                  <c:v>145.259790088747</c:v>
                </c:pt>
                <c:pt idx="118">
                  <c:v>144.43349227231701</c:v>
                </c:pt>
                <c:pt idx="119">
                  <c:v>141.88586108294601</c:v>
                </c:pt>
                <c:pt idx="120">
                  <c:v>145.83248574086801</c:v>
                </c:pt>
                <c:pt idx="121">
                  <c:v>141.86059571541099</c:v>
                </c:pt>
                <c:pt idx="122">
                  <c:v>143.90053092680199</c:v>
                </c:pt>
                <c:pt idx="123">
                  <c:v>150.04860864488001</c:v>
                </c:pt>
                <c:pt idx="124">
                  <c:v>146.356906430962</c:v>
                </c:pt>
                <c:pt idx="125">
                  <c:v>145.86704206864599</c:v>
                </c:pt>
                <c:pt idx="126">
                  <c:v>148.24242961152399</c:v>
                </c:pt>
                <c:pt idx="127">
                  <c:v>147.80257083264999</c:v>
                </c:pt>
                <c:pt idx="128">
                  <c:v>146.761905349475</c:v>
                </c:pt>
                <c:pt idx="129">
                  <c:v>149.23599464868201</c:v>
                </c:pt>
                <c:pt idx="130">
                  <c:v>148.31299279361201</c:v>
                </c:pt>
                <c:pt idx="131">
                  <c:v>147.67884150179901</c:v>
                </c:pt>
                <c:pt idx="132">
                  <c:v>149.01469235682001</c:v>
                </c:pt>
                <c:pt idx="133">
                  <c:v>149.284161382348</c:v>
                </c:pt>
                <c:pt idx="134">
                  <c:v>144.67238921511</c:v>
                </c:pt>
                <c:pt idx="135">
                  <c:v>147.667552538612</c:v>
                </c:pt>
                <c:pt idx="136">
                  <c:v>146.83309790244201</c:v>
                </c:pt>
                <c:pt idx="137">
                  <c:v>141.85377056767899</c:v>
                </c:pt>
                <c:pt idx="138">
                  <c:v>146.14392767303499</c:v>
                </c:pt>
                <c:pt idx="139">
                  <c:v>144.59045139667501</c:v>
                </c:pt>
                <c:pt idx="140">
                  <c:v>147.80928972580699</c:v>
                </c:pt>
                <c:pt idx="141">
                  <c:v>147.05597812288801</c:v>
                </c:pt>
                <c:pt idx="142">
                  <c:v>145.72766513649901</c:v>
                </c:pt>
                <c:pt idx="143">
                  <c:v>146.85196659028099</c:v>
                </c:pt>
                <c:pt idx="144">
                  <c:v>145.09568427976001</c:v>
                </c:pt>
                <c:pt idx="145">
                  <c:v>142.450646347082</c:v>
                </c:pt>
                <c:pt idx="146">
                  <c:v>145.11443619899501</c:v>
                </c:pt>
                <c:pt idx="147">
                  <c:v>142.03587662981801</c:v>
                </c:pt>
                <c:pt idx="148">
                  <c:v>140.017248018873</c:v>
                </c:pt>
                <c:pt idx="149">
                  <c:v>139.60634906279401</c:v>
                </c:pt>
                <c:pt idx="150">
                  <c:v>139.90714734514901</c:v>
                </c:pt>
                <c:pt idx="151">
                  <c:v>137.43343900206099</c:v>
                </c:pt>
                <c:pt idx="152">
                  <c:v>138.21338607301999</c:v>
                </c:pt>
                <c:pt idx="153">
                  <c:v>137.84864404908899</c:v>
                </c:pt>
                <c:pt idx="154">
                  <c:v>137.0307529147</c:v>
                </c:pt>
                <c:pt idx="155">
                  <c:v>137.43953269774701</c:v>
                </c:pt>
                <c:pt idx="156">
                  <c:v>134.345810773621</c:v>
                </c:pt>
                <c:pt idx="157">
                  <c:v>136.66159184313599</c:v>
                </c:pt>
                <c:pt idx="158">
                  <c:v>135.62286844749099</c:v>
                </c:pt>
                <c:pt idx="159">
                  <c:v>135.34129878753501</c:v>
                </c:pt>
                <c:pt idx="160">
                  <c:v>133.97375779208801</c:v>
                </c:pt>
                <c:pt idx="161">
                  <c:v>136.407454379413</c:v>
                </c:pt>
                <c:pt idx="162">
                  <c:v>133.506258891892</c:v>
                </c:pt>
                <c:pt idx="163">
                  <c:v>134.73785563993101</c:v>
                </c:pt>
                <c:pt idx="164">
                  <c:v>134.352881866518</c:v>
                </c:pt>
                <c:pt idx="165">
                  <c:v>130.75524111718599</c:v>
                </c:pt>
                <c:pt idx="166">
                  <c:v>133.45915436229899</c:v>
                </c:pt>
                <c:pt idx="167">
                  <c:v>134.25121803345101</c:v>
                </c:pt>
                <c:pt idx="168">
                  <c:v>134.286042768242</c:v>
                </c:pt>
                <c:pt idx="169">
                  <c:v>135.048294958154</c:v>
                </c:pt>
                <c:pt idx="170">
                  <c:v>137.025500966864</c:v>
                </c:pt>
                <c:pt idx="171">
                  <c:v>132.92331516343401</c:v>
                </c:pt>
                <c:pt idx="172">
                  <c:v>136.23315922408199</c:v>
                </c:pt>
                <c:pt idx="173">
                  <c:v>136.247580610244</c:v>
                </c:pt>
                <c:pt idx="174">
                  <c:v>135.31819563712301</c:v>
                </c:pt>
                <c:pt idx="175">
                  <c:v>136.607598876042</c:v>
                </c:pt>
                <c:pt idx="176">
                  <c:v>135.579933689657</c:v>
                </c:pt>
                <c:pt idx="177">
                  <c:v>133.90955016321601</c:v>
                </c:pt>
                <c:pt idx="178">
                  <c:v>135.784654696811</c:v>
                </c:pt>
                <c:pt idx="179">
                  <c:v>136.45707925284199</c:v>
                </c:pt>
                <c:pt idx="180">
                  <c:v>137.464674645879</c:v>
                </c:pt>
                <c:pt idx="181">
                  <c:v>135.04980702994399</c:v>
                </c:pt>
                <c:pt idx="182">
                  <c:v>136.68610306711099</c:v>
                </c:pt>
                <c:pt idx="183">
                  <c:v>138.380741865619</c:v>
                </c:pt>
                <c:pt idx="184">
                  <c:v>132.39223228997</c:v>
                </c:pt>
                <c:pt idx="185">
                  <c:v>138.869014535806</c:v>
                </c:pt>
                <c:pt idx="186">
                  <c:v>137.974527797489</c:v>
                </c:pt>
                <c:pt idx="187">
                  <c:v>139.897280049915</c:v>
                </c:pt>
                <c:pt idx="188">
                  <c:v>136.63778574257901</c:v>
                </c:pt>
                <c:pt idx="189">
                  <c:v>137.55942386026399</c:v>
                </c:pt>
                <c:pt idx="190">
                  <c:v>137.91711003262299</c:v>
                </c:pt>
                <c:pt idx="191">
                  <c:v>136.809931034843</c:v>
                </c:pt>
                <c:pt idx="192">
                  <c:v>138.674515127983</c:v>
                </c:pt>
                <c:pt idx="193">
                  <c:v>138.60278938679701</c:v>
                </c:pt>
                <c:pt idx="194">
                  <c:v>134.29326406798401</c:v>
                </c:pt>
                <c:pt idx="195">
                  <c:v>139.079728718929</c:v>
                </c:pt>
                <c:pt idx="196">
                  <c:v>139.246185847654</c:v>
                </c:pt>
                <c:pt idx="197">
                  <c:v>137.40376688655101</c:v>
                </c:pt>
                <c:pt idx="198">
                  <c:v>139.95851600950999</c:v>
                </c:pt>
                <c:pt idx="199">
                  <c:v>138.55130785240499</c:v>
                </c:pt>
                <c:pt idx="200">
                  <c:v>139.06416143045999</c:v>
                </c:pt>
                <c:pt idx="201">
                  <c:v>140.260034751587</c:v>
                </c:pt>
                <c:pt idx="202">
                  <c:v>138.75274198401999</c:v>
                </c:pt>
                <c:pt idx="203">
                  <c:v>137.86068374741001</c:v>
                </c:pt>
                <c:pt idx="204">
                  <c:v>138.79627857836601</c:v>
                </c:pt>
                <c:pt idx="205">
                  <c:v>139.217176357959</c:v>
                </c:pt>
                <c:pt idx="206">
                  <c:v>132.18363556896901</c:v>
                </c:pt>
                <c:pt idx="207">
                  <c:v>119.081015887088</c:v>
                </c:pt>
                <c:pt idx="208">
                  <c:v>119.703570533285</c:v>
                </c:pt>
                <c:pt idx="209">
                  <c:v>129.12793860755599</c:v>
                </c:pt>
                <c:pt idx="210">
                  <c:v>132.80399817287699</c:v>
                </c:pt>
                <c:pt idx="211">
                  <c:v>132.57068373862899</c:v>
                </c:pt>
                <c:pt idx="212">
                  <c:v>137.755912417459</c:v>
                </c:pt>
                <c:pt idx="213">
                  <c:v>136.79260250683501</c:v>
                </c:pt>
                <c:pt idx="214">
                  <c:v>137.716720358054</c:v>
                </c:pt>
                <c:pt idx="215">
                  <c:v>139.70800760210901</c:v>
                </c:pt>
                <c:pt idx="216">
                  <c:v>137.380660207001</c:v>
                </c:pt>
              </c:numCache>
            </c:numRef>
          </c:val>
          <c:smooth val="0"/>
          <c:extLst>
            <c:ext xmlns:c16="http://schemas.microsoft.com/office/drawing/2014/chart" uri="{C3380CC4-5D6E-409C-BE32-E72D297353CC}">
              <c16:uniqueId val="{00000001-F0FC-41E6-B9AE-2B8BB602A29A}"/>
            </c:ext>
          </c:extLst>
        </c:ser>
        <c:dLbls>
          <c:showLegendKey val="0"/>
          <c:showVal val="0"/>
          <c:showCatName val="0"/>
          <c:showSerName val="0"/>
          <c:showPercent val="0"/>
          <c:showBubbleSize val="0"/>
        </c:dLbls>
        <c:smooth val="0"/>
        <c:axId val="1787836336"/>
        <c:axId val="1787850896"/>
      </c:lineChart>
      <c:dateAx>
        <c:axId val="1787836336"/>
        <c:scaling>
          <c:orientation val="minMax"/>
        </c:scaling>
        <c:delete val="0"/>
        <c:axPos val="b"/>
        <c:numFmt formatCode="mmm\-yy"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1787850896"/>
        <c:crosses val="autoZero"/>
        <c:auto val="1"/>
        <c:lblOffset val="100"/>
        <c:baseTimeUnit val="months"/>
      </c:dateAx>
      <c:valAx>
        <c:axId val="1787850896"/>
        <c:scaling>
          <c:orientation val="minMax"/>
          <c:min val="80"/>
        </c:scaling>
        <c:delete val="0"/>
        <c:axPos val="l"/>
        <c:majorGridlines>
          <c:spPr>
            <a:ln w="9525" cap="flat" cmpd="sng" algn="ctr">
              <a:solidFill>
                <a:schemeClr val="tx1">
                  <a:lumMod val="15000"/>
                  <a:lumOff val="85000"/>
                </a:schemeClr>
              </a:solidFill>
              <a:round/>
            </a:ln>
            <a:effectLst/>
          </c:spPr>
        </c:majorGridlines>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178783633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pt-BR"/>
              <a:t>Difference of</a:t>
            </a:r>
            <a:r>
              <a:rPr lang="pt-BR" baseline="0"/>
              <a:t> SAs</a:t>
            </a:r>
            <a:endParaRPr lang="pt-B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pt-BR"/>
        </a:p>
      </c:txPr>
    </c:title>
    <c:autoTitleDeleted val="0"/>
    <c:plotArea>
      <c:layout/>
      <c:lineChart>
        <c:grouping val="standard"/>
        <c:varyColors val="0"/>
        <c:ser>
          <c:idx val="0"/>
          <c:order val="0"/>
          <c:tx>
            <c:strRef>
              <c:f>'Step-by-Step'!$J$6</c:f>
              <c:strCache>
                <c:ptCount val="1"/>
                <c:pt idx="0">
                  <c:v>X13</c:v>
                </c:pt>
              </c:strCache>
            </c:strRef>
          </c:tx>
          <c:spPr>
            <a:ln w="28575" cap="rnd">
              <a:solidFill>
                <a:schemeClr val="accent1"/>
              </a:solidFill>
              <a:round/>
            </a:ln>
            <a:effectLst/>
          </c:spPr>
          <c:marker>
            <c:symbol val="none"/>
          </c:marker>
          <c:cat>
            <c:numRef>
              <c:f>'Step-by-Step'!$A$7:$A$226</c:f>
              <c:numCache>
                <c:formatCode>mmm\-yy</c:formatCode>
                <c:ptCount val="220"/>
                <c:pt idx="0">
                  <c:v>37622</c:v>
                </c:pt>
                <c:pt idx="1">
                  <c:v>37653</c:v>
                </c:pt>
                <c:pt idx="2">
                  <c:v>37681</c:v>
                </c:pt>
                <c:pt idx="3">
                  <c:v>37712</c:v>
                </c:pt>
                <c:pt idx="4">
                  <c:v>37742</c:v>
                </c:pt>
                <c:pt idx="5">
                  <c:v>37773</c:v>
                </c:pt>
                <c:pt idx="6">
                  <c:v>37803</c:v>
                </c:pt>
                <c:pt idx="7">
                  <c:v>37834</c:v>
                </c:pt>
                <c:pt idx="8">
                  <c:v>37865</c:v>
                </c:pt>
                <c:pt idx="9">
                  <c:v>37895</c:v>
                </c:pt>
                <c:pt idx="10">
                  <c:v>37926</c:v>
                </c:pt>
                <c:pt idx="11">
                  <c:v>37956</c:v>
                </c:pt>
                <c:pt idx="12">
                  <c:v>37987</c:v>
                </c:pt>
                <c:pt idx="13">
                  <c:v>38018</c:v>
                </c:pt>
                <c:pt idx="14">
                  <c:v>38047</c:v>
                </c:pt>
                <c:pt idx="15">
                  <c:v>38078</c:v>
                </c:pt>
                <c:pt idx="16">
                  <c:v>38108</c:v>
                </c:pt>
                <c:pt idx="17">
                  <c:v>38139</c:v>
                </c:pt>
                <c:pt idx="18">
                  <c:v>38169</c:v>
                </c:pt>
                <c:pt idx="19">
                  <c:v>38200</c:v>
                </c:pt>
                <c:pt idx="20">
                  <c:v>38231</c:v>
                </c:pt>
                <c:pt idx="21">
                  <c:v>38261</c:v>
                </c:pt>
                <c:pt idx="22">
                  <c:v>38292</c:v>
                </c:pt>
                <c:pt idx="23">
                  <c:v>38322</c:v>
                </c:pt>
                <c:pt idx="24">
                  <c:v>38353</c:v>
                </c:pt>
                <c:pt idx="25">
                  <c:v>38384</c:v>
                </c:pt>
                <c:pt idx="26">
                  <c:v>38412</c:v>
                </c:pt>
                <c:pt idx="27">
                  <c:v>38443</c:v>
                </c:pt>
                <c:pt idx="28">
                  <c:v>38473</c:v>
                </c:pt>
                <c:pt idx="29">
                  <c:v>38504</c:v>
                </c:pt>
                <c:pt idx="30">
                  <c:v>38534</c:v>
                </c:pt>
                <c:pt idx="31">
                  <c:v>38565</c:v>
                </c:pt>
                <c:pt idx="32">
                  <c:v>38596</c:v>
                </c:pt>
                <c:pt idx="33">
                  <c:v>38626</c:v>
                </c:pt>
                <c:pt idx="34">
                  <c:v>38657</c:v>
                </c:pt>
                <c:pt idx="35">
                  <c:v>38687</c:v>
                </c:pt>
                <c:pt idx="36">
                  <c:v>38718</c:v>
                </c:pt>
                <c:pt idx="37">
                  <c:v>38749</c:v>
                </c:pt>
                <c:pt idx="38">
                  <c:v>38777</c:v>
                </c:pt>
                <c:pt idx="39">
                  <c:v>38808</c:v>
                </c:pt>
                <c:pt idx="40">
                  <c:v>38838</c:v>
                </c:pt>
                <c:pt idx="41">
                  <c:v>38869</c:v>
                </c:pt>
                <c:pt idx="42">
                  <c:v>38899</c:v>
                </c:pt>
                <c:pt idx="43">
                  <c:v>38930</c:v>
                </c:pt>
                <c:pt idx="44">
                  <c:v>38961</c:v>
                </c:pt>
                <c:pt idx="45">
                  <c:v>38991</c:v>
                </c:pt>
                <c:pt idx="46">
                  <c:v>39022</c:v>
                </c:pt>
                <c:pt idx="47">
                  <c:v>39052</c:v>
                </c:pt>
                <c:pt idx="48">
                  <c:v>39083</c:v>
                </c:pt>
                <c:pt idx="49">
                  <c:v>39114</c:v>
                </c:pt>
                <c:pt idx="50">
                  <c:v>39142</c:v>
                </c:pt>
                <c:pt idx="51">
                  <c:v>39173</c:v>
                </c:pt>
                <c:pt idx="52">
                  <c:v>39203</c:v>
                </c:pt>
                <c:pt idx="53">
                  <c:v>39234</c:v>
                </c:pt>
                <c:pt idx="54">
                  <c:v>39264</c:v>
                </c:pt>
                <c:pt idx="55">
                  <c:v>39295</c:v>
                </c:pt>
                <c:pt idx="56">
                  <c:v>39326</c:v>
                </c:pt>
                <c:pt idx="57">
                  <c:v>39356</c:v>
                </c:pt>
                <c:pt idx="58">
                  <c:v>39387</c:v>
                </c:pt>
                <c:pt idx="59">
                  <c:v>39417</c:v>
                </c:pt>
                <c:pt idx="60">
                  <c:v>39448</c:v>
                </c:pt>
                <c:pt idx="61">
                  <c:v>39479</c:v>
                </c:pt>
                <c:pt idx="62">
                  <c:v>39508</c:v>
                </c:pt>
                <c:pt idx="63">
                  <c:v>39539</c:v>
                </c:pt>
                <c:pt idx="64">
                  <c:v>39569</c:v>
                </c:pt>
                <c:pt idx="65">
                  <c:v>39600</c:v>
                </c:pt>
                <c:pt idx="66">
                  <c:v>39630</c:v>
                </c:pt>
                <c:pt idx="67">
                  <c:v>39661</c:v>
                </c:pt>
                <c:pt idx="68">
                  <c:v>39692</c:v>
                </c:pt>
                <c:pt idx="69">
                  <c:v>39722</c:v>
                </c:pt>
                <c:pt idx="70">
                  <c:v>39753</c:v>
                </c:pt>
                <c:pt idx="71">
                  <c:v>39783</c:v>
                </c:pt>
                <c:pt idx="72">
                  <c:v>39814</c:v>
                </c:pt>
                <c:pt idx="73">
                  <c:v>39845</c:v>
                </c:pt>
                <c:pt idx="74">
                  <c:v>39873</c:v>
                </c:pt>
                <c:pt idx="75">
                  <c:v>39904</c:v>
                </c:pt>
                <c:pt idx="76">
                  <c:v>39934</c:v>
                </c:pt>
                <c:pt idx="77">
                  <c:v>39965</c:v>
                </c:pt>
                <c:pt idx="78">
                  <c:v>39995</c:v>
                </c:pt>
                <c:pt idx="79">
                  <c:v>40026</c:v>
                </c:pt>
                <c:pt idx="80">
                  <c:v>40057</c:v>
                </c:pt>
                <c:pt idx="81">
                  <c:v>40087</c:v>
                </c:pt>
                <c:pt idx="82">
                  <c:v>40118</c:v>
                </c:pt>
                <c:pt idx="83">
                  <c:v>40148</c:v>
                </c:pt>
                <c:pt idx="84">
                  <c:v>40179</c:v>
                </c:pt>
                <c:pt idx="85">
                  <c:v>40210</c:v>
                </c:pt>
                <c:pt idx="86">
                  <c:v>40238</c:v>
                </c:pt>
                <c:pt idx="87">
                  <c:v>40269</c:v>
                </c:pt>
                <c:pt idx="88">
                  <c:v>40299</c:v>
                </c:pt>
                <c:pt idx="89">
                  <c:v>40330</c:v>
                </c:pt>
                <c:pt idx="90">
                  <c:v>40360</c:v>
                </c:pt>
                <c:pt idx="91">
                  <c:v>40391</c:v>
                </c:pt>
                <c:pt idx="92">
                  <c:v>40422</c:v>
                </c:pt>
                <c:pt idx="93">
                  <c:v>40452</c:v>
                </c:pt>
                <c:pt idx="94">
                  <c:v>40483</c:v>
                </c:pt>
                <c:pt idx="95">
                  <c:v>40513</c:v>
                </c:pt>
                <c:pt idx="96">
                  <c:v>40544</c:v>
                </c:pt>
                <c:pt idx="97">
                  <c:v>40575</c:v>
                </c:pt>
                <c:pt idx="98">
                  <c:v>40603</c:v>
                </c:pt>
                <c:pt idx="99">
                  <c:v>40634</c:v>
                </c:pt>
                <c:pt idx="100">
                  <c:v>40664</c:v>
                </c:pt>
                <c:pt idx="101">
                  <c:v>40695</c:v>
                </c:pt>
                <c:pt idx="102">
                  <c:v>40725</c:v>
                </c:pt>
                <c:pt idx="103">
                  <c:v>40756</c:v>
                </c:pt>
                <c:pt idx="104">
                  <c:v>40787</c:v>
                </c:pt>
                <c:pt idx="105">
                  <c:v>40817</c:v>
                </c:pt>
                <c:pt idx="106">
                  <c:v>40848</c:v>
                </c:pt>
                <c:pt idx="107">
                  <c:v>40878</c:v>
                </c:pt>
                <c:pt idx="108">
                  <c:v>40909</c:v>
                </c:pt>
                <c:pt idx="109">
                  <c:v>40940</c:v>
                </c:pt>
                <c:pt idx="110">
                  <c:v>40969</c:v>
                </c:pt>
                <c:pt idx="111">
                  <c:v>41000</c:v>
                </c:pt>
                <c:pt idx="112">
                  <c:v>41030</c:v>
                </c:pt>
                <c:pt idx="113">
                  <c:v>41061</c:v>
                </c:pt>
                <c:pt idx="114">
                  <c:v>41091</c:v>
                </c:pt>
                <c:pt idx="115">
                  <c:v>41122</c:v>
                </c:pt>
                <c:pt idx="116">
                  <c:v>41153</c:v>
                </c:pt>
                <c:pt idx="117">
                  <c:v>41183</c:v>
                </c:pt>
                <c:pt idx="118">
                  <c:v>41214</c:v>
                </c:pt>
                <c:pt idx="119">
                  <c:v>41244</c:v>
                </c:pt>
                <c:pt idx="120">
                  <c:v>41275</c:v>
                </c:pt>
                <c:pt idx="121">
                  <c:v>41306</c:v>
                </c:pt>
                <c:pt idx="122">
                  <c:v>41334</c:v>
                </c:pt>
                <c:pt idx="123">
                  <c:v>41365</c:v>
                </c:pt>
                <c:pt idx="124">
                  <c:v>41395</c:v>
                </c:pt>
                <c:pt idx="125">
                  <c:v>41426</c:v>
                </c:pt>
                <c:pt idx="126">
                  <c:v>41456</c:v>
                </c:pt>
                <c:pt idx="127">
                  <c:v>41487</c:v>
                </c:pt>
                <c:pt idx="128">
                  <c:v>41518</c:v>
                </c:pt>
                <c:pt idx="129">
                  <c:v>41548</c:v>
                </c:pt>
                <c:pt idx="130">
                  <c:v>41579</c:v>
                </c:pt>
                <c:pt idx="131">
                  <c:v>41609</c:v>
                </c:pt>
                <c:pt idx="132">
                  <c:v>41640</c:v>
                </c:pt>
                <c:pt idx="133">
                  <c:v>41671</c:v>
                </c:pt>
                <c:pt idx="134">
                  <c:v>41699</c:v>
                </c:pt>
                <c:pt idx="135">
                  <c:v>41730</c:v>
                </c:pt>
                <c:pt idx="136">
                  <c:v>41760</c:v>
                </c:pt>
                <c:pt idx="137">
                  <c:v>41791</c:v>
                </c:pt>
                <c:pt idx="138">
                  <c:v>41821</c:v>
                </c:pt>
                <c:pt idx="139">
                  <c:v>41852</c:v>
                </c:pt>
                <c:pt idx="140">
                  <c:v>41883</c:v>
                </c:pt>
                <c:pt idx="141">
                  <c:v>41913</c:v>
                </c:pt>
                <c:pt idx="142">
                  <c:v>41944</c:v>
                </c:pt>
                <c:pt idx="143">
                  <c:v>41974</c:v>
                </c:pt>
                <c:pt idx="144">
                  <c:v>42005</c:v>
                </c:pt>
                <c:pt idx="145">
                  <c:v>42036</c:v>
                </c:pt>
                <c:pt idx="146">
                  <c:v>42064</c:v>
                </c:pt>
                <c:pt idx="147">
                  <c:v>42095</c:v>
                </c:pt>
                <c:pt idx="148">
                  <c:v>42125</c:v>
                </c:pt>
                <c:pt idx="149">
                  <c:v>42156</c:v>
                </c:pt>
                <c:pt idx="150">
                  <c:v>42186</c:v>
                </c:pt>
                <c:pt idx="151">
                  <c:v>42217</c:v>
                </c:pt>
                <c:pt idx="152">
                  <c:v>42248</c:v>
                </c:pt>
                <c:pt idx="153">
                  <c:v>42278</c:v>
                </c:pt>
                <c:pt idx="154">
                  <c:v>42309</c:v>
                </c:pt>
                <c:pt idx="155">
                  <c:v>42339</c:v>
                </c:pt>
                <c:pt idx="156">
                  <c:v>42370</c:v>
                </c:pt>
                <c:pt idx="157">
                  <c:v>42401</c:v>
                </c:pt>
                <c:pt idx="158">
                  <c:v>42430</c:v>
                </c:pt>
                <c:pt idx="159">
                  <c:v>42461</c:v>
                </c:pt>
                <c:pt idx="160">
                  <c:v>42491</c:v>
                </c:pt>
                <c:pt idx="161">
                  <c:v>42522</c:v>
                </c:pt>
                <c:pt idx="162">
                  <c:v>42552</c:v>
                </c:pt>
                <c:pt idx="163">
                  <c:v>42583</c:v>
                </c:pt>
                <c:pt idx="164">
                  <c:v>42614</c:v>
                </c:pt>
                <c:pt idx="165">
                  <c:v>42644</c:v>
                </c:pt>
                <c:pt idx="166">
                  <c:v>42675</c:v>
                </c:pt>
                <c:pt idx="167">
                  <c:v>42705</c:v>
                </c:pt>
                <c:pt idx="168">
                  <c:v>42736</c:v>
                </c:pt>
                <c:pt idx="169">
                  <c:v>42767</c:v>
                </c:pt>
                <c:pt idx="170">
                  <c:v>42795</c:v>
                </c:pt>
                <c:pt idx="171">
                  <c:v>42826</c:v>
                </c:pt>
                <c:pt idx="172">
                  <c:v>42856</c:v>
                </c:pt>
                <c:pt idx="173">
                  <c:v>42887</c:v>
                </c:pt>
                <c:pt idx="174">
                  <c:v>42917</c:v>
                </c:pt>
                <c:pt idx="175">
                  <c:v>42948</c:v>
                </c:pt>
                <c:pt idx="176">
                  <c:v>42979</c:v>
                </c:pt>
                <c:pt idx="177">
                  <c:v>43009</c:v>
                </c:pt>
                <c:pt idx="178">
                  <c:v>43040</c:v>
                </c:pt>
                <c:pt idx="179">
                  <c:v>43070</c:v>
                </c:pt>
                <c:pt idx="180">
                  <c:v>43101</c:v>
                </c:pt>
                <c:pt idx="181">
                  <c:v>43132</c:v>
                </c:pt>
                <c:pt idx="182">
                  <c:v>43160</c:v>
                </c:pt>
                <c:pt idx="183">
                  <c:v>43191</c:v>
                </c:pt>
                <c:pt idx="184">
                  <c:v>43221</c:v>
                </c:pt>
                <c:pt idx="185">
                  <c:v>43252</c:v>
                </c:pt>
                <c:pt idx="186">
                  <c:v>43282</c:v>
                </c:pt>
                <c:pt idx="187">
                  <c:v>43313</c:v>
                </c:pt>
                <c:pt idx="188">
                  <c:v>43344</c:v>
                </c:pt>
                <c:pt idx="189">
                  <c:v>43374</c:v>
                </c:pt>
                <c:pt idx="190">
                  <c:v>43405</c:v>
                </c:pt>
                <c:pt idx="191">
                  <c:v>43435</c:v>
                </c:pt>
                <c:pt idx="192">
                  <c:v>43466</c:v>
                </c:pt>
                <c:pt idx="193">
                  <c:v>43497</c:v>
                </c:pt>
                <c:pt idx="194">
                  <c:v>43525</c:v>
                </c:pt>
                <c:pt idx="195">
                  <c:v>43556</c:v>
                </c:pt>
                <c:pt idx="196">
                  <c:v>43586</c:v>
                </c:pt>
                <c:pt idx="197">
                  <c:v>43617</c:v>
                </c:pt>
                <c:pt idx="198">
                  <c:v>43647</c:v>
                </c:pt>
                <c:pt idx="199">
                  <c:v>43678</c:v>
                </c:pt>
                <c:pt idx="200">
                  <c:v>43709</c:v>
                </c:pt>
                <c:pt idx="201">
                  <c:v>43739</c:v>
                </c:pt>
                <c:pt idx="202">
                  <c:v>43770</c:v>
                </c:pt>
                <c:pt idx="203">
                  <c:v>43800</c:v>
                </c:pt>
                <c:pt idx="204">
                  <c:v>43831</c:v>
                </c:pt>
                <c:pt idx="205">
                  <c:v>43862</c:v>
                </c:pt>
                <c:pt idx="206">
                  <c:v>43891</c:v>
                </c:pt>
                <c:pt idx="207">
                  <c:v>43922</c:v>
                </c:pt>
                <c:pt idx="208">
                  <c:v>43952</c:v>
                </c:pt>
                <c:pt idx="209">
                  <c:v>43983</c:v>
                </c:pt>
                <c:pt idx="210">
                  <c:v>44013</c:v>
                </c:pt>
                <c:pt idx="211">
                  <c:v>44044</c:v>
                </c:pt>
                <c:pt idx="212">
                  <c:v>44075</c:v>
                </c:pt>
                <c:pt idx="213">
                  <c:v>44105</c:v>
                </c:pt>
                <c:pt idx="214">
                  <c:v>44136</c:v>
                </c:pt>
                <c:pt idx="215">
                  <c:v>44166</c:v>
                </c:pt>
                <c:pt idx="216">
                  <c:v>44197</c:v>
                </c:pt>
                <c:pt idx="217">
                  <c:v>44228</c:v>
                </c:pt>
                <c:pt idx="218">
                  <c:v>44256</c:v>
                </c:pt>
                <c:pt idx="219">
                  <c:v>44287</c:v>
                </c:pt>
              </c:numCache>
            </c:numRef>
          </c:cat>
          <c:val>
            <c:numRef>
              <c:f>'Step-by-Step'!$J$7:$J$223</c:f>
              <c:numCache>
                <c:formatCode>0.0%</c:formatCode>
                <c:ptCount val="217"/>
                <c:pt idx="0">
                  <c:v>1.0746776622437837E-2</c:v>
                </c:pt>
                <c:pt idx="1">
                  <c:v>2.2740486084882328E-2</c:v>
                </c:pt>
                <c:pt idx="2">
                  <c:v>-3.848808790006486E-2</c:v>
                </c:pt>
                <c:pt idx="3">
                  <c:v>-2.3097327645332788E-3</c:v>
                </c:pt>
                <c:pt idx="4">
                  <c:v>4.0259606245189872E-3</c:v>
                </c:pt>
                <c:pt idx="5">
                  <c:v>-1.3566899841879643E-2</c:v>
                </c:pt>
                <c:pt idx="6">
                  <c:v>9.7550809350785972E-3</c:v>
                </c:pt>
                <c:pt idx="7">
                  <c:v>-1.7527924186026889E-2</c:v>
                </c:pt>
                <c:pt idx="8">
                  <c:v>7.310980950191448E-3</c:v>
                </c:pt>
                <c:pt idx="9">
                  <c:v>2.9218032891931811E-2</c:v>
                </c:pt>
                <c:pt idx="10">
                  <c:v>1.6017420635188184E-3</c:v>
                </c:pt>
                <c:pt idx="11">
                  <c:v>5.0643009684712137E-3</c:v>
                </c:pt>
                <c:pt idx="12">
                  <c:v>3.0448550229031923E-3</c:v>
                </c:pt>
                <c:pt idx="13">
                  <c:v>6.7509837790868943E-3</c:v>
                </c:pt>
                <c:pt idx="14">
                  <c:v>6.7945959009452217E-3</c:v>
                </c:pt>
                <c:pt idx="15">
                  <c:v>-3.2354306576326541E-3</c:v>
                </c:pt>
                <c:pt idx="16">
                  <c:v>-5.3240800077111183E-3</c:v>
                </c:pt>
                <c:pt idx="17">
                  <c:v>9.3638556325204014E-4</c:v>
                </c:pt>
                <c:pt idx="18">
                  <c:v>5.0156058383310498E-3</c:v>
                </c:pt>
                <c:pt idx="19">
                  <c:v>-1.1172125862896176E-2</c:v>
                </c:pt>
                <c:pt idx="20">
                  <c:v>-3.6598023875787922E-3</c:v>
                </c:pt>
                <c:pt idx="21">
                  <c:v>-1.4355574144013783E-3</c:v>
                </c:pt>
                <c:pt idx="22">
                  <c:v>7.7640703330583705E-4</c:v>
                </c:pt>
                <c:pt idx="23">
                  <c:v>1.1751898923540338E-2</c:v>
                </c:pt>
                <c:pt idx="24">
                  <c:v>-7.8823186397173339E-3</c:v>
                </c:pt>
                <c:pt idx="25">
                  <c:v>-2.4497946015072936E-3</c:v>
                </c:pt>
                <c:pt idx="26">
                  <c:v>-1.3683521935443643E-3</c:v>
                </c:pt>
                <c:pt idx="27">
                  <c:v>4.4149783371936202E-3</c:v>
                </c:pt>
                <c:pt idx="28">
                  <c:v>-4.1543093061535696E-3</c:v>
                </c:pt>
                <c:pt idx="29">
                  <c:v>1.0405825458049689E-2</c:v>
                </c:pt>
                <c:pt idx="30">
                  <c:v>-8.0622088541124626E-3</c:v>
                </c:pt>
                <c:pt idx="31">
                  <c:v>1.0528650962613462E-3</c:v>
                </c:pt>
                <c:pt idx="32">
                  <c:v>-4.9043968669315596E-4</c:v>
                </c:pt>
                <c:pt idx="33">
                  <c:v>-3.1550697050063414E-3</c:v>
                </c:pt>
                <c:pt idx="34">
                  <c:v>-6.2900929420384166E-4</c:v>
                </c:pt>
                <c:pt idx="35">
                  <c:v>1.2895851335837705E-2</c:v>
                </c:pt>
                <c:pt idx="36">
                  <c:v>3.5714853930290946E-3</c:v>
                </c:pt>
                <c:pt idx="37">
                  <c:v>2.4015359838556183E-3</c:v>
                </c:pt>
                <c:pt idx="38">
                  <c:v>5.3477682596931864E-3</c:v>
                </c:pt>
                <c:pt idx="39">
                  <c:v>-1.8403897535180791E-2</c:v>
                </c:pt>
                <c:pt idx="40">
                  <c:v>9.5664955765579762E-3</c:v>
                </c:pt>
                <c:pt idx="41">
                  <c:v>-1.3508677104259181E-3</c:v>
                </c:pt>
                <c:pt idx="42">
                  <c:v>-1.1360088717930705E-2</c:v>
                </c:pt>
                <c:pt idx="43">
                  <c:v>5.0417578311749978E-3</c:v>
                </c:pt>
                <c:pt idx="44">
                  <c:v>-5.7772904270804171E-3</c:v>
                </c:pt>
                <c:pt idx="45">
                  <c:v>2.4611691827221005E-3</c:v>
                </c:pt>
                <c:pt idx="46">
                  <c:v>-1.4699043226381603E-3</c:v>
                </c:pt>
                <c:pt idx="47">
                  <c:v>-7.6631421673646338E-3</c:v>
                </c:pt>
                <c:pt idx="48">
                  <c:v>4.8532624957982051E-3</c:v>
                </c:pt>
                <c:pt idx="49">
                  <c:v>-4.8029455729360349E-3</c:v>
                </c:pt>
                <c:pt idx="50">
                  <c:v>7.6554746596195766E-3</c:v>
                </c:pt>
                <c:pt idx="51">
                  <c:v>-8.8664226506769417E-3</c:v>
                </c:pt>
                <c:pt idx="52">
                  <c:v>9.3399254766401985E-3</c:v>
                </c:pt>
                <c:pt idx="53">
                  <c:v>-7.3031658799385113E-3</c:v>
                </c:pt>
                <c:pt idx="54">
                  <c:v>-5.5436698087135694E-3</c:v>
                </c:pt>
                <c:pt idx="55">
                  <c:v>7.3355691090544184E-3</c:v>
                </c:pt>
                <c:pt idx="56">
                  <c:v>-1.8314151743539009E-2</c:v>
                </c:pt>
                <c:pt idx="57">
                  <c:v>1.2474334372143403E-2</c:v>
                </c:pt>
                <c:pt idx="58">
                  <c:v>-2.544083437490019E-3</c:v>
                </c:pt>
                <c:pt idx="59">
                  <c:v>-1.3313828924294779E-2</c:v>
                </c:pt>
                <c:pt idx="60">
                  <c:v>3.9060759175915116E-3</c:v>
                </c:pt>
                <c:pt idx="61">
                  <c:v>1.083543299992118E-2</c:v>
                </c:pt>
                <c:pt idx="62">
                  <c:v>-1.5865106217728409E-2</c:v>
                </c:pt>
                <c:pt idx="63">
                  <c:v>1.4111752856220239E-2</c:v>
                </c:pt>
                <c:pt idx="64">
                  <c:v>-7.4509458915005267E-3</c:v>
                </c:pt>
                <c:pt idx="65">
                  <c:v>-3.4126529090320323E-3</c:v>
                </c:pt>
                <c:pt idx="66">
                  <c:v>8.1582277503358114E-3</c:v>
                </c:pt>
                <c:pt idx="67">
                  <c:v>-8.4944128159143428E-3</c:v>
                </c:pt>
                <c:pt idx="68">
                  <c:v>8.7184568861387035E-3</c:v>
                </c:pt>
                <c:pt idx="69">
                  <c:v>2.4712602603800926E-2</c:v>
                </c:pt>
                <c:pt idx="70">
                  <c:v>-3.4447570973852315E-3</c:v>
                </c:pt>
                <c:pt idx="71">
                  <c:v>7.0685131246794874E-3</c:v>
                </c:pt>
                <c:pt idx="72">
                  <c:v>5.6815158928755771E-3</c:v>
                </c:pt>
                <c:pt idx="73">
                  <c:v>-6.0021713594811121E-3</c:v>
                </c:pt>
                <c:pt idx="74">
                  <c:v>2.405060604164122E-3</c:v>
                </c:pt>
                <c:pt idx="75">
                  <c:v>-1.4098991570793418E-3</c:v>
                </c:pt>
                <c:pt idx="76">
                  <c:v>-8.0036076508968046E-3</c:v>
                </c:pt>
                <c:pt idx="77">
                  <c:v>-1.2046378690774295E-3</c:v>
                </c:pt>
                <c:pt idx="78">
                  <c:v>4.5286015568077875E-3</c:v>
                </c:pt>
                <c:pt idx="79">
                  <c:v>-1.1919608645587942E-2</c:v>
                </c:pt>
                <c:pt idx="80">
                  <c:v>-4.6748151155184825E-4</c:v>
                </c:pt>
                <c:pt idx="81">
                  <c:v>8.3183310266778943E-3</c:v>
                </c:pt>
                <c:pt idx="82">
                  <c:v>-4.3717355990783302E-3</c:v>
                </c:pt>
                <c:pt idx="83">
                  <c:v>6.6594547079488198E-3</c:v>
                </c:pt>
                <c:pt idx="84">
                  <c:v>-6.9838701575710704E-3</c:v>
                </c:pt>
                <c:pt idx="85">
                  <c:v>-1.0970033345638841E-2</c:v>
                </c:pt>
                <c:pt idx="86">
                  <c:v>1.7992978166237128E-2</c:v>
                </c:pt>
                <c:pt idx="87">
                  <c:v>1.5844033322707229E-3</c:v>
                </c:pt>
                <c:pt idx="88">
                  <c:v>-4.8427324366967506E-3</c:v>
                </c:pt>
                <c:pt idx="89">
                  <c:v>1.4473430655161934E-3</c:v>
                </c:pt>
                <c:pt idx="90">
                  <c:v>1.3339243457279881E-3</c:v>
                </c:pt>
                <c:pt idx="91">
                  <c:v>-4.0029854800887055E-3</c:v>
                </c:pt>
                <c:pt idx="92">
                  <c:v>-4.3802318408792118E-3</c:v>
                </c:pt>
                <c:pt idx="93">
                  <c:v>-8.055919606067441E-3</c:v>
                </c:pt>
                <c:pt idx="94">
                  <c:v>-3.9029170253759293E-3</c:v>
                </c:pt>
                <c:pt idx="95">
                  <c:v>1.0030464251511884E-2</c:v>
                </c:pt>
                <c:pt idx="96">
                  <c:v>-4.3353922025691771E-3</c:v>
                </c:pt>
                <c:pt idx="97">
                  <c:v>8.9738270855479474E-3</c:v>
                </c:pt>
                <c:pt idx="98">
                  <c:v>-2.2940599902581127E-3</c:v>
                </c:pt>
                <c:pt idx="99">
                  <c:v>-3.3828212333925078E-3</c:v>
                </c:pt>
                <c:pt idx="100">
                  <c:v>7.3372043389654529E-3</c:v>
                </c:pt>
                <c:pt idx="101">
                  <c:v>1.3619025207769475E-3</c:v>
                </c:pt>
                <c:pt idx="102">
                  <c:v>-9.0583428663640886E-3</c:v>
                </c:pt>
                <c:pt idx="103">
                  <c:v>7.6595671959078793E-3</c:v>
                </c:pt>
                <c:pt idx="104">
                  <c:v>-1.9156072469356245E-3</c:v>
                </c:pt>
                <c:pt idx="105">
                  <c:v>-1.2127031197958993E-2</c:v>
                </c:pt>
                <c:pt idx="106">
                  <c:v>-3.0283830405926082E-3</c:v>
                </c:pt>
                <c:pt idx="107">
                  <c:v>1.0805075926069607E-2</c:v>
                </c:pt>
                <c:pt idx="108">
                  <c:v>7.8941537937446959E-3</c:v>
                </c:pt>
                <c:pt idx="109">
                  <c:v>4.9971012371137213E-3</c:v>
                </c:pt>
                <c:pt idx="110">
                  <c:v>1.5759111314114449E-2</c:v>
                </c:pt>
                <c:pt idx="111">
                  <c:v>-5.0840822822695309E-3</c:v>
                </c:pt>
                <c:pt idx="112">
                  <c:v>7.1150530884658281E-3</c:v>
                </c:pt>
                <c:pt idx="113">
                  <c:v>-2.7399665160711129E-3</c:v>
                </c:pt>
                <c:pt idx="114">
                  <c:v>-4.1620485712259292E-3</c:v>
                </c:pt>
                <c:pt idx="115">
                  <c:v>8.7702203243364973E-3</c:v>
                </c:pt>
                <c:pt idx="116">
                  <c:v>-1.8610458236479333E-2</c:v>
                </c:pt>
                <c:pt idx="117">
                  <c:v>2.5522126354269314E-3</c:v>
                </c:pt>
                <c:pt idx="118">
                  <c:v>-2.0486956932423972E-3</c:v>
                </c:pt>
                <c:pt idx="119">
                  <c:v>-1.5091898632889067E-2</c:v>
                </c:pt>
                <c:pt idx="120">
                  <c:v>6.2964790288988493E-3</c:v>
                </c:pt>
                <c:pt idx="121">
                  <c:v>-1.3349591630192004E-2</c:v>
                </c:pt>
                <c:pt idx="122">
                  <c:v>-7.0347024095914756E-3</c:v>
                </c:pt>
                <c:pt idx="123">
                  <c:v>2.5272351519508129E-2</c:v>
                </c:pt>
                <c:pt idx="124">
                  <c:v>-3.0862582183639464E-3</c:v>
                </c:pt>
                <c:pt idx="125">
                  <c:v>-3.3000200297506055E-3</c:v>
                </c:pt>
                <c:pt idx="126">
                  <c:v>8.0404570347067938E-3</c:v>
                </c:pt>
                <c:pt idx="127">
                  <c:v>4.2982321984779137E-3</c:v>
                </c:pt>
                <c:pt idx="128">
                  <c:v>-8.9681588934094059E-3</c:v>
                </c:pt>
                <c:pt idx="129">
                  <c:v>8.0107710144006194E-3</c:v>
                </c:pt>
                <c:pt idx="130">
                  <c:v>-8.556130853407673E-4</c:v>
                </c:pt>
                <c:pt idx="131">
                  <c:v>-6.3326503714237203E-3</c:v>
                </c:pt>
                <c:pt idx="132">
                  <c:v>5.1581271960876585E-3</c:v>
                </c:pt>
                <c:pt idx="133">
                  <c:v>9.0176504383103762E-3</c:v>
                </c:pt>
                <c:pt idx="134">
                  <c:v>-2.102862894092572E-2</c:v>
                </c:pt>
                <c:pt idx="135">
                  <c:v>4.8145926688349938E-3</c:v>
                </c:pt>
                <c:pt idx="136">
                  <c:v>3.438104984910817E-3</c:v>
                </c:pt>
                <c:pt idx="137">
                  <c:v>-1.1953955786870529E-2</c:v>
                </c:pt>
                <c:pt idx="138">
                  <c:v>9.8391906649737404E-3</c:v>
                </c:pt>
                <c:pt idx="139">
                  <c:v>-7.138286090262902E-3</c:v>
                </c:pt>
                <c:pt idx="140">
                  <c:v>1.0385465348328626E-2</c:v>
                </c:pt>
                <c:pt idx="141">
                  <c:v>1.0971938147174454E-2</c:v>
                </c:pt>
                <c:pt idx="142">
                  <c:v>8.0808417347011385E-4</c:v>
                </c:pt>
                <c:pt idx="143">
                  <c:v>5.5598917439125817E-3</c:v>
                </c:pt>
                <c:pt idx="144">
                  <c:v>1.7704749265878839E-4</c:v>
                </c:pt>
                <c:pt idx="145">
                  <c:v>-1.0965449232229418E-2</c:v>
                </c:pt>
                <c:pt idx="146">
                  <c:v>8.2292517126034692E-3</c:v>
                </c:pt>
                <c:pt idx="147">
                  <c:v>-2.2767868093707122E-3</c:v>
                </c:pt>
                <c:pt idx="148">
                  <c:v>-8.0251645846758368E-3</c:v>
                </c:pt>
                <c:pt idx="149">
                  <c:v>-1.0279136830482205E-3</c:v>
                </c:pt>
                <c:pt idx="150">
                  <c:v>9.2126332334199201E-3</c:v>
                </c:pt>
                <c:pt idx="151">
                  <c:v>-1.0487155287918437E-2</c:v>
                </c:pt>
                <c:pt idx="152">
                  <c:v>3.8740998911968028E-3</c:v>
                </c:pt>
                <c:pt idx="153">
                  <c:v>-4.8466355104751502E-3</c:v>
                </c:pt>
                <c:pt idx="154">
                  <c:v>2.4195531433797157E-3</c:v>
                </c:pt>
                <c:pt idx="155">
                  <c:v>9.0267432475368281E-3</c:v>
                </c:pt>
                <c:pt idx="156">
                  <c:v>-9.322241917107954E-3</c:v>
                </c:pt>
                <c:pt idx="157">
                  <c:v>8.3493827428318124E-3</c:v>
                </c:pt>
                <c:pt idx="158">
                  <c:v>6.1043653374701634E-3</c:v>
                </c:pt>
                <c:pt idx="159">
                  <c:v>2.7509727164185538E-3</c:v>
                </c:pt>
                <c:pt idx="160">
                  <c:v>-4.1347075589979188E-3</c:v>
                </c:pt>
                <c:pt idx="161">
                  <c:v>1.0725062088122295E-2</c:v>
                </c:pt>
                <c:pt idx="162">
                  <c:v>-7.6835224327931329E-3</c:v>
                </c:pt>
                <c:pt idx="163">
                  <c:v>6.7084252834055391E-3</c:v>
                </c:pt>
                <c:pt idx="164">
                  <c:v>3.8320522005230728E-3</c:v>
                </c:pt>
                <c:pt idx="165">
                  <c:v>-1.9164045329037704E-2</c:v>
                </c:pt>
                <c:pt idx="166">
                  <c:v>3.0751925013074999E-3</c:v>
                </c:pt>
                <c:pt idx="167">
                  <c:v>1.5669677965282292E-2</c:v>
                </c:pt>
                <c:pt idx="168">
                  <c:v>6.0386782157777485E-3</c:v>
                </c:pt>
                <c:pt idx="169">
                  <c:v>-2.8184674137635701E-3</c:v>
                </c:pt>
                <c:pt idx="170">
                  <c:v>9.4703180113746566E-3</c:v>
                </c:pt>
                <c:pt idx="171">
                  <c:v>-2.3125485680649538E-2</c:v>
                </c:pt>
                <c:pt idx="172">
                  <c:v>6.8969639621727641E-3</c:v>
                </c:pt>
                <c:pt idx="173">
                  <c:v>6.4321834785552312E-4</c:v>
                </c:pt>
                <c:pt idx="174">
                  <c:v>-8.2946453856869162E-3</c:v>
                </c:pt>
                <c:pt idx="175">
                  <c:v>8.9932703747841458E-3</c:v>
                </c:pt>
                <c:pt idx="176">
                  <c:v>1.5508139887492334E-3</c:v>
                </c:pt>
                <c:pt idx="177">
                  <c:v>-1.0496193281489652E-2</c:v>
                </c:pt>
                <c:pt idx="178">
                  <c:v>2.989028636512181E-3</c:v>
                </c:pt>
                <c:pt idx="179">
                  <c:v>-4.2536540218768293E-3</c:v>
                </c:pt>
                <c:pt idx="180">
                  <c:v>5.9617610382656228E-3</c:v>
                </c:pt>
                <c:pt idx="181">
                  <c:v>-9.8987754402933836E-3</c:v>
                </c:pt>
                <c:pt idx="182">
                  <c:v>-5.0509312337240209E-3</c:v>
                </c:pt>
                <c:pt idx="183">
                  <c:v>-3.1642280246433341E-3</c:v>
                </c:pt>
                <c:pt idx="184">
                  <c:v>-8.9659982785388337E-3</c:v>
                </c:pt>
                <c:pt idx="185">
                  <c:v>8.4163425735674924E-3</c:v>
                </c:pt>
                <c:pt idx="186">
                  <c:v>-6.1909461473996785E-4</c:v>
                </c:pt>
                <c:pt idx="187">
                  <c:v>9.7970264899307491E-3</c:v>
                </c:pt>
                <c:pt idx="188">
                  <c:v>-6.9206647097971308E-3</c:v>
                </c:pt>
                <c:pt idx="189">
                  <c:v>2.4735742622357115E-3</c:v>
                </c:pt>
                <c:pt idx="190">
                  <c:v>2.6689206297563217E-3</c:v>
                </c:pt>
                <c:pt idx="191">
                  <c:v>-9.1980660860153662E-3</c:v>
                </c:pt>
                <c:pt idx="192">
                  <c:v>3.5061518777264045E-3</c:v>
                </c:pt>
                <c:pt idx="193">
                  <c:v>1.051902440067809E-2</c:v>
                </c:pt>
                <c:pt idx="194">
                  <c:v>-3.0583526543102479E-2</c:v>
                </c:pt>
                <c:pt idx="195">
                  <c:v>2.015336591707495E-3</c:v>
                </c:pt>
                <c:pt idx="196">
                  <c:v>5.4743010457736219E-4</c:v>
                </c:pt>
                <c:pt idx="197">
                  <c:v>-1.2620243701128131E-2</c:v>
                </c:pt>
                <c:pt idx="198">
                  <c:v>1.1041797366972306E-2</c:v>
                </c:pt>
                <c:pt idx="199">
                  <c:v>6.7672420607831629E-3</c:v>
                </c:pt>
                <c:pt idx="200">
                  <c:v>5.2346496346680205E-3</c:v>
                </c:pt>
                <c:pt idx="201">
                  <c:v>1.1466321133532853E-2</c:v>
                </c:pt>
                <c:pt idx="202">
                  <c:v>2.1866521055977639E-3</c:v>
                </c:pt>
                <c:pt idx="203">
                  <c:v>-1.0095380622463512E-3</c:v>
                </c:pt>
                <c:pt idx="204">
                  <c:v>4.3146062110421823E-3</c:v>
                </c:pt>
                <c:pt idx="205">
                  <c:v>-9.5316571252956894E-4</c:v>
                </c:pt>
                <c:pt idx="206">
                  <c:v>-6.6608884874951313E-3</c:v>
                </c:pt>
                <c:pt idx="207">
                  <c:v>-1.1201395938819303E-2</c:v>
                </c:pt>
                <c:pt idx="208">
                  <c:v>-1.8179375547203058E-2</c:v>
                </c:pt>
                <c:pt idx="209">
                  <c:v>6.845525205114944E-3</c:v>
                </c:pt>
                <c:pt idx="210">
                  <c:v>1.006995872282479E-2</c:v>
                </c:pt>
                <c:pt idx="211">
                  <c:v>-4.7245965568393222E-3</c:v>
                </c:pt>
                <c:pt idx="212">
                  <c:v>1.7700298592338903E-2</c:v>
                </c:pt>
                <c:pt idx="213">
                  <c:v>1.1900937336970507E-3</c:v>
                </c:pt>
                <c:pt idx="214">
                  <c:v>1.8676004514330824E-3</c:v>
                </c:pt>
                <c:pt idx="215">
                  <c:v>1.1131270189686848E-2</c:v>
                </c:pt>
                <c:pt idx="216">
                  <c:v>-1.17210257751168E-2</c:v>
                </c:pt>
              </c:numCache>
            </c:numRef>
          </c:val>
          <c:smooth val="0"/>
          <c:extLst>
            <c:ext xmlns:c16="http://schemas.microsoft.com/office/drawing/2014/chart" uri="{C3380CC4-5D6E-409C-BE32-E72D297353CC}">
              <c16:uniqueId val="{00000000-7452-404D-8DF3-066A3307EBC9}"/>
            </c:ext>
          </c:extLst>
        </c:ser>
        <c:ser>
          <c:idx val="3"/>
          <c:order val="1"/>
          <c:tx>
            <c:strRef>
              <c:f>'Step-by-Step'!$K$6</c:f>
              <c:strCache>
                <c:ptCount val="1"/>
                <c:pt idx="0">
                  <c:v>Official Spec</c:v>
                </c:pt>
              </c:strCache>
            </c:strRef>
          </c:tx>
          <c:spPr>
            <a:ln w="28575" cap="rnd">
              <a:solidFill>
                <a:schemeClr val="accent4"/>
              </a:solidFill>
              <a:round/>
            </a:ln>
            <a:effectLst/>
          </c:spPr>
          <c:marker>
            <c:symbol val="none"/>
          </c:marker>
          <c:cat>
            <c:numRef>
              <c:f>'Step-by-Step'!$A$7:$A$226</c:f>
              <c:numCache>
                <c:formatCode>mmm\-yy</c:formatCode>
                <c:ptCount val="220"/>
                <c:pt idx="0">
                  <c:v>37622</c:v>
                </c:pt>
                <c:pt idx="1">
                  <c:v>37653</c:v>
                </c:pt>
                <c:pt idx="2">
                  <c:v>37681</c:v>
                </c:pt>
                <c:pt idx="3">
                  <c:v>37712</c:v>
                </c:pt>
                <c:pt idx="4">
                  <c:v>37742</c:v>
                </c:pt>
                <c:pt idx="5">
                  <c:v>37773</c:v>
                </c:pt>
                <c:pt idx="6">
                  <c:v>37803</c:v>
                </c:pt>
                <c:pt idx="7">
                  <c:v>37834</c:v>
                </c:pt>
                <c:pt idx="8">
                  <c:v>37865</c:v>
                </c:pt>
                <c:pt idx="9">
                  <c:v>37895</c:v>
                </c:pt>
                <c:pt idx="10">
                  <c:v>37926</c:v>
                </c:pt>
                <c:pt idx="11">
                  <c:v>37956</c:v>
                </c:pt>
                <c:pt idx="12">
                  <c:v>37987</c:v>
                </c:pt>
                <c:pt idx="13">
                  <c:v>38018</c:v>
                </c:pt>
                <c:pt idx="14">
                  <c:v>38047</c:v>
                </c:pt>
                <c:pt idx="15">
                  <c:v>38078</c:v>
                </c:pt>
                <c:pt idx="16">
                  <c:v>38108</c:v>
                </c:pt>
                <c:pt idx="17">
                  <c:v>38139</c:v>
                </c:pt>
                <c:pt idx="18">
                  <c:v>38169</c:v>
                </c:pt>
                <c:pt idx="19">
                  <c:v>38200</c:v>
                </c:pt>
                <c:pt idx="20">
                  <c:v>38231</c:v>
                </c:pt>
                <c:pt idx="21">
                  <c:v>38261</c:v>
                </c:pt>
                <c:pt idx="22">
                  <c:v>38292</c:v>
                </c:pt>
                <c:pt idx="23">
                  <c:v>38322</c:v>
                </c:pt>
                <c:pt idx="24">
                  <c:v>38353</c:v>
                </c:pt>
                <c:pt idx="25">
                  <c:v>38384</c:v>
                </c:pt>
                <c:pt idx="26">
                  <c:v>38412</c:v>
                </c:pt>
                <c:pt idx="27">
                  <c:v>38443</c:v>
                </c:pt>
                <c:pt idx="28">
                  <c:v>38473</c:v>
                </c:pt>
                <c:pt idx="29">
                  <c:v>38504</c:v>
                </c:pt>
                <c:pt idx="30">
                  <c:v>38534</c:v>
                </c:pt>
                <c:pt idx="31">
                  <c:v>38565</c:v>
                </c:pt>
                <c:pt idx="32">
                  <c:v>38596</c:v>
                </c:pt>
                <c:pt idx="33">
                  <c:v>38626</c:v>
                </c:pt>
                <c:pt idx="34">
                  <c:v>38657</c:v>
                </c:pt>
                <c:pt idx="35">
                  <c:v>38687</c:v>
                </c:pt>
                <c:pt idx="36">
                  <c:v>38718</c:v>
                </c:pt>
                <c:pt idx="37">
                  <c:v>38749</c:v>
                </c:pt>
                <c:pt idx="38">
                  <c:v>38777</c:v>
                </c:pt>
                <c:pt idx="39">
                  <c:v>38808</c:v>
                </c:pt>
                <c:pt idx="40">
                  <c:v>38838</c:v>
                </c:pt>
                <c:pt idx="41">
                  <c:v>38869</c:v>
                </c:pt>
                <c:pt idx="42">
                  <c:v>38899</c:v>
                </c:pt>
                <c:pt idx="43">
                  <c:v>38930</c:v>
                </c:pt>
                <c:pt idx="44">
                  <c:v>38961</c:v>
                </c:pt>
                <c:pt idx="45">
                  <c:v>38991</c:v>
                </c:pt>
                <c:pt idx="46">
                  <c:v>39022</c:v>
                </c:pt>
                <c:pt idx="47">
                  <c:v>39052</c:v>
                </c:pt>
                <c:pt idx="48">
                  <c:v>39083</c:v>
                </c:pt>
                <c:pt idx="49">
                  <c:v>39114</c:v>
                </c:pt>
                <c:pt idx="50">
                  <c:v>39142</c:v>
                </c:pt>
                <c:pt idx="51">
                  <c:v>39173</c:v>
                </c:pt>
                <c:pt idx="52">
                  <c:v>39203</c:v>
                </c:pt>
                <c:pt idx="53">
                  <c:v>39234</c:v>
                </c:pt>
                <c:pt idx="54">
                  <c:v>39264</c:v>
                </c:pt>
                <c:pt idx="55">
                  <c:v>39295</c:v>
                </c:pt>
                <c:pt idx="56">
                  <c:v>39326</c:v>
                </c:pt>
                <c:pt idx="57">
                  <c:v>39356</c:v>
                </c:pt>
                <c:pt idx="58">
                  <c:v>39387</c:v>
                </c:pt>
                <c:pt idx="59">
                  <c:v>39417</c:v>
                </c:pt>
                <c:pt idx="60">
                  <c:v>39448</c:v>
                </c:pt>
                <c:pt idx="61">
                  <c:v>39479</c:v>
                </c:pt>
                <c:pt idx="62">
                  <c:v>39508</c:v>
                </c:pt>
                <c:pt idx="63">
                  <c:v>39539</c:v>
                </c:pt>
                <c:pt idx="64">
                  <c:v>39569</c:v>
                </c:pt>
                <c:pt idx="65">
                  <c:v>39600</c:v>
                </c:pt>
                <c:pt idx="66">
                  <c:v>39630</c:v>
                </c:pt>
                <c:pt idx="67">
                  <c:v>39661</c:v>
                </c:pt>
                <c:pt idx="68">
                  <c:v>39692</c:v>
                </c:pt>
                <c:pt idx="69">
                  <c:v>39722</c:v>
                </c:pt>
                <c:pt idx="70">
                  <c:v>39753</c:v>
                </c:pt>
                <c:pt idx="71">
                  <c:v>39783</c:v>
                </c:pt>
                <c:pt idx="72">
                  <c:v>39814</c:v>
                </c:pt>
                <c:pt idx="73">
                  <c:v>39845</c:v>
                </c:pt>
                <c:pt idx="74">
                  <c:v>39873</c:v>
                </c:pt>
                <c:pt idx="75">
                  <c:v>39904</c:v>
                </c:pt>
                <c:pt idx="76">
                  <c:v>39934</c:v>
                </c:pt>
                <c:pt idx="77">
                  <c:v>39965</c:v>
                </c:pt>
                <c:pt idx="78">
                  <c:v>39995</c:v>
                </c:pt>
                <c:pt idx="79">
                  <c:v>40026</c:v>
                </c:pt>
                <c:pt idx="80">
                  <c:v>40057</c:v>
                </c:pt>
                <c:pt idx="81">
                  <c:v>40087</c:v>
                </c:pt>
                <c:pt idx="82">
                  <c:v>40118</c:v>
                </c:pt>
                <c:pt idx="83">
                  <c:v>40148</c:v>
                </c:pt>
                <c:pt idx="84">
                  <c:v>40179</c:v>
                </c:pt>
                <c:pt idx="85">
                  <c:v>40210</c:v>
                </c:pt>
                <c:pt idx="86">
                  <c:v>40238</c:v>
                </c:pt>
                <c:pt idx="87">
                  <c:v>40269</c:v>
                </c:pt>
                <c:pt idx="88">
                  <c:v>40299</c:v>
                </c:pt>
                <c:pt idx="89">
                  <c:v>40330</c:v>
                </c:pt>
                <c:pt idx="90">
                  <c:v>40360</c:v>
                </c:pt>
                <c:pt idx="91">
                  <c:v>40391</c:v>
                </c:pt>
                <c:pt idx="92">
                  <c:v>40422</c:v>
                </c:pt>
                <c:pt idx="93">
                  <c:v>40452</c:v>
                </c:pt>
                <c:pt idx="94">
                  <c:v>40483</c:v>
                </c:pt>
                <c:pt idx="95">
                  <c:v>40513</c:v>
                </c:pt>
                <c:pt idx="96">
                  <c:v>40544</c:v>
                </c:pt>
                <c:pt idx="97">
                  <c:v>40575</c:v>
                </c:pt>
                <c:pt idx="98">
                  <c:v>40603</c:v>
                </c:pt>
                <c:pt idx="99">
                  <c:v>40634</c:v>
                </c:pt>
                <c:pt idx="100">
                  <c:v>40664</c:v>
                </c:pt>
                <c:pt idx="101">
                  <c:v>40695</c:v>
                </c:pt>
                <c:pt idx="102">
                  <c:v>40725</c:v>
                </c:pt>
                <c:pt idx="103">
                  <c:v>40756</c:v>
                </c:pt>
                <c:pt idx="104">
                  <c:v>40787</c:v>
                </c:pt>
                <c:pt idx="105">
                  <c:v>40817</c:v>
                </c:pt>
                <c:pt idx="106">
                  <c:v>40848</c:v>
                </c:pt>
                <c:pt idx="107">
                  <c:v>40878</c:v>
                </c:pt>
                <c:pt idx="108">
                  <c:v>40909</c:v>
                </c:pt>
                <c:pt idx="109">
                  <c:v>40940</c:v>
                </c:pt>
                <c:pt idx="110">
                  <c:v>40969</c:v>
                </c:pt>
                <c:pt idx="111">
                  <c:v>41000</c:v>
                </c:pt>
                <c:pt idx="112">
                  <c:v>41030</c:v>
                </c:pt>
                <c:pt idx="113">
                  <c:v>41061</c:v>
                </c:pt>
                <c:pt idx="114">
                  <c:v>41091</c:v>
                </c:pt>
                <c:pt idx="115">
                  <c:v>41122</c:v>
                </c:pt>
                <c:pt idx="116">
                  <c:v>41153</c:v>
                </c:pt>
                <c:pt idx="117">
                  <c:v>41183</c:v>
                </c:pt>
                <c:pt idx="118">
                  <c:v>41214</c:v>
                </c:pt>
                <c:pt idx="119">
                  <c:v>41244</c:v>
                </c:pt>
                <c:pt idx="120">
                  <c:v>41275</c:v>
                </c:pt>
                <c:pt idx="121">
                  <c:v>41306</c:v>
                </c:pt>
                <c:pt idx="122">
                  <c:v>41334</c:v>
                </c:pt>
                <c:pt idx="123">
                  <c:v>41365</c:v>
                </c:pt>
                <c:pt idx="124">
                  <c:v>41395</c:v>
                </c:pt>
                <c:pt idx="125">
                  <c:v>41426</c:v>
                </c:pt>
                <c:pt idx="126">
                  <c:v>41456</c:v>
                </c:pt>
                <c:pt idx="127">
                  <c:v>41487</c:v>
                </c:pt>
                <c:pt idx="128">
                  <c:v>41518</c:v>
                </c:pt>
                <c:pt idx="129">
                  <c:v>41548</c:v>
                </c:pt>
                <c:pt idx="130">
                  <c:v>41579</c:v>
                </c:pt>
                <c:pt idx="131">
                  <c:v>41609</c:v>
                </c:pt>
                <c:pt idx="132">
                  <c:v>41640</c:v>
                </c:pt>
                <c:pt idx="133">
                  <c:v>41671</c:v>
                </c:pt>
                <c:pt idx="134">
                  <c:v>41699</c:v>
                </c:pt>
                <c:pt idx="135">
                  <c:v>41730</c:v>
                </c:pt>
                <c:pt idx="136">
                  <c:v>41760</c:v>
                </c:pt>
                <c:pt idx="137">
                  <c:v>41791</c:v>
                </c:pt>
                <c:pt idx="138">
                  <c:v>41821</c:v>
                </c:pt>
                <c:pt idx="139">
                  <c:v>41852</c:v>
                </c:pt>
                <c:pt idx="140">
                  <c:v>41883</c:v>
                </c:pt>
                <c:pt idx="141">
                  <c:v>41913</c:v>
                </c:pt>
                <c:pt idx="142">
                  <c:v>41944</c:v>
                </c:pt>
                <c:pt idx="143">
                  <c:v>41974</c:v>
                </c:pt>
                <c:pt idx="144">
                  <c:v>42005</c:v>
                </c:pt>
                <c:pt idx="145">
                  <c:v>42036</c:v>
                </c:pt>
                <c:pt idx="146">
                  <c:v>42064</c:v>
                </c:pt>
                <c:pt idx="147">
                  <c:v>42095</c:v>
                </c:pt>
                <c:pt idx="148">
                  <c:v>42125</c:v>
                </c:pt>
                <c:pt idx="149">
                  <c:v>42156</c:v>
                </c:pt>
                <c:pt idx="150">
                  <c:v>42186</c:v>
                </c:pt>
                <c:pt idx="151">
                  <c:v>42217</c:v>
                </c:pt>
                <c:pt idx="152">
                  <c:v>42248</c:v>
                </c:pt>
                <c:pt idx="153">
                  <c:v>42278</c:v>
                </c:pt>
                <c:pt idx="154">
                  <c:v>42309</c:v>
                </c:pt>
                <c:pt idx="155">
                  <c:v>42339</c:v>
                </c:pt>
                <c:pt idx="156">
                  <c:v>42370</c:v>
                </c:pt>
                <c:pt idx="157">
                  <c:v>42401</c:v>
                </c:pt>
                <c:pt idx="158">
                  <c:v>42430</c:v>
                </c:pt>
                <c:pt idx="159">
                  <c:v>42461</c:v>
                </c:pt>
                <c:pt idx="160">
                  <c:v>42491</c:v>
                </c:pt>
                <c:pt idx="161">
                  <c:v>42522</c:v>
                </c:pt>
                <c:pt idx="162">
                  <c:v>42552</c:v>
                </c:pt>
                <c:pt idx="163">
                  <c:v>42583</c:v>
                </c:pt>
                <c:pt idx="164">
                  <c:v>42614</c:v>
                </c:pt>
                <c:pt idx="165">
                  <c:v>42644</c:v>
                </c:pt>
                <c:pt idx="166">
                  <c:v>42675</c:v>
                </c:pt>
                <c:pt idx="167">
                  <c:v>42705</c:v>
                </c:pt>
                <c:pt idx="168">
                  <c:v>42736</c:v>
                </c:pt>
                <c:pt idx="169">
                  <c:v>42767</c:v>
                </c:pt>
                <c:pt idx="170">
                  <c:v>42795</c:v>
                </c:pt>
                <c:pt idx="171">
                  <c:v>42826</c:v>
                </c:pt>
                <c:pt idx="172">
                  <c:v>42856</c:v>
                </c:pt>
                <c:pt idx="173">
                  <c:v>42887</c:v>
                </c:pt>
                <c:pt idx="174">
                  <c:v>42917</c:v>
                </c:pt>
                <c:pt idx="175">
                  <c:v>42948</c:v>
                </c:pt>
                <c:pt idx="176">
                  <c:v>42979</c:v>
                </c:pt>
                <c:pt idx="177">
                  <c:v>43009</c:v>
                </c:pt>
                <c:pt idx="178">
                  <c:v>43040</c:v>
                </c:pt>
                <c:pt idx="179">
                  <c:v>43070</c:v>
                </c:pt>
                <c:pt idx="180">
                  <c:v>43101</c:v>
                </c:pt>
                <c:pt idx="181">
                  <c:v>43132</c:v>
                </c:pt>
                <c:pt idx="182">
                  <c:v>43160</c:v>
                </c:pt>
                <c:pt idx="183">
                  <c:v>43191</c:v>
                </c:pt>
                <c:pt idx="184">
                  <c:v>43221</c:v>
                </c:pt>
                <c:pt idx="185">
                  <c:v>43252</c:v>
                </c:pt>
                <c:pt idx="186">
                  <c:v>43282</c:v>
                </c:pt>
                <c:pt idx="187">
                  <c:v>43313</c:v>
                </c:pt>
                <c:pt idx="188">
                  <c:v>43344</c:v>
                </c:pt>
                <c:pt idx="189">
                  <c:v>43374</c:v>
                </c:pt>
                <c:pt idx="190">
                  <c:v>43405</c:v>
                </c:pt>
                <c:pt idx="191">
                  <c:v>43435</c:v>
                </c:pt>
                <c:pt idx="192">
                  <c:v>43466</c:v>
                </c:pt>
                <c:pt idx="193">
                  <c:v>43497</c:v>
                </c:pt>
                <c:pt idx="194">
                  <c:v>43525</c:v>
                </c:pt>
                <c:pt idx="195">
                  <c:v>43556</c:v>
                </c:pt>
                <c:pt idx="196">
                  <c:v>43586</c:v>
                </c:pt>
                <c:pt idx="197">
                  <c:v>43617</c:v>
                </c:pt>
                <c:pt idx="198">
                  <c:v>43647</c:v>
                </c:pt>
                <c:pt idx="199">
                  <c:v>43678</c:v>
                </c:pt>
                <c:pt idx="200">
                  <c:v>43709</c:v>
                </c:pt>
                <c:pt idx="201">
                  <c:v>43739</c:v>
                </c:pt>
                <c:pt idx="202">
                  <c:v>43770</c:v>
                </c:pt>
                <c:pt idx="203">
                  <c:v>43800</c:v>
                </c:pt>
                <c:pt idx="204">
                  <c:v>43831</c:v>
                </c:pt>
                <c:pt idx="205">
                  <c:v>43862</c:v>
                </c:pt>
                <c:pt idx="206">
                  <c:v>43891</c:v>
                </c:pt>
                <c:pt idx="207">
                  <c:v>43922</c:v>
                </c:pt>
                <c:pt idx="208">
                  <c:v>43952</c:v>
                </c:pt>
                <c:pt idx="209">
                  <c:v>43983</c:v>
                </c:pt>
                <c:pt idx="210">
                  <c:v>44013</c:v>
                </c:pt>
                <c:pt idx="211">
                  <c:v>44044</c:v>
                </c:pt>
                <c:pt idx="212">
                  <c:v>44075</c:v>
                </c:pt>
                <c:pt idx="213">
                  <c:v>44105</c:v>
                </c:pt>
                <c:pt idx="214">
                  <c:v>44136</c:v>
                </c:pt>
                <c:pt idx="215">
                  <c:v>44166</c:v>
                </c:pt>
                <c:pt idx="216">
                  <c:v>44197</c:v>
                </c:pt>
                <c:pt idx="217">
                  <c:v>44228</c:v>
                </c:pt>
                <c:pt idx="218">
                  <c:v>44256</c:v>
                </c:pt>
                <c:pt idx="219">
                  <c:v>44287</c:v>
                </c:pt>
              </c:numCache>
            </c:numRef>
          </c:cat>
          <c:val>
            <c:numRef>
              <c:f>'Step-by-Step'!$K$7:$K$223</c:f>
              <c:numCache>
                <c:formatCode>0.0%</c:formatCode>
                <c:ptCount val="217"/>
                <c:pt idx="0">
                  <c:v>-1.939876633827442E-5</c:v>
                </c:pt>
                <c:pt idx="1">
                  <c:v>3.9112070127522713E-5</c:v>
                </c:pt>
                <c:pt idx="2">
                  <c:v>-4.6270998231179306E-5</c:v>
                </c:pt>
                <c:pt idx="3">
                  <c:v>-1.5678930404106062E-5</c:v>
                </c:pt>
                <c:pt idx="4">
                  <c:v>-4.0351723968878872E-5</c:v>
                </c:pt>
                <c:pt idx="5">
                  <c:v>4.2044634465554509E-5</c:v>
                </c:pt>
                <c:pt idx="6">
                  <c:v>-2.6071970065655314E-5</c:v>
                </c:pt>
                <c:pt idx="7">
                  <c:v>-2.279547212791222E-5</c:v>
                </c:pt>
                <c:pt idx="8">
                  <c:v>1.6457624015364658E-5</c:v>
                </c:pt>
                <c:pt idx="9">
                  <c:v>8.03001617599719E-6</c:v>
                </c:pt>
                <c:pt idx="10">
                  <c:v>3.098815663427068E-5</c:v>
                </c:pt>
                <c:pt idx="11">
                  <c:v>-3.2815425248577945E-5</c:v>
                </c:pt>
                <c:pt idx="12">
                  <c:v>4.6896615925051677E-5</c:v>
                </c:pt>
                <c:pt idx="13">
                  <c:v>-2.6952499588395185E-5</c:v>
                </c:pt>
                <c:pt idx="14">
                  <c:v>2.2668643124390542E-5</c:v>
                </c:pt>
                <c:pt idx="15">
                  <c:v>4.4645126716869044E-5</c:v>
                </c:pt>
                <c:pt idx="16">
                  <c:v>-2.3831499821436175E-5</c:v>
                </c:pt>
                <c:pt idx="17">
                  <c:v>-4.3632724138542578E-5</c:v>
                </c:pt>
                <c:pt idx="18">
                  <c:v>-9.7434916457306286E-6</c:v>
                </c:pt>
                <c:pt idx="19">
                  <c:v>2.9072118474804398E-6</c:v>
                </c:pt>
                <c:pt idx="20">
                  <c:v>-1.5852929192927689E-5</c:v>
                </c:pt>
                <c:pt idx="21">
                  <c:v>2.9554159814093595E-5</c:v>
                </c:pt>
                <c:pt idx="22">
                  <c:v>7.3444323844817916E-6</c:v>
                </c:pt>
                <c:pt idx="23">
                  <c:v>4.9455167265843869E-6</c:v>
                </c:pt>
                <c:pt idx="24">
                  <c:v>-3.3095656972181864E-5</c:v>
                </c:pt>
                <c:pt idx="25">
                  <c:v>-4.2266358303288953E-6</c:v>
                </c:pt>
                <c:pt idx="26">
                  <c:v>2.9806448608171721E-5</c:v>
                </c:pt>
                <c:pt idx="27">
                  <c:v>-2.2515683300250444E-5</c:v>
                </c:pt>
                <c:pt idx="28">
                  <c:v>-2.7562121767688019E-5</c:v>
                </c:pt>
                <c:pt idx="29">
                  <c:v>-1.2427980451534815E-5</c:v>
                </c:pt>
                <c:pt idx="30">
                  <c:v>-3.1445175325384156E-5</c:v>
                </c:pt>
                <c:pt idx="31">
                  <c:v>2.3353048503649276E-5</c:v>
                </c:pt>
                <c:pt idx="32">
                  <c:v>-4.2479925856486744E-5</c:v>
                </c:pt>
                <c:pt idx="33">
                  <c:v>4.2524635323282212E-5</c:v>
                </c:pt>
                <c:pt idx="34">
                  <c:v>-1.8847960912005135E-6</c:v>
                </c:pt>
                <c:pt idx="35">
                  <c:v>3.7777125938998068E-5</c:v>
                </c:pt>
                <c:pt idx="36">
                  <c:v>-7.3008642548222369E-6</c:v>
                </c:pt>
                <c:pt idx="37">
                  <c:v>-2.4514826980515103E-5</c:v>
                </c:pt>
                <c:pt idx="38">
                  <c:v>1.6779400952016132E-5</c:v>
                </c:pt>
                <c:pt idx="39">
                  <c:v>-6.0449979774057638E-6</c:v>
                </c:pt>
                <c:pt idx="40">
                  <c:v>-2.1353000700163882E-5</c:v>
                </c:pt>
                <c:pt idx="41">
                  <c:v>3.1913366144165067E-5</c:v>
                </c:pt>
                <c:pt idx="42">
                  <c:v>-1.9340426062441907E-5</c:v>
                </c:pt>
                <c:pt idx="43">
                  <c:v>1.2285735000006071E-5</c:v>
                </c:pt>
                <c:pt idx="44">
                  <c:v>-1.71503137242901E-5</c:v>
                </c:pt>
                <c:pt idx="45">
                  <c:v>2.2923881324743434E-5</c:v>
                </c:pt>
                <c:pt idx="46">
                  <c:v>-3.3455749263944234E-5</c:v>
                </c:pt>
                <c:pt idx="47">
                  <c:v>-1.1342652164847422E-5</c:v>
                </c:pt>
                <c:pt idx="48">
                  <c:v>-6.6760681229904861E-6</c:v>
                </c:pt>
                <c:pt idx="49">
                  <c:v>2.7191847927765522E-5</c:v>
                </c:pt>
                <c:pt idx="50">
                  <c:v>2.3519185821996302E-5</c:v>
                </c:pt>
                <c:pt idx="51">
                  <c:v>-3.358179809309636E-5</c:v>
                </c:pt>
                <c:pt idx="52">
                  <c:v>5.0943379035217617E-6</c:v>
                </c:pt>
                <c:pt idx="53">
                  <c:v>1.4207797358611884E-6</c:v>
                </c:pt>
                <c:pt idx="54">
                  <c:v>-1.2441448008826406E-5</c:v>
                </c:pt>
                <c:pt idx="55">
                  <c:v>1.173123116293695E-5</c:v>
                </c:pt>
                <c:pt idx="56">
                  <c:v>-3.8848823720960546E-5</c:v>
                </c:pt>
                <c:pt idx="57">
                  <c:v>2.5964670741895901E-5</c:v>
                </c:pt>
                <c:pt idx="58">
                  <c:v>9.5495538743328723E-6</c:v>
                </c:pt>
                <c:pt idx="59">
                  <c:v>4.0362332860421901E-6</c:v>
                </c:pt>
                <c:pt idx="60">
                  <c:v>2.7615439758044147E-5</c:v>
                </c:pt>
                <c:pt idx="61">
                  <c:v>-3.2635493606214538E-5</c:v>
                </c:pt>
                <c:pt idx="62">
                  <c:v>-5.2321472259198032E-6</c:v>
                </c:pt>
                <c:pt idx="63">
                  <c:v>-3.3727451444476308E-5</c:v>
                </c:pt>
                <c:pt idx="64">
                  <c:v>-1.2978375521499608E-5</c:v>
                </c:pt>
                <c:pt idx="65">
                  <c:v>2.6109762103709855E-5</c:v>
                </c:pt>
                <c:pt idx="66">
                  <c:v>2.394736062161229E-5</c:v>
                </c:pt>
                <c:pt idx="67">
                  <c:v>-3.7602952806303769E-5</c:v>
                </c:pt>
                <c:pt idx="68">
                  <c:v>-1.3839149442418375E-5</c:v>
                </c:pt>
                <c:pt idx="69">
                  <c:v>3.6440295558826108E-6</c:v>
                </c:pt>
                <c:pt idx="70">
                  <c:v>3.1786175091808033E-5</c:v>
                </c:pt>
                <c:pt idx="71">
                  <c:v>-3.0652511203044241E-5</c:v>
                </c:pt>
                <c:pt idx="72">
                  <c:v>5.7994695572549659E-6</c:v>
                </c:pt>
                <c:pt idx="73">
                  <c:v>-1.9424302209691824E-5</c:v>
                </c:pt>
                <c:pt idx="74">
                  <c:v>2.9252999691031789E-5</c:v>
                </c:pt>
                <c:pt idx="75">
                  <c:v>3.6434317242761693E-5</c:v>
                </c:pt>
                <c:pt idx="76">
                  <c:v>-4.6417229900841406E-6</c:v>
                </c:pt>
                <c:pt idx="77">
                  <c:v>-2.4474930993889643E-5</c:v>
                </c:pt>
                <c:pt idx="78">
                  <c:v>1.2025283659289343E-5</c:v>
                </c:pt>
                <c:pt idx="79">
                  <c:v>-1.1990060502897748E-5</c:v>
                </c:pt>
                <c:pt idx="80">
                  <c:v>-2.7858131602886971E-5</c:v>
                </c:pt>
                <c:pt idx="81">
                  <c:v>-3.4521476034554688E-5</c:v>
                </c:pt>
                <c:pt idx="82">
                  <c:v>-3.6649133550836765E-5</c:v>
                </c:pt>
                <c:pt idx="83">
                  <c:v>-3.4689882549177042E-5</c:v>
                </c:pt>
                <c:pt idx="84">
                  <c:v>3.4563078354699073E-5</c:v>
                </c:pt>
                <c:pt idx="85">
                  <c:v>2.9029935126212436E-5</c:v>
                </c:pt>
                <c:pt idx="86">
                  <c:v>1.1577501061621476E-5</c:v>
                </c:pt>
                <c:pt idx="87">
                  <c:v>3.0801397228108485E-5</c:v>
                </c:pt>
                <c:pt idx="88">
                  <c:v>-2.9552964468382292E-5</c:v>
                </c:pt>
                <c:pt idx="89">
                  <c:v>6.1846173520230252E-6</c:v>
                </c:pt>
                <c:pt idx="90">
                  <c:v>-9.4460122461725859E-6</c:v>
                </c:pt>
                <c:pt idx="91">
                  <c:v>-6.8917813668134542E-6</c:v>
                </c:pt>
                <c:pt idx="92">
                  <c:v>-1.7501044886514272E-5</c:v>
                </c:pt>
                <c:pt idx="93">
                  <c:v>3.0837624052981738E-5</c:v>
                </c:pt>
                <c:pt idx="94">
                  <c:v>-3.0935500534678972E-5</c:v>
                </c:pt>
                <c:pt idx="95">
                  <c:v>-5.307403864174276E-7</c:v>
                </c:pt>
                <c:pt idx="96">
                  <c:v>-1.0415886226078364E-5</c:v>
                </c:pt>
                <c:pt idx="97">
                  <c:v>-2.2697951090111523E-5</c:v>
                </c:pt>
                <c:pt idx="98">
                  <c:v>-2.8513681132991131E-5</c:v>
                </c:pt>
                <c:pt idx="99">
                  <c:v>-2.6020322143383012E-5</c:v>
                </c:pt>
                <c:pt idx="100">
                  <c:v>-2.533518968383941E-5</c:v>
                </c:pt>
                <c:pt idx="101">
                  <c:v>2.8412626067675362E-5</c:v>
                </c:pt>
                <c:pt idx="102">
                  <c:v>1.3602022086223187E-5</c:v>
                </c:pt>
                <c:pt idx="103">
                  <c:v>-2.3479480011134868E-5</c:v>
                </c:pt>
                <c:pt idx="104">
                  <c:v>1.7121173517375965E-5</c:v>
                </c:pt>
                <c:pt idx="105">
                  <c:v>1.0606824879966226E-5</c:v>
                </c:pt>
                <c:pt idx="106">
                  <c:v>4.6667470443573222E-6</c:v>
                </c:pt>
                <c:pt idx="107">
                  <c:v>-1.2066925371922999E-5</c:v>
                </c:pt>
                <c:pt idx="108">
                  <c:v>3.5112034667550418E-5</c:v>
                </c:pt>
                <c:pt idx="109">
                  <c:v>-3.3222616766415136E-5</c:v>
                </c:pt>
                <c:pt idx="110">
                  <c:v>-8.27471799824675E-6</c:v>
                </c:pt>
                <c:pt idx="111">
                  <c:v>-2.6244958907795102E-5</c:v>
                </c:pt>
                <c:pt idx="112">
                  <c:v>-9.5380411233580986E-6</c:v>
                </c:pt>
                <c:pt idx="113">
                  <c:v>-2.7314786562260274E-5</c:v>
                </c:pt>
                <c:pt idx="114">
                  <c:v>2.9077122792875443E-5</c:v>
                </c:pt>
                <c:pt idx="115">
                  <c:v>3.3728595357107594E-5</c:v>
                </c:pt>
                <c:pt idx="116">
                  <c:v>-3.2349227409911308E-5</c:v>
                </c:pt>
                <c:pt idx="117">
                  <c:v>-2.047628805990076E-5</c:v>
                </c:pt>
                <c:pt idx="118">
                  <c:v>2.8054024461265925E-6</c:v>
                </c:pt>
                <c:pt idx="119">
                  <c:v>-1.4831615056110081E-5</c:v>
                </c:pt>
                <c:pt idx="120">
                  <c:v>1.4080894859214155E-5</c:v>
                </c:pt>
                <c:pt idx="121">
                  <c:v>1.5444119780383403E-5</c:v>
                </c:pt>
                <c:pt idx="122">
                  <c:v>-2.0241238917861892E-5</c:v>
                </c:pt>
                <c:pt idx="123">
                  <c:v>2.243091406217701E-5</c:v>
                </c:pt>
                <c:pt idx="124">
                  <c:v>2.6310167004828244E-5</c:v>
                </c:pt>
                <c:pt idx="125">
                  <c:v>-1.2091740136610518E-5</c:v>
                </c:pt>
                <c:pt idx="126">
                  <c:v>-2.5594308295961987E-5</c:v>
                </c:pt>
                <c:pt idx="127">
                  <c:v>-1.5270017184043638E-5</c:v>
                </c:pt>
                <c:pt idx="128">
                  <c:v>2.5845778236055494E-5</c:v>
                </c:pt>
                <c:pt idx="129">
                  <c:v>2.0689260358031092E-5</c:v>
                </c:pt>
                <c:pt idx="130">
                  <c:v>6.0836742725722814E-6</c:v>
                </c:pt>
                <c:pt idx="131">
                  <c:v>-2.5677007966740106E-5</c:v>
                </c:pt>
                <c:pt idx="132">
                  <c:v>-1.1188571905518252E-5</c:v>
                </c:pt>
                <c:pt idx="133">
                  <c:v>8.0156640285267144E-6</c:v>
                </c:pt>
                <c:pt idx="134">
                  <c:v>-4.9898453375885055E-6</c:v>
                </c:pt>
                <c:pt idx="135">
                  <c:v>-4.9586270209900363E-6</c:v>
                </c:pt>
                <c:pt idx="136">
                  <c:v>3.3110943039593721E-5</c:v>
                </c:pt>
                <c:pt idx="137">
                  <c:v>2.2808557323950041E-5</c:v>
                </c:pt>
                <c:pt idx="138">
                  <c:v>2.9264234963966018E-5</c:v>
                </c:pt>
                <c:pt idx="139">
                  <c:v>-2.5424625496039965E-5</c:v>
                </c:pt>
                <c:pt idx="140">
                  <c:v>3.0691241752700549E-5</c:v>
                </c:pt>
                <c:pt idx="141">
                  <c:v>-3.2529218548793537E-6</c:v>
                </c:pt>
                <c:pt idx="142">
                  <c:v>-3.1424205377494907E-5</c:v>
                </c:pt>
                <c:pt idx="143">
                  <c:v>-3.594130546402674E-6</c:v>
                </c:pt>
                <c:pt idx="144">
                  <c:v>2.2978436444498485E-5</c:v>
                </c:pt>
                <c:pt idx="145">
                  <c:v>-9.3361955010307085E-6</c:v>
                </c:pt>
                <c:pt idx="146">
                  <c:v>1.2028245633288748E-5</c:v>
                </c:pt>
                <c:pt idx="147">
                  <c:v>2.7394078048414983E-5</c:v>
                </c:pt>
                <c:pt idx="148">
                  <c:v>-3.346435232021161E-5</c:v>
                </c:pt>
                <c:pt idx="149">
                  <c:v>-3.3132278704939289E-5</c:v>
                </c:pt>
                <c:pt idx="150">
                  <c:v>1.4535215379307687E-5</c:v>
                </c:pt>
                <c:pt idx="151">
                  <c:v>3.5227007437521607E-5</c:v>
                </c:pt>
                <c:pt idx="152">
                  <c:v>-8.8535412043899697E-6</c:v>
                </c:pt>
                <c:pt idx="153">
                  <c:v>6.2209574356320019E-6</c:v>
                </c:pt>
                <c:pt idx="154">
                  <c:v>-2.8487831294721211E-5</c:v>
                </c:pt>
                <c:pt idx="155">
                  <c:v>-8.772556691849509E-6</c:v>
                </c:pt>
                <c:pt idx="156">
                  <c:v>-3.2792682029492148E-5</c:v>
                </c:pt>
                <c:pt idx="157">
                  <c:v>-3.6732129845895578E-5</c:v>
                </c:pt>
                <c:pt idx="158">
                  <c:v>1.514544999259293E-5</c:v>
                </c:pt>
                <c:pt idx="159">
                  <c:v>-2.2043674461014184E-5</c:v>
                </c:pt>
                <c:pt idx="160">
                  <c:v>2.2296943700261806E-5</c:v>
                </c:pt>
                <c:pt idx="161">
                  <c:v>-2.8179940197214925E-5</c:v>
                </c:pt>
                <c:pt idx="162">
                  <c:v>1.8116872788853655E-5</c:v>
                </c:pt>
                <c:pt idx="163">
                  <c:v>-2.1539608144105493E-5</c:v>
                </c:pt>
                <c:pt idx="164">
                  <c:v>-9.1496350793640602E-6</c:v>
                </c:pt>
                <c:pt idx="165">
                  <c:v>3.4734517275314403E-5</c:v>
                </c:pt>
                <c:pt idx="166">
                  <c:v>-8.1560137917824349E-6</c:v>
                </c:pt>
                <c:pt idx="167">
                  <c:v>3.700776155990404E-5</c:v>
                </c:pt>
                <c:pt idx="168">
                  <c:v>-2.7160680746152188E-5</c:v>
                </c:pt>
                <c:pt idx="169">
                  <c:v>2.2543813763542531E-5</c:v>
                </c:pt>
                <c:pt idx="170">
                  <c:v>3.02839176955505E-5</c:v>
                </c:pt>
                <c:pt idx="171">
                  <c:v>-2.1419379701570485E-5</c:v>
                </c:pt>
                <c:pt idx="172">
                  <c:v>-9.542450946198322E-6</c:v>
                </c:pt>
                <c:pt idx="173">
                  <c:v>6.9820638204376451E-7</c:v>
                </c:pt>
                <c:pt idx="174">
                  <c:v>-3.5828530619119725E-5</c:v>
                </c:pt>
                <c:pt idx="175">
                  <c:v>-2.3694180670497111E-5</c:v>
                </c:pt>
                <c:pt idx="176">
                  <c:v>-1.7112027561605458E-5</c:v>
                </c:pt>
                <c:pt idx="177">
                  <c:v>-3.5142032794088784E-5</c:v>
                </c:pt>
                <c:pt idx="178">
                  <c:v>1.2253123740757488E-5</c:v>
                </c:pt>
                <c:pt idx="179">
                  <c:v>-6.8083984748890103E-6</c:v>
                </c:pt>
                <c:pt idx="180">
                  <c:v>-2.7565676201990463E-5</c:v>
                </c:pt>
                <c:pt idx="181">
                  <c:v>1.3179363540949396E-5</c:v>
                </c:pt>
                <c:pt idx="182">
                  <c:v>1.7508897044660188E-5</c:v>
                </c:pt>
                <c:pt idx="183">
                  <c:v>-4.9712448276784116E-6</c:v>
                </c:pt>
                <c:pt idx="184">
                  <c:v>1.5934918055293679E-5</c:v>
                </c:pt>
                <c:pt idx="185">
                  <c:v>-4.0771684409746101E-6</c:v>
                </c:pt>
                <c:pt idx="186">
                  <c:v>3.139261377649305E-5</c:v>
                </c:pt>
                <c:pt idx="187">
                  <c:v>1.5471742392136889E-5</c:v>
                </c:pt>
                <c:pt idx="188">
                  <c:v>2.3045864452342357E-5</c:v>
                </c:pt>
                <c:pt idx="189">
                  <c:v>8.9685213453538637E-6</c:v>
                </c:pt>
                <c:pt idx="190">
                  <c:v>-1.1998142878999474E-5</c:v>
                </c:pt>
                <c:pt idx="191">
                  <c:v>-2.7827354671217108E-5</c:v>
                </c:pt>
                <c:pt idx="192">
                  <c:v>-2.6988674672545621E-5</c:v>
                </c:pt>
                <c:pt idx="193">
                  <c:v>-3.418268868471408E-5</c:v>
                </c:pt>
                <c:pt idx="194">
                  <c:v>1.383004258892484E-6</c:v>
                </c:pt>
                <c:pt idx="195">
                  <c:v>-3.0732441860248372E-6</c:v>
                </c:pt>
                <c:pt idx="196">
                  <c:v>1.1992749011646708E-6</c:v>
                </c:pt>
                <c:pt idx="197">
                  <c:v>1.8215540751542747E-5</c:v>
                </c:pt>
                <c:pt idx="198">
                  <c:v>-2.4926910510814082E-5</c:v>
                </c:pt>
                <c:pt idx="199">
                  <c:v>-4.0715167126670337E-7</c:v>
                </c:pt>
                <c:pt idx="200">
                  <c:v>-2.9608720051976789E-5</c:v>
                </c:pt>
                <c:pt idx="201">
                  <c:v>1.0572889716620182E-5</c:v>
                </c:pt>
                <c:pt idx="202">
                  <c:v>2.1501106319821162E-6</c:v>
                </c:pt>
                <c:pt idx="203">
                  <c:v>1.6403660565211808E-5</c:v>
                </c:pt>
                <c:pt idx="204">
                  <c:v>-9.0571450505061435E-6</c:v>
                </c:pt>
                <c:pt idx="205">
                  <c:v>-3.0043757158759732E-6</c:v>
                </c:pt>
                <c:pt idx="206">
                  <c:v>-8.4211210265028313E-6</c:v>
                </c:pt>
                <c:pt idx="207">
                  <c:v>-6.6411301088420416E-6</c:v>
                </c:pt>
                <c:pt idx="208">
                  <c:v>-1.660191817576262E-5</c:v>
                </c:pt>
                <c:pt idx="209">
                  <c:v>-2.4903404896692294E-5</c:v>
                </c:pt>
                <c:pt idx="210">
                  <c:v>-1.7424853331227119E-5</c:v>
                </c:pt>
                <c:pt idx="211">
                  <c:v>1.7360851802816768E-6</c:v>
                </c:pt>
                <c:pt idx="212">
                  <c:v>-1.8554213209176496E-6</c:v>
                </c:pt>
                <c:pt idx="213">
                  <c:v>-2.1036487162451323E-5</c:v>
                </c:pt>
                <c:pt idx="214">
                  <c:v>2.7653621839096587E-5</c:v>
                </c:pt>
                <c:pt idx="215">
                  <c:v>1.6212564022843878E-5</c:v>
                </c:pt>
                <c:pt idx="216">
                  <c:v>-7.7277416803411825E-6</c:v>
                </c:pt>
              </c:numCache>
            </c:numRef>
          </c:val>
          <c:smooth val="0"/>
          <c:extLst>
            <c:ext xmlns:c16="http://schemas.microsoft.com/office/drawing/2014/chart" uri="{C3380CC4-5D6E-409C-BE32-E72D297353CC}">
              <c16:uniqueId val="{00000001-7452-404D-8DF3-066A3307EBC9}"/>
            </c:ext>
          </c:extLst>
        </c:ser>
        <c:dLbls>
          <c:showLegendKey val="0"/>
          <c:showVal val="0"/>
          <c:showCatName val="0"/>
          <c:showSerName val="0"/>
          <c:showPercent val="0"/>
          <c:showBubbleSize val="0"/>
        </c:dLbls>
        <c:smooth val="0"/>
        <c:axId val="1776439007"/>
        <c:axId val="1685395855"/>
      </c:lineChart>
      <c:dateAx>
        <c:axId val="1776439007"/>
        <c:scaling>
          <c:orientation val="minMax"/>
        </c:scaling>
        <c:delete val="0"/>
        <c:axPos val="b"/>
        <c:numFmt formatCode="mmm\-yy"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1685395855"/>
        <c:crosses val="autoZero"/>
        <c:auto val="1"/>
        <c:lblOffset val="100"/>
        <c:baseTimeUnit val="months"/>
      </c:dateAx>
      <c:valAx>
        <c:axId val="1685395855"/>
        <c:scaling>
          <c:orientation val="minMax"/>
        </c:scaling>
        <c:delete val="0"/>
        <c:axPos val="l"/>
        <c:majorGridlines>
          <c:spPr>
            <a:ln w="9525" cap="flat" cmpd="sng" algn="ctr">
              <a:solidFill>
                <a:schemeClr val="tx1">
                  <a:lumMod val="15000"/>
                  <a:lumOff val="85000"/>
                </a:schemeClr>
              </a:solidFill>
              <a:round/>
            </a:ln>
            <a:effectLst/>
          </c:spPr>
        </c:majorGridlines>
        <c:numFmt formatCode="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1776439007"/>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pt-BR"/>
              <a:t>Brazil GDP</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pt-BR"/>
        </a:p>
      </c:txPr>
    </c:title>
    <c:autoTitleDeleted val="0"/>
    <c:plotArea>
      <c:layout/>
      <c:lineChart>
        <c:grouping val="standard"/>
        <c:varyColors val="0"/>
        <c:ser>
          <c:idx val="0"/>
          <c:order val="0"/>
          <c:tx>
            <c:strRef>
              <c:f>'Quarterly - GDP'!$B$2</c:f>
              <c:strCache>
                <c:ptCount val="1"/>
                <c:pt idx="0">
                  <c:v>BR GDP</c:v>
                </c:pt>
              </c:strCache>
            </c:strRef>
          </c:tx>
          <c:spPr>
            <a:ln w="28575" cap="rnd">
              <a:solidFill>
                <a:schemeClr val="accent1"/>
              </a:solidFill>
              <a:round/>
            </a:ln>
            <a:effectLst/>
          </c:spPr>
          <c:marker>
            <c:symbol val="none"/>
          </c:marker>
          <c:cat>
            <c:numRef>
              <c:f>'Quarterly - GDP'!$A$3:$A$105</c:f>
              <c:numCache>
                <c:formatCode>[$-416]mmm\-yy;@</c:formatCode>
                <c:ptCount val="103"/>
                <c:pt idx="0">
                  <c:v>35065</c:v>
                </c:pt>
                <c:pt idx="1">
                  <c:v>35156</c:v>
                </c:pt>
                <c:pt idx="2">
                  <c:v>35247</c:v>
                </c:pt>
                <c:pt idx="3">
                  <c:v>35339</c:v>
                </c:pt>
                <c:pt idx="4">
                  <c:v>35431</c:v>
                </c:pt>
                <c:pt idx="5">
                  <c:v>35521</c:v>
                </c:pt>
                <c:pt idx="6">
                  <c:v>35612</c:v>
                </c:pt>
                <c:pt idx="7">
                  <c:v>35704</c:v>
                </c:pt>
                <c:pt idx="8">
                  <c:v>35796</c:v>
                </c:pt>
                <c:pt idx="9">
                  <c:v>35886</c:v>
                </c:pt>
                <c:pt idx="10">
                  <c:v>35977</c:v>
                </c:pt>
                <c:pt idx="11">
                  <c:v>36069</c:v>
                </c:pt>
                <c:pt idx="12">
                  <c:v>36161</c:v>
                </c:pt>
                <c:pt idx="13">
                  <c:v>36251</c:v>
                </c:pt>
                <c:pt idx="14">
                  <c:v>36342</c:v>
                </c:pt>
                <c:pt idx="15">
                  <c:v>36434</c:v>
                </c:pt>
                <c:pt idx="16">
                  <c:v>36526</c:v>
                </c:pt>
                <c:pt idx="17">
                  <c:v>36617</c:v>
                </c:pt>
                <c:pt idx="18">
                  <c:v>36708</c:v>
                </c:pt>
                <c:pt idx="19">
                  <c:v>36800</c:v>
                </c:pt>
                <c:pt idx="20">
                  <c:v>36892</c:v>
                </c:pt>
                <c:pt idx="21">
                  <c:v>36982</c:v>
                </c:pt>
                <c:pt idx="22">
                  <c:v>37073</c:v>
                </c:pt>
                <c:pt idx="23">
                  <c:v>37165</c:v>
                </c:pt>
                <c:pt idx="24">
                  <c:v>37257</c:v>
                </c:pt>
                <c:pt idx="25">
                  <c:v>37347</c:v>
                </c:pt>
                <c:pt idx="26">
                  <c:v>37438</c:v>
                </c:pt>
                <c:pt idx="27">
                  <c:v>37530</c:v>
                </c:pt>
                <c:pt idx="28">
                  <c:v>37622</c:v>
                </c:pt>
                <c:pt idx="29">
                  <c:v>37712</c:v>
                </c:pt>
                <c:pt idx="30">
                  <c:v>37803</c:v>
                </c:pt>
                <c:pt idx="31">
                  <c:v>37895</c:v>
                </c:pt>
                <c:pt idx="32">
                  <c:v>37987</c:v>
                </c:pt>
                <c:pt idx="33">
                  <c:v>38078</c:v>
                </c:pt>
                <c:pt idx="34">
                  <c:v>38169</c:v>
                </c:pt>
                <c:pt idx="35">
                  <c:v>38261</c:v>
                </c:pt>
                <c:pt idx="36">
                  <c:v>38353</c:v>
                </c:pt>
                <c:pt idx="37">
                  <c:v>38443</c:v>
                </c:pt>
                <c:pt idx="38">
                  <c:v>38534</c:v>
                </c:pt>
                <c:pt idx="39">
                  <c:v>38626</c:v>
                </c:pt>
                <c:pt idx="40">
                  <c:v>38718</c:v>
                </c:pt>
                <c:pt idx="41">
                  <c:v>38808</c:v>
                </c:pt>
                <c:pt idx="42">
                  <c:v>38899</c:v>
                </c:pt>
                <c:pt idx="43">
                  <c:v>38991</c:v>
                </c:pt>
                <c:pt idx="44">
                  <c:v>39083</c:v>
                </c:pt>
                <c:pt idx="45">
                  <c:v>39173</c:v>
                </c:pt>
                <c:pt idx="46">
                  <c:v>39264</c:v>
                </c:pt>
                <c:pt idx="47">
                  <c:v>39356</c:v>
                </c:pt>
                <c:pt idx="48">
                  <c:v>39448</c:v>
                </c:pt>
                <c:pt idx="49">
                  <c:v>39539</c:v>
                </c:pt>
                <c:pt idx="50">
                  <c:v>39630</c:v>
                </c:pt>
                <c:pt idx="51">
                  <c:v>39722</c:v>
                </c:pt>
                <c:pt idx="52">
                  <c:v>39814</c:v>
                </c:pt>
                <c:pt idx="53">
                  <c:v>39904</c:v>
                </c:pt>
                <c:pt idx="54">
                  <c:v>39995</c:v>
                </c:pt>
                <c:pt idx="55">
                  <c:v>40087</c:v>
                </c:pt>
                <c:pt idx="56">
                  <c:v>40179</c:v>
                </c:pt>
                <c:pt idx="57">
                  <c:v>40269</c:v>
                </c:pt>
                <c:pt idx="58">
                  <c:v>40360</c:v>
                </c:pt>
                <c:pt idx="59">
                  <c:v>40452</c:v>
                </c:pt>
                <c:pt idx="60">
                  <c:v>40544</c:v>
                </c:pt>
                <c:pt idx="61">
                  <c:v>40634</c:v>
                </c:pt>
                <c:pt idx="62">
                  <c:v>40725</c:v>
                </c:pt>
                <c:pt idx="63">
                  <c:v>40817</c:v>
                </c:pt>
                <c:pt idx="64">
                  <c:v>40909</c:v>
                </c:pt>
                <c:pt idx="65">
                  <c:v>41000</c:v>
                </c:pt>
                <c:pt idx="66">
                  <c:v>41091</c:v>
                </c:pt>
                <c:pt idx="67">
                  <c:v>41183</c:v>
                </c:pt>
                <c:pt idx="68">
                  <c:v>41275</c:v>
                </c:pt>
                <c:pt idx="69">
                  <c:v>41365</c:v>
                </c:pt>
                <c:pt idx="70">
                  <c:v>41456</c:v>
                </c:pt>
                <c:pt idx="71">
                  <c:v>41548</c:v>
                </c:pt>
                <c:pt idx="72">
                  <c:v>41640</c:v>
                </c:pt>
                <c:pt idx="73">
                  <c:v>41730</c:v>
                </c:pt>
                <c:pt idx="74">
                  <c:v>41821</c:v>
                </c:pt>
                <c:pt idx="75">
                  <c:v>41913</c:v>
                </c:pt>
                <c:pt idx="76">
                  <c:v>42005</c:v>
                </c:pt>
                <c:pt idx="77">
                  <c:v>42095</c:v>
                </c:pt>
                <c:pt idx="78">
                  <c:v>42186</c:v>
                </c:pt>
                <c:pt idx="79">
                  <c:v>42278</c:v>
                </c:pt>
                <c:pt idx="80">
                  <c:v>42370</c:v>
                </c:pt>
                <c:pt idx="81">
                  <c:v>42461</c:v>
                </c:pt>
                <c:pt idx="82">
                  <c:v>42552</c:v>
                </c:pt>
                <c:pt idx="83">
                  <c:v>42644</c:v>
                </c:pt>
                <c:pt idx="84">
                  <c:v>42736</c:v>
                </c:pt>
                <c:pt idx="85">
                  <c:v>42826</c:v>
                </c:pt>
                <c:pt idx="86">
                  <c:v>42917</c:v>
                </c:pt>
                <c:pt idx="87">
                  <c:v>43009</c:v>
                </c:pt>
                <c:pt idx="88">
                  <c:v>43101</c:v>
                </c:pt>
                <c:pt idx="89">
                  <c:v>43191</c:v>
                </c:pt>
                <c:pt idx="90">
                  <c:v>43282</c:v>
                </c:pt>
                <c:pt idx="91">
                  <c:v>43374</c:v>
                </c:pt>
                <c:pt idx="92">
                  <c:v>43466</c:v>
                </c:pt>
                <c:pt idx="93">
                  <c:v>43556</c:v>
                </c:pt>
                <c:pt idx="94">
                  <c:v>43647</c:v>
                </c:pt>
                <c:pt idx="95">
                  <c:v>43739</c:v>
                </c:pt>
                <c:pt idx="96">
                  <c:v>43831</c:v>
                </c:pt>
                <c:pt idx="97">
                  <c:v>43922</c:v>
                </c:pt>
                <c:pt idx="98">
                  <c:v>44013</c:v>
                </c:pt>
                <c:pt idx="99">
                  <c:v>44105</c:v>
                </c:pt>
                <c:pt idx="100">
                  <c:v>44197</c:v>
                </c:pt>
                <c:pt idx="101">
                  <c:v>44287</c:v>
                </c:pt>
                <c:pt idx="102">
                  <c:v>44378</c:v>
                </c:pt>
              </c:numCache>
            </c:numRef>
          </c:cat>
          <c:val>
            <c:numRef>
              <c:f>'Quarterly - GDP'!$B$3:$B$105</c:f>
              <c:numCache>
                <c:formatCode>General</c:formatCode>
                <c:ptCount val="103"/>
                <c:pt idx="0" formatCode="0.0">
                  <c:v>96.8</c:v>
                </c:pt>
                <c:pt idx="1">
                  <c:v>100.1</c:v>
                </c:pt>
                <c:pt idx="2">
                  <c:v>107.6</c:v>
                </c:pt>
                <c:pt idx="3">
                  <c:v>104.3</c:v>
                </c:pt>
                <c:pt idx="4">
                  <c:v>100.1</c:v>
                </c:pt>
                <c:pt idx="5">
                  <c:v>104.9</c:v>
                </c:pt>
                <c:pt idx="6">
                  <c:v>109.5</c:v>
                </c:pt>
                <c:pt idx="7">
                  <c:v>108.2</c:v>
                </c:pt>
                <c:pt idx="8">
                  <c:v>101.1</c:v>
                </c:pt>
                <c:pt idx="9">
                  <c:v>106.5</c:v>
                </c:pt>
                <c:pt idx="10">
                  <c:v>109.9</c:v>
                </c:pt>
                <c:pt idx="11">
                  <c:v>106.7</c:v>
                </c:pt>
                <c:pt idx="12">
                  <c:v>101.9</c:v>
                </c:pt>
                <c:pt idx="13">
                  <c:v>106</c:v>
                </c:pt>
                <c:pt idx="14">
                  <c:v>109.2</c:v>
                </c:pt>
                <c:pt idx="15">
                  <c:v>109</c:v>
                </c:pt>
                <c:pt idx="16">
                  <c:v>106.4</c:v>
                </c:pt>
                <c:pt idx="17">
                  <c:v>110.3</c:v>
                </c:pt>
                <c:pt idx="18">
                  <c:v>114.2</c:v>
                </c:pt>
                <c:pt idx="19">
                  <c:v>114</c:v>
                </c:pt>
                <c:pt idx="20">
                  <c:v>110.1</c:v>
                </c:pt>
                <c:pt idx="21">
                  <c:v>112.8</c:v>
                </c:pt>
                <c:pt idx="22">
                  <c:v>114.7</c:v>
                </c:pt>
                <c:pt idx="23">
                  <c:v>113.4</c:v>
                </c:pt>
                <c:pt idx="24">
                  <c:v>110.6</c:v>
                </c:pt>
                <c:pt idx="25">
                  <c:v>115.4</c:v>
                </c:pt>
                <c:pt idx="26">
                  <c:v>119.5</c:v>
                </c:pt>
                <c:pt idx="27">
                  <c:v>119.2</c:v>
                </c:pt>
                <c:pt idx="28">
                  <c:v>113.6</c:v>
                </c:pt>
                <c:pt idx="29">
                  <c:v>116.3</c:v>
                </c:pt>
                <c:pt idx="30">
                  <c:v>120.2</c:v>
                </c:pt>
                <c:pt idx="31">
                  <c:v>119.9</c:v>
                </c:pt>
                <c:pt idx="32">
                  <c:v>118</c:v>
                </c:pt>
                <c:pt idx="33">
                  <c:v>123.7</c:v>
                </c:pt>
                <c:pt idx="34">
                  <c:v>128.1</c:v>
                </c:pt>
                <c:pt idx="35">
                  <c:v>127.4</c:v>
                </c:pt>
                <c:pt idx="36">
                  <c:v>122.9</c:v>
                </c:pt>
                <c:pt idx="37">
                  <c:v>129.19999999999999</c:v>
                </c:pt>
                <c:pt idx="38">
                  <c:v>130.80000000000001</c:v>
                </c:pt>
                <c:pt idx="39">
                  <c:v>130.1</c:v>
                </c:pt>
                <c:pt idx="40">
                  <c:v>128.19999999999999</c:v>
                </c:pt>
                <c:pt idx="41">
                  <c:v>132.1</c:v>
                </c:pt>
                <c:pt idx="42">
                  <c:v>136.69999999999999</c:v>
                </c:pt>
                <c:pt idx="43">
                  <c:v>136.4</c:v>
                </c:pt>
                <c:pt idx="44">
                  <c:v>134.80000000000001</c:v>
                </c:pt>
                <c:pt idx="45">
                  <c:v>140.80000000000001</c:v>
                </c:pt>
                <c:pt idx="46">
                  <c:v>144.80000000000001</c:v>
                </c:pt>
                <c:pt idx="47">
                  <c:v>145.4</c:v>
                </c:pt>
                <c:pt idx="48">
                  <c:v>143.1</c:v>
                </c:pt>
                <c:pt idx="49">
                  <c:v>149.69999999999999</c:v>
                </c:pt>
                <c:pt idx="50">
                  <c:v>154.9</c:v>
                </c:pt>
                <c:pt idx="51">
                  <c:v>146.9</c:v>
                </c:pt>
                <c:pt idx="52">
                  <c:v>139.69999999999999</c:v>
                </c:pt>
                <c:pt idx="53">
                  <c:v>146.4</c:v>
                </c:pt>
                <c:pt idx="54">
                  <c:v>153.1</c:v>
                </c:pt>
                <c:pt idx="55">
                  <c:v>154.69999999999999</c:v>
                </c:pt>
                <c:pt idx="56">
                  <c:v>152.5</c:v>
                </c:pt>
                <c:pt idx="57">
                  <c:v>158.9</c:v>
                </c:pt>
                <c:pt idx="58">
                  <c:v>163.6</c:v>
                </c:pt>
                <c:pt idx="59">
                  <c:v>163.5</c:v>
                </c:pt>
                <c:pt idx="60">
                  <c:v>160.5</c:v>
                </c:pt>
                <c:pt idx="61">
                  <c:v>166.3</c:v>
                </c:pt>
                <c:pt idx="62">
                  <c:v>169.4</c:v>
                </c:pt>
                <c:pt idx="63">
                  <c:v>167.7</c:v>
                </c:pt>
                <c:pt idx="64">
                  <c:v>163.19999999999999</c:v>
                </c:pt>
                <c:pt idx="65">
                  <c:v>168</c:v>
                </c:pt>
                <c:pt idx="66">
                  <c:v>173.6</c:v>
                </c:pt>
                <c:pt idx="67">
                  <c:v>171.9</c:v>
                </c:pt>
                <c:pt idx="68">
                  <c:v>167.6</c:v>
                </c:pt>
                <c:pt idx="69">
                  <c:v>174.7</c:v>
                </c:pt>
                <c:pt idx="70">
                  <c:v>178.4</c:v>
                </c:pt>
                <c:pt idx="71">
                  <c:v>176.3</c:v>
                </c:pt>
                <c:pt idx="72">
                  <c:v>173.4</c:v>
                </c:pt>
                <c:pt idx="73">
                  <c:v>174</c:v>
                </c:pt>
                <c:pt idx="74">
                  <c:v>177.3</c:v>
                </c:pt>
                <c:pt idx="75">
                  <c:v>175.9</c:v>
                </c:pt>
                <c:pt idx="76">
                  <c:v>170.6</c:v>
                </c:pt>
                <c:pt idx="77">
                  <c:v>169.2</c:v>
                </c:pt>
                <c:pt idx="78">
                  <c:v>169.7</c:v>
                </c:pt>
                <c:pt idx="79">
                  <c:v>166.2</c:v>
                </c:pt>
                <c:pt idx="80">
                  <c:v>161.9</c:v>
                </c:pt>
                <c:pt idx="81">
                  <c:v>163.80000000000001</c:v>
                </c:pt>
                <c:pt idx="82">
                  <c:v>165.6</c:v>
                </c:pt>
                <c:pt idx="83">
                  <c:v>162.4</c:v>
                </c:pt>
                <c:pt idx="84">
                  <c:v>162.30000000000001</c:v>
                </c:pt>
                <c:pt idx="85">
                  <c:v>165.1</c:v>
                </c:pt>
                <c:pt idx="86">
                  <c:v>168.3</c:v>
                </c:pt>
                <c:pt idx="87">
                  <c:v>166.6</c:v>
                </c:pt>
                <c:pt idx="88">
                  <c:v>165.4</c:v>
                </c:pt>
                <c:pt idx="89">
                  <c:v>167.7</c:v>
                </c:pt>
                <c:pt idx="90">
                  <c:v>171.7</c:v>
                </c:pt>
                <c:pt idx="91">
                  <c:v>169.2</c:v>
                </c:pt>
                <c:pt idx="92">
                  <c:v>167.1</c:v>
                </c:pt>
                <c:pt idx="93">
                  <c:v>169.8</c:v>
                </c:pt>
                <c:pt idx="94">
                  <c:v>173.6</c:v>
                </c:pt>
                <c:pt idx="95">
                  <c:v>171.7</c:v>
                </c:pt>
                <c:pt idx="96">
                  <c:v>166.9</c:v>
                </c:pt>
                <c:pt idx="97">
                  <c:v>151.6</c:v>
                </c:pt>
                <c:pt idx="98">
                  <c:v>167.2</c:v>
                </c:pt>
                <c:pt idx="99">
                  <c:v>170.1</c:v>
                </c:pt>
                <c:pt idx="100">
                  <c:v>169</c:v>
                </c:pt>
                <c:pt idx="101">
                  <c:v>170.3</c:v>
                </c:pt>
                <c:pt idx="102">
                  <c:v>173.9</c:v>
                </c:pt>
              </c:numCache>
            </c:numRef>
          </c:val>
          <c:smooth val="0"/>
          <c:extLst>
            <c:ext xmlns:c16="http://schemas.microsoft.com/office/drawing/2014/chart" uri="{C3380CC4-5D6E-409C-BE32-E72D297353CC}">
              <c16:uniqueId val="{00000000-7BAC-4058-9726-6758511A0A04}"/>
            </c:ext>
          </c:extLst>
        </c:ser>
        <c:ser>
          <c:idx val="1"/>
          <c:order val="1"/>
          <c:tx>
            <c:strRef>
              <c:f>'Quarterly - GDP'!$C$2</c:f>
              <c:strCache>
                <c:ptCount val="1"/>
                <c:pt idx="0">
                  <c:v>Official SA</c:v>
                </c:pt>
              </c:strCache>
            </c:strRef>
          </c:tx>
          <c:spPr>
            <a:ln w="28575" cap="rnd">
              <a:solidFill>
                <a:schemeClr val="accent2"/>
              </a:solidFill>
              <a:round/>
            </a:ln>
            <a:effectLst/>
          </c:spPr>
          <c:marker>
            <c:symbol val="none"/>
          </c:marker>
          <c:cat>
            <c:numRef>
              <c:f>'Quarterly - GDP'!$A$3:$A$105</c:f>
              <c:numCache>
                <c:formatCode>[$-416]mmm\-yy;@</c:formatCode>
                <c:ptCount val="103"/>
                <c:pt idx="0">
                  <c:v>35065</c:v>
                </c:pt>
                <c:pt idx="1">
                  <c:v>35156</c:v>
                </c:pt>
                <c:pt idx="2">
                  <c:v>35247</c:v>
                </c:pt>
                <c:pt idx="3">
                  <c:v>35339</c:v>
                </c:pt>
                <c:pt idx="4">
                  <c:v>35431</c:v>
                </c:pt>
                <c:pt idx="5">
                  <c:v>35521</c:v>
                </c:pt>
                <c:pt idx="6">
                  <c:v>35612</c:v>
                </c:pt>
                <c:pt idx="7">
                  <c:v>35704</c:v>
                </c:pt>
                <c:pt idx="8">
                  <c:v>35796</c:v>
                </c:pt>
                <c:pt idx="9">
                  <c:v>35886</c:v>
                </c:pt>
                <c:pt idx="10">
                  <c:v>35977</c:v>
                </c:pt>
                <c:pt idx="11">
                  <c:v>36069</c:v>
                </c:pt>
                <c:pt idx="12">
                  <c:v>36161</c:v>
                </c:pt>
                <c:pt idx="13">
                  <c:v>36251</c:v>
                </c:pt>
                <c:pt idx="14">
                  <c:v>36342</c:v>
                </c:pt>
                <c:pt idx="15">
                  <c:v>36434</c:v>
                </c:pt>
                <c:pt idx="16">
                  <c:v>36526</c:v>
                </c:pt>
                <c:pt idx="17">
                  <c:v>36617</c:v>
                </c:pt>
                <c:pt idx="18">
                  <c:v>36708</c:v>
                </c:pt>
                <c:pt idx="19">
                  <c:v>36800</c:v>
                </c:pt>
                <c:pt idx="20">
                  <c:v>36892</c:v>
                </c:pt>
                <c:pt idx="21">
                  <c:v>36982</c:v>
                </c:pt>
                <c:pt idx="22">
                  <c:v>37073</c:v>
                </c:pt>
                <c:pt idx="23">
                  <c:v>37165</c:v>
                </c:pt>
                <c:pt idx="24">
                  <c:v>37257</c:v>
                </c:pt>
                <c:pt idx="25">
                  <c:v>37347</c:v>
                </c:pt>
                <c:pt idx="26">
                  <c:v>37438</c:v>
                </c:pt>
                <c:pt idx="27">
                  <c:v>37530</c:v>
                </c:pt>
                <c:pt idx="28">
                  <c:v>37622</c:v>
                </c:pt>
                <c:pt idx="29">
                  <c:v>37712</c:v>
                </c:pt>
                <c:pt idx="30">
                  <c:v>37803</c:v>
                </c:pt>
                <c:pt idx="31">
                  <c:v>37895</c:v>
                </c:pt>
                <c:pt idx="32">
                  <c:v>37987</c:v>
                </c:pt>
                <c:pt idx="33">
                  <c:v>38078</c:v>
                </c:pt>
                <c:pt idx="34">
                  <c:v>38169</c:v>
                </c:pt>
                <c:pt idx="35">
                  <c:v>38261</c:v>
                </c:pt>
                <c:pt idx="36">
                  <c:v>38353</c:v>
                </c:pt>
                <c:pt idx="37">
                  <c:v>38443</c:v>
                </c:pt>
                <c:pt idx="38">
                  <c:v>38534</c:v>
                </c:pt>
                <c:pt idx="39">
                  <c:v>38626</c:v>
                </c:pt>
                <c:pt idx="40">
                  <c:v>38718</c:v>
                </c:pt>
                <c:pt idx="41">
                  <c:v>38808</c:v>
                </c:pt>
                <c:pt idx="42">
                  <c:v>38899</c:v>
                </c:pt>
                <c:pt idx="43">
                  <c:v>38991</c:v>
                </c:pt>
                <c:pt idx="44">
                  <c:v>39083</c:v>
                </c:pt>
                <c:pt idx="45">
                  <c:v>39173</c:v>
                </c:pt>
                <c:pt idx="46">
                  <c:v>39264</c:v>
                </c:pt>
                <c:pt idx="47">
                  <c:v>39356</c:v>
                </c:pt>
                <c:pt idx="48">
                  <c:v>39448</c:v>
                </c:pt>
                <c:pt idx="49">
                  <c:v>39539</c:v>
                </c:pt>
                <c:pt idx="50">
                  <c:v>39630</c:v>
                </c:pt>
                <c:pt idx="51">
                  <c:v>39722</c:v>
                </c:pt>
                <c:pt idx="52">
                  <c:v>39814</c:v>
                </c:pt>
                <c:pt idx="53">
                  <c:v>39904</c:v>
                </c:pt>
                <c:pt idx="54">
                  <c:v>39995</c:v>
                </c:pt>
                <c:pt idx="55">
                  <c:v>40087</c:v>
                </c:pt>
                <c:pt idx="56">
                  <c:v>40179</c:v>
                </c:pt>
                <c:pt idx="57">
                  <c:v>40269</c:v>
                </c:pt>
                <c:pt idx="58">
                  <c:v>40360</c:v>
                </c:pt>
                <c:pt idx="59">
                  <c:v>40452</c:v>
                </c:pt>
                <c:pt idx="60">
                  <c:v>40544</c:v>
                </c:pt>
                <c:pt idx="61">
                  <c:v>40634</c:v>
                </c:pt>
                <c:pt idx="62">
                  <c:v>40725</c:v>
                </c:pt>
                <c:pt idx="63">
                  <c:v>40817</c:v>
                </c:pt>
                <c:pt idx="64">
                  <c:v>40909</c:v>
                </c:pt>
                <c:pt idx="65">
                  <c:v>41000</c:v>
                </c:pt>
                <c:pt idx="66">
                  <c:v>41091</c:v>
                </c:pt>
                <c:pt idx="67">
                  <c:v>41183</c:v>
                </c:pt>
                <c:pt idx="68">
                  <c:v>41275</c:v>
                </c:pt>
                <c:pt idx="69">
                  <c:v>41365</c:v>
                </c:pt>
                <c:pt idx="70">
                  <c:v>41456</c:v>
                </c:pt>
                <c:pt idx="71">
                  <c:v>41548</c:v>
                </c:pt>
                <c:pt idx="72">
                  <c:v>41640</c:v>
                </c:pt>
                <c:pt idx="73">
                  <c:v>41730</c:v>
                </c:pt>
                <c:pt idx="74">
                  <c:v>41821</c:v>
                </c:pt>
                <c:pt idx="75">
                  <c:v>41913</c:v>
                </c:pt>
                <c:pt idx="76">
                  <c:v>42005</c:v>
                </c:pt>
                <c:pt idx="77">
                  <c:v>42095</c:v>
                </c:pt>
                <c:pt idx="78">
                  <c:v>42186</c:v>
                </c:pt>
                <c:pt idx="79">
                  <c:v>42278</c:v>
                </c:pt>
                <c:pt idx="80">
                  <c:v>42370</c:v>
                </c:pt>
                <c:pt idx="81">
                  <c:v>42461</c:v>
                </c:pt>
                <c:pt idx="82">
                  <c:v>42552</c:v>
                </c:pt>
                <c:pt idx="83">
                  <c:v>42644</c:v>
                </c:pt>
                <c:pt idx="84">
                  <c:v>42736</c:v>
                </c:pt>
                <c:pt idx="85">
                  <c:v>42826</c:v>
                </c:pt>
                <c:pt idx="86">
                  <c:v>42917</c:v>
                </c:pt>
                <c:pt idx="87">
                  <c:v>43009</c:v>
                </c:pt>
                <c:pt idx="88">
                  <c:v>43101</c:v>
                </c:pt>
                <c:pt idx="89">
                  <c:v>43191</c:v>
                </c:pt>
                <c:pt idx="90">
                  <c:v>43282</c:v>
                </c:pt>
                <c:pt idx="91">
                  <c:v>43374</c:v>
                </c:pt>
                <c:pt idx="92">
                  <c:v>43466</c:v>
                </c:pt>
                <c:pt idx="93">
                  <c:v>43556</c:v>
                </c:pt>
                <c:pt idx="94">
                  <c:v>43647</c:v>
                </c:pt>
                <c:pt idx="95">
                  <c:v>43739</c:v>
                </c:pt>
                <c:pt idx="96">
                  <c:v>43831</c:v>
                </c:pt>
                <c:pt idx="97">
                  <c:v>43922</c:v>
                </c:pt>
                <c:pt idx="98">
                  <c:v>44013</c:v>
                </c:pt>
                <c:pt idx="99">
                  <c:v>44105</c:v>
                </c:pt>
                <c:pt idx="100">
                  <c:v>44197</c:v>
                </c:pt>
                <c:pt idx="101">
                  <c:v>44287</c:v>
                </c:pt>
                <c:pt idx="102">
                  <c:v>44378</c:v>
                </c:pt>
              </c:numCache>
            </c:numRef>
          </c:cat>
          <c:val>
            <c:numRef>
              <c:f>'Quarterly - GDP'!$C$3:$C$105</c:f>
              <c:numCache>
                <c:formatCode>0.0</c:formatCode>
                <c:ptCount val="103"/>
                <c:pt idx="0">
                  <c:v>99.5</c:v>
                </c:pt>
                <c:pt idx="1">
                  <c:v>100.4</c:v>
                </c:pt>
                <c:pt idx="2" formatCode="General">
                  <c:v>104.4</c:v>
                </c:pt>
                <c:pt idx="3" formatCode="General">
                  <c:v>103.3</c:v>
                </c:pt>
                <c:pt idx="4" formatCode="General">
                  <c:v>104.3</c:v>
                </c:pt>
                <c:pt idx="5" formatCode="General">
                  <c:v>105</c:v>
                </c:pt>
                <c:pt idx="6" formatCode="General">
                  <c:v>106.3</c:v>
                </c:pt>
                <c:pt idx="7" formatCode="General">
                  <c:v>107.1</c:v>
                </c:pt>
                <c:pt idx="8" formatCode="General">
                  <c:v>105.1</c:v>
                </c:pt>
                <c:pt idx="9" formatCode="General">
                  <c:v>106.8</c:v>
                </c:pt>
                <c:pt idx="10" formatCode="General">
                  <c:v>106.9</c:v>
                </c:pt>
                <c:pt idx="11" formatCode="General">
                  <c:v>105.6</c:v>
                </c:pt>
                <c:pt idx="12" formatCode="General">
                  <c:v>105.9</c:v>
                </c:pt>
                <c:pt idx="13" formatCode="General">
                  <c:v>106.2</c:v>
                </c:pt>
                <c:pt idx="14" formatCode="General">
                  <c:v>106.4</c:v>
                </c:pt>
                <c:pt idx="15" formatCode="General">
                  <c:v>107.8</c:v>
                </c:pt>
                <c:pt idx="16" formatCode="General">
                  <c:v>109</c:v>
                </c:pt>
                <c:pt idx="17" formatCode="General">
                  <c:v>110.5</c:v>
                </c:pt>
                <c:pt idx="18" formatCode="General">
                  <c:v>111.8</c:v>
                </c:pt>
                <c:pt idx="19" formatCode="General">
                  <c:v>113.2</c:v>
                </c:pt>
                <c:pt idx="20" formatCode="General">
                  <c:v>113.6</c:v>
                </c:pt>
                <c:pt idx="21" formatCode="General">
                  <c:v>113.1</c:v>
                </c:pt>
                <c:pt idx="22" formatCode="General">
                  <c:v>112.5</c:v>
                </c:pt>
                <c:pt idx="23" formatCode="General">
                  <c:v>112.2</c:v>
                </c:pt>
                <c:pt idx="24" formatCode="General">
                  <c:v>114.7</c:v>
                </c:pt>
                <c:pt idx="25" formatCode="General">
                  <c:v>115.4</c:v>
                </c:pt>
                <c:pt idx="26" formatCode="General">
                  <c:v>116.8</c:v>
                </c:pt>
                <c:pt idx="27" formatCode="General">
                  <c:v>118</c:v>
                </c:pt>
                <c:pt idx="28" formatCode="General">
                  <c:v>117.5</c:v>
                </c:pt>
                <c:pt idx="29" formatCode="General">
                  <c:v>116.5</c:v>
                </c:pt>
                <c:pt idx="30" formatCode="General">
                  <c:v>117.6</c:v>
                </c:pt>
                <c:pt idx="31" formatCode="General">
                  <c:v>118.8</c:v>
                </c:pt>
                <c:pt idx="32" formatCode="General">
                  <c:v>120.5</c:v>
                </c:pt>
                <c:pt idx="33" formatCode="General">
                  <c:v>123.8</c:v>
                </c:pt>
                <c:pt idx="34" formatCode="General">
                  <c:v>125.3</c:v>
                </c:pt>
                <c:pt idx="35" formatCode="General">
                  <c:v>126.3</c:v>
                </c:pt>
                <c:pt idx="36" formatCode="General">
                  <c:v>127.2</c:v>
                </c:pt>
                <c:pt idx="37" formatCode="General">
                  <c:v>129</c:v>
                </c:pt>
                <c:pt idx="38" formatCode="General">
                  <c:v>128</c:v>
                </c:pt>
                <c:pt idx="39" formatCode="General">
                  <c:v>129.6</c:v>
                </c:pt>
                <c:pt idx="40" formatCode="General">
                  <c:v>131.80000000000001</c:v>
                </c:pt>
                <c:pt idx="41" formatCode="General">
                  <c:v>132.1</c:v>
                </c:pt>
                <c:pt idx="42" formatCode="General">
                  <c:v>134.30000000000001</c:v>
                </c:pt>
                <c:pt idx="43" formatCode="General">
                  <c:v>135.9</c:v>
                </c:pt>
                <c:pt idx="44" formatCode="General">
                  <c:v>138.6</c:v>
                </c:pt>
                <c:pt idx="45" formatCode="General">
                  <c:v>140.80000000000001</c:v>
                </c:pt>
                <c:pt idx="46" formatCode="General">
                  <c:v>142.19999999999999</c:v>
                </c:pt>
                <c:pt idx="47" formatCode="General">
                  <c:v>144.4</c:v>
                </c:pt>
                <c:pt idx="48" formatCode="General">
                  <c:v>146.1</c:v>
                </c:pt>
                <c:pt idx="49" formatCode="General">
                  <c:v>149.4</c:v>
                </c:pt>
                <c:pt idx="50" formatCode="General">
                  <c:v>151.6</c:v>
                </c:pt>
                <c:pt idx="51" formatCode="General">
                  <c:v>145.9</c:v>
                </c:pt>
                <c:pt idx="52" formatCode="General">
                  <c:v>143.9</c:v>
                </c:pt>
                <c:pt idx="53" formatCode="General">
                  <c:v>146.5</c:v>
                </c:pt>
                <c:pt idx="54" formatCode="General">
                  <c:v>149.9</c:v>
                </c:pt>
                <c:pt idx="55" formatCode="General">
                  <c:v>153.69999999999999</c:v>
                </c:pt>
                <c:pt idx="56" formatCode="General">
                  <c:v>157.19999999999999</c:v>
                </c:pt>
                <c:pt idx="57" formatCode="General">
                  <c:v>158.69999999999999</c:v>
                </c:pt>
                <c:pt idx="58" formatCode="General">
                  <c:v>160.4</c:v>
                </c:pt>
                <c:pt idx="59" formatCode="General">
                  <c:v>162.5</c:v>
                </c:pt>
                <c:pt idx="60" formatCode="General">
                  <c:v>164.9</c:v>
                </c:pt>
                <c:pt idx="61" formatCode="General">
                  <c:v>166.5</c:v>
                </c:pt>
                <c:pt idx="62" formatCode="General">
                  <c:v>166.1</c:v>
                </c:pt>
                <c:pt idx="63" formatCode="General">
                  <c:v>167.5</c:v>
                </c:pt>
                <c:pt idx="64" formatCode="General">
                  <c:v>165.3</c:v>
                </c:pt>
                <c:pt idx="65" formatCode="General">
                  <c:v>168.2</c:v>
                </c:pt>
                <c:pt idx="66" formatCode="General">
                  <c:v>171.1</c:v>
                </c:pt>
                <c:pt idx="67" formatCode="General">
                  <c:v>171.1</c:v>
                </c:pt>
                <c:pt idx="68" formatCode="General">
                  <c:v>171.8</c:v>
                </c:pt>
                <c:pt idx="69" formatCode="General">
                  <c:v>174.7</c:v>
                </c:pt>
                <c:pt idx="70" formatCode="General">
                  <c:v>175.3</c:v>
                </c:pt>
                <c:pt idx="71" formatCode="General">
                  <c:v>175.5</c:v>
                </c:pt>
                <c:pt idx="72" formatCode="General">
                  <c:v>177.1</c:v>
                </c:pt>
                <c:pt idx="73" formatCode="General">
                  <c:v>174.4</c:v>
                </c:pt>
                <c:pt idx="74" formatCode="General">
                  <c:v>174.4</c:v>
                </c:pt>
                <c:pt idx="75" formatCode="General">
                  <c:v>175.2</c:v>
                </c:pt>
                <c:pt idx="76" formatCode="General">
                  <c:v>174.1</c:v>
                </c:pt>
                <c:pt idx="77" formatCode="General">
                  <c:v>169.5</c:v>
                </c:pt>
                <c:pt idx="78" formatCode="General">
                  <c:v>167</c:v>
                </c:pt>
                <c:pt idx="79" formatCode="General">
                  <c:v>165.7</c:v>
                </c:pt>
                <c:pt idx="80" formatCode="General">
                  <c:v>163</c:v>
                </c:pt>
                <c:pt idx="81" formatCode="General">
                  <c:v>164</c:v>
                </c:pt>
                <c:pt idx="82" formatCode="General">
                  <c:v>162.9</c:v>
                </c:pt>
                <c:pt idx="83" formatCode="General">
                  <c:v>162.6</c:v>
                </c:pt>
                <c:pt idx="84" formatCode="General">
                  <c:v>164.4</c:v>
                </c:pt>
                <c:pt idx="85" formatCode="General">
                  <c:v>165.7</c:v>
                </c:pt>
                <c:pt idx="86" formatCode="General">
                  <c:v>166.2</c:v>
                </c:pt>
                <c:pt idx="87" formatCode="General">
                  <c:v>166.9</c:v>
                </c:pt>
                <c:pt idx="88" formatCode="General">
                  <c:v>167.8</c:v>
                </c:pt>
                <c:pt idx="89" formatCode="General">
                  <c:v>168.1</c:v>
                </c:pt>
                <c:pt idx="90" formatCode="General">
                  <c:v>169.5</c:v>
                </c:pt>
                <c:pt idx="91" formatCode="General">
                  <c:v>168.9</c:v>
                </c:pt>
                <c:pt idx="92" formatCode="General">
                  <c:v>169.8</c:v>
                </c:pt>
                <c:pt idx="93" formatCode="General">
                  <c:v>170.7</c:v>
                </c:pt>
                <c:pt idx="94" formatCode="General">
                  <c:v>170.7</c:v>
                </c:pt>
                <c:pt idx="95" formatCode="General">
                  <c:v>171.3</c:v>
                </c:pt>
                <c:pt idx="96" formatCode="General">
                  <c:v>167.4</c:v>
                </c:pt>
                <c:pt idx="97" formatCode="General">
                  <c:v>152.6</c:v>
                </c:pt>
                <c:pt idx="98" formatCode="General">
                  <c:v>164.4</c:v>
                </c:pt>
                <c:pt idx="99" formatCode="General">
                  <c:v>169.5</c:v>
                </c:pt>
                <c:pt idx="100" formatCode="General">
                  <c:v>171.8</c:v>
                </c:pt>
                <c:pt idx="101" formatCode="General">
                  <c:v>171.2</c:v>
                </c:pt>
                <c:pt idx="102" formatCode="General">
                  <c:v>171.1</c:v>
                </c:pt>
              </c:numCache>
            </c:numRef>
          </c:val>
          <c:smooth val="0"/>
          <c:extLst>
            <c:ext xmlns:c16="http://schemas.microsoft.com/office/drawing/2014/chart" uri="{C3380CC4-5D6E-409C-BE32-E72D297353CC}">
              <c16:uniqueId val="{00000002-7BAC-4058-9726-6758511A0A04}"/>
            </c:ext>
          </c:extLst>
        </c:ser>
        <c:dLbls>
          <c:showLegendKey val="0"/>
          <c:showVal val="0"/>
          <c:showCatName val="0"/>
          <c:showSerName val="0"/>
          <c:showPercent val="0"/>
          <c:showBubbleSize val="0"/>
        </c:dLbls>
        <c:smooth val="0"/>
        <c:axId val="780837056"/>
        <c:axId val="780837888"/>
      </c:lineChart>
      <c:dateAx>
        <c:axId val="780837056"/>
        <c:scaling>
          <c:orientation val="minMax"/>
        </c:scaling>
        <c:delete val="0"/>
        <c:axPos val="b"/>
        <c:numFmt formatCode="[$-416]mmm\-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780837888"/>
        <c:crosses val="autoZero"/>
        <c:auto val="1"/>
        <c:lblOffset val="100"/>
        <c:baseTimeUnit val="months"/>
      </c:dateAx>
      <c:valAx>
        <c:axId val="780837888"/>
        <c:scaling>
          <c:orientation val="minMax"/>
          <c:min val="90"/>
        </c:scaling>
        <c:delete val="0"/>
        <c:axPos val="l"/>
        <c:majorGridlines>
          <c:spPr>
            <a:ln w="9525" cap="flat" cmpd="sng" algn="ctr">
              <a:solidFill>
                <a:schemeClr val="tx1">
                  <a:lumMod val="15000"/>
                  <a:lumOff val="85000"/>
                </a:schemeClr>
              </a:solidFill>
              <a:round/>
            </a:ln>
            <a:effectLst/>
          </c:spPr>
        </c:majorGridlines>
        <c:numFmt formatCode="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780837056"/>
        <c:crosses val="autoZero"/>
        <c:crossBetween val="between"/>
      </c:valAx>
      <c:spPr>
        <a:noFill/>
        <a:ln>
          <a:noFill/>
        </a:ln>
        <a:effectLst/>
      </c:spPr>
    </c:plotArea>
    <c:legend>
      <c:legendPos val="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pt-BR"/>
              <a:t>Brazil GDP</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pt-BR"/>
        </a:p>
      </c:txPr>
    </c:title>
    <c:autoTitleDeleted val="0"/>
    <c:plotArea>
      <c:layout/>
      <c:lineChart>
        <c:grouping val="standard"/>
        <c:varyColors val="0"/>
        <c:ser>
          <c:idx val="0"/>
          <c:order val="0"/>
          <c:tx>
            <c:strRef>
              <c:f>'Quarterly - GDP'!$B$2</c:f>
              <c:strCache>
                <c:ptCount val="1"/>
                <c:pt idx="0">
                  <c:v>BR GDP</c:v>
                </c:pt>
              </c:strCache>
            </c:strRef>
          </c:tx>
          <c:spPr>
            <a:ln w="28575" cap="rnd">
              <a:solidFill>
                <a:schemeClr val="accent1"/>
              </a:solidFill>
              <a:round/>
            </a:ln>
            <a:effectLst/>
          </c:spPr>
          <c:marker>
            <c:symbol val="none"/>
          </c:marker>
          <c:cat>
            <c:numRef>
              <c:f>'Quarterly - GDP'!$A$3:$A$105</c:f>
              <c:numCache>
                <c:formatCode>[$-416]mmm\-yy;@</c:formatCode>
                <c:ptCount val="103"/>
                <c:pt idx="0">
                  <c:v>35065</c:v>
                </c:pt>
                <c:pt idx="1">
                  <c:v>35156</c:v>
                </c:pt>
                <c:pt idx="2">
                  <c:v>35247</c:v>
                </c:pt>
                <c:pt idx="3">
                  <c:v>35339</c:v>
                </c:pt>
                <c:pt idx="4">
                  <c:v>35431</c:v>
                </c:pt>
                <c:pt idx="5">
                  <c:v>35521</c:v>
                </c:pt>
                <c:pt idx="6">
                  <c:v>35612</c:v>
                </c:pt>
                <c:pt idx="7">
                  <c:v>35704</c:v>
                </c:pt>
                <c:pt idx="8">
                  <c:v>35796</c:v>
                </c:pt>
                <c:pt idx="9">
                  <c:v>35886</c:v>
                </c:pt>
                <c:pt idx="10">
                  <c:v>35977</c:v>
                </c:pt>
                <c:pt idx="11">
                  <c:v>36069</c:v>
                </c:pt>
                <c:pt idx="12">
                  <c:v>36161</c:v>
                </c:pt>
                <c:pt idx="13">
                  <c:v>36251</c:v>
                </c:pt>
                <c:pt idx="14">
                  <c:v>36342</c:v>
                </c:pt>
                <c:pt idx="15">
                  <c:v>36434</c:v>
                </c:pt>
                <c:pt idx="16">
                  <c:v>36526</c:v>
                </c:pt>
                <c:pt idx="17">
                  <c:v>36617</c:v>
                </c:pt>
                <c:pt idx="18">
                  <c:v>36708</c:v>
                </c:pt>
                <c:pt idx="19">
                  <c:v>36800</c:v>
                </c:pt>
                <c:pt idx="20">
                  <c:v>36892</c:v>
                </c:pt>
                <c:pt idx="21">
                  <c:v>36982</c:v>
                </c:pt>
                <c:pt idx="22">
                  <c:v>37073</c:v>
                </c:pt>
                <c:pt idx="23">
                  <c:v>37165</c:v>
                </c:pt>
                <c:pt idx="24">
                  <c:v>37257</c:v>
                </c:pt>
                <c:pt idx="25">
                  <c:v>37347</c:v>
                </c:pt>
                <c:pt idx="26">
                  <c:v>37438</c:v>
                </c:pt>
                <c:pt idx="27">
                  <c:v>37530</c:v>
                </c:pt>
                <c:pt idx="28">
                  <c:v>37622</c:v>
                </c:pt>
                <c:pt idx="29">
                  <c:v>37712</c:v>
                </c:pt>
                <c:pt idx="30">
                  <c:v>37803</c:v>
                </c:pt>
                <c:pt idx="31">
                  <c:v>37895</c:v>
                </c:pt>
                <c:pt idx="32">
                  <c:v>37987</c:v>
                </c:pt>
                <c:pt idx="33">
                  <c:v>38078</c:v>
                </c:pt>
                <c:pt idx="34">
                  <c:v>38169</c:v>
                </c:pt>
                <c:pt idx="35">
                  <c:v>38261</c:v>
                </c:pt>
                <c:pt idx="36">
                  <c:v>38353</c:v>
                </c:pt>
                <c:pt idx="37">
                  <c:v>38443</c:v>
                </c:pt>
                <c:pt idx="38">
                  <c:v>38534</c:v>
                </c:pt>
                <c:pt idx="39">
                  <c:v>38626</c:v>
                </c:pt>
                <c:pt idx="40">
                  <c:v>38718</c:v>
                </c:pt>
                <c:pt idx="41">
                  <c:v>38808</c:v>
                </c:pt>
                <c:pt idx="42">
                  <c:v>38899</c:v>
                </c:pt>
                <c:pt idx="43">
                  <c:v>38991</c:v>
                </c:pt>
                <c:pt idx="44">
                  <c:v>39083</c:v>
                </c:pt>
                <c:pt idx="45">
                  <c:v>39173</c:v>
                </c:pt>
                <c:pt idx="46">
                  <c:v>39264</c:v>
                </c:pt>
                <c:pt idx="47">
                  <c:v>39356</c:v>
                </c:pt>
                <c:pt idx="48">
                  <c:v>39448</c:v>
                </c:pt>
                <c:pt idx="49">
                  <c:v>39539</c:v>
                </c:pt>
                <c:pt idx="50">
                  <c:v>39630</c:v>
                </c:pt>
                <c:pt idx="51">
                  <c:v>39722</c:v>
                </c:pt>
                <c:pt idx="52">
                  <c:v>39814</c:v>
                </c:pt>
                <c:pt idx="53">
                  <c:v>39904</c:v>
                </c:pt>
                <c:pt idx="54">
                  <c:v>39995</c:v>
                </c:pt>
                <c:pt idx="55">
                  <c:v>40087</c:v>
                </c:pt>
                <c:pt idx="56">
                  <c:v>40179</c:v>
                </c:pt>
                <c:pt idx="57">
                  <c:v>40269</c:v>
                </c:pt>
                <c:pt idx="58">
                  <c:v>40360</c:v>
                </c:pt>
                <c:pt idx="59">
                  <c:v>40452</c:v>
                </c:pt>
                <c:pt idx="60">
                  <c:v>40544</c:v>
                </c:pt>
                <c:pt idx="61">
                  <c:v>40634</c:v>
                </c:pt>
                <c:pt idx="62">
                  <c:v>40725</c:v>
                </c:pt>
                <c:pt idx="63">
                  <c:v>40817</c:v>
                </c:pt>
                <c:pt idx="64">
                  <c:v>40909</c:v>
                </c:pt>
                <c:pt idx="65">
                  <c:v>41000</c:v>
                </c:pt>
                <c:pt idx="66">
                  <c:v>41091</c:v>
                </c:pt>
                <c:pt idx="67">
                  <c:v>41183</c:v>
                </c:pt>
                <c:pt idx="68">
                  <c:v>41275</c:v>
                </c:pt>
                <c:pt idx="69">
                  <c:v>41365</c:v>
                </c:pt>
                <c:pt idx="70">
                  <c:v>41456</c:v>
                </c:pt>
                <c:pt idx="71">
                  <c:v>41548</c:v>
                </c:pt>
                <c:pt idx="72">
                  <c:v>41640</c:v>
                </c:pt>
                <c:pt idx="73">
                  <c:v>41730</c:v>
                </c:pt>
                <c:pt idx="74">
                  <c:v>41821</c:v>
                </c:pt>
                <c:pt idx="75">
                  <c:v>41913</c:v>
                </c:pt>
                <c:pt idx="76">
                  <c:v>42005</c:v>
                </c:pt>
                <c:pt idx="77">
                  <c:v>42095</c:v>
                </c:pt>
                <c:pt idx="78">
                  <c:v>42186</c:v>
                </c:pt>
                <c:pt idx="79">
                  <c:v>42278</c:v>
                </c:pt>
                <c:pt idx="80">
                  <c:v>42370</c:v>
                </c:pt>
                <c:pt idx="81">
                  <c:v>42461</c:v>
                </c:pt>
                <c:pt idx="82">
                  <c:v>42552</c:v>
                </c:pt>
                <c:pt idx="83">
                  <c:v>42644</c:v>
                </c:pt>
                <c:pt idx="84">
                  <c:v>42736</c:v>
                </c:pt>
                <c:pt idx="85">
                  <c:v>42826</c:v>
                </c:pt>
                <c:pt idx="86">
                  <c:v>42917</c:v>
                </c:pt>
                <c:pt idx="87">
                  <c:v>43009</c:v>
                </c:pt>
                <c:pt idx="88">
                  <c:v>43101</c:v>
                </c:pt>
                <c:pt idx="89">
                  <c:v>43191</c:v>
                </c:pt>
                <c:pt idx="90">
                  <c:v>43282</c:v>
                </c:pt>
                <c:pt idx="91">
                  <c:v>43374</c:v>
                </c:pt>
                <c:pt idx="92">
                  <c:v>43466</c:v>
                </c:pt>
                <c:pt idx="93">
                  <c:v>43556</c:v>
                </c:pt>
                <c:pt idx="94">
                  <c:v>43647</c:v>
                </c:pt>
                <c:pt idx="95">
                  <c:v>43739</c:v>
                </c:pt>
                <c:pt idx="96">
                  <c:v>43831</c:v>
                </c:pt>
                <c:pt idx="97">
                  <c:v>43922</c:v>
                </c:pt>
                <c:pt idx="98">
                  <c:v>44013</c:v>
                </c:pt>
                <c:pt idx="99">
                  <c:v>44105</c:v>
                </c:pt>
                <c:pt idx="100">
                  <c:v>44197</c:v>
                </c:pt>
                <c:pt idx="101">
                  <c:v>44287</c:v>
                </c:pt>
                <c:pt idx="102">
                  <c:v>44378</c:v>
                </c:pt>
              </c:numCache>
            </c:numRef>
          </c:cat>
          <c:val>
            <c:numRef>
              <c:f>'Quarterly - GDP'!$B$3:$B$105</c:f>
              <c:numCache>
                <c:formatCode>General</c:formatCode>
                <c:ptCount val="103"/>
                <c:pt idx="0" formatCode="0.0">
                  <c:v>96.8</c:v>
                </c:pt>
                <c:pt idx="1">
                  <c:v>100.1</c:v>
                </c:pt>
                <c:pt idx="2">
                  <c:v>107.6</c:v>
                </c:pt>
                <c:pt idx="3">
                  <c:v>104.3</c:v>
                </c:pt>
                <c:pt idx="4">
                  <c:v>100.1</c:v>
                </c:pt>
                <c:pt idx="5">
                  <c:v>104.9</c:v>
                </c:pt>
                <c:pt idx="6">
                  <c:v>109.5</c:v>
                </c:pt>
                <c:pt idx="7">
                  <c:v>108.2</c:v>
                </c:pt>
                <c:pt idx="8">
                  <c:v>101.1</c:v>
                </c:pt>
                <c:pt idx="9">
                  <c:v>106.5</c:v>
                </c:pt>
                <c:pt idx="10">
                  <c:v>109.9</c:v>
                </c:pt>
                <c:pt idx="11">
                  <c:v>106.7</c:v>
                </c:pt>
                <c:pt idx="12">
                  <c:v>101.9</c:v>
                </c:pt>
                <c:pt idx="13">
                  <c:v>106</c:v>
                </c:pt>
                <c:pt idx="14">
                  <c:v>109.2</c:v>
                </c:pt>
                <c:pt idx="15">
                  <c:v>109</c:v>
                </c:pt>
                <c:pt idx="16">
                  <c:v>106.4</c:v>
                </c:pt>
                <c:pt idx="17">
                  <c:v>110.3</c:v>
                </c:pt>
                <c:pt idx="18">
                  <c:v>114.2</c:v>
                </c:pt>
                <c:pt idx="19">
                  <c:v>114</c:v>
                </c:pt>
                <c:pt idx="20">
                  <c:v>110.1</c:v>
                </c:pt>
                <c:pt idx="21">
                  <c:v>112.8</c:v>
                </c:pt>
                <c:pt idx="22">
                  <c:v>114.7</c:v>
                </c:pt>
                <c:pt idx="23">
                  <c:v>113.4</c:v>
                </c:pt>
                <c:pt idx="24">
                  <c:v>110.6</c:v>
                </c:pt>
                <c:pt idx="25">
                  <c:v>115.4</c:v>
                </c:pt>
                <c:pt idx="26">
                  <c:v>119.5</c:v>
                </c:pt>
                <c:pt idx="27">
                  <c:v>119.2</c:v>
                </c:pt>
                <c:pt idx="28">
                  <c:v>113.6</c:v>
                </c:pt>
                <c:pt idx="29">
                  <c:v>116.3</c:v>
                </c:pt>
                <c:pt idx="30">
                  <c:v>120.2</c:v>
                </c:pt>
                <c:pt idx="31">
                  <c:v>119.9</c:v>
                </c:pt>
                <c:pt idx="32">
                  <c:v>118</c:v>
                </c:pt>
                <c:pt idx="33">
                  <c:v>123.7</c:v>
                </c:pt>
                <c:pt idx="34">
                  <c:v>128.1</c:v>
                </c:pt>
                <c:pt idx="35">
                  <c:v>127.4</c:v>
                </c:pt>
                <c:pt idx="36">
                  <c:v>122.9</c:v>
                </c:pt>
                <c:pt idx="37">
                  <c:v>129.19999999999999</c:v>
                </c:pt>
                <c:pt idx="38">
                  <c:v>130.80000000000001</c:v>
                </c:pt>
                <c:pt idx="39">
                  <c:v>130.1</c:v>
                </c:pt>
                <c:pt idx="40">
                  <c:v>128.19999999999999</c:v>
                </c:pt>
                <c:pt idx="41">
                  <c:v>132.1</c:v>
                </c:pt>
                <c:pt idx="42">
                  <c:v>136.69999999999999</c:v>
                </c:pt>
                <c:pt idx="43">
                  <c:v>136.4</c:v>
                </c:pt>
                <c:pt idx="44">
                  <c:v>134.80000000000001</c:v>
                </c:pt>
                <c:pt idx="45">
                  <c:v>140.80000000000001</c:v>
                </c:pt>
                <c:pt idx="46">
                  <c:v>144.80000000000001</c:v>
                </c:pt>
                <c:pt idx="47">
                  <c:v>145.4</c:v>
                </c:pt>
                <c:pt idx="48">
                  <c:v>143.1</c:v>
                </c:pt>
                <c:pt idx="49">
                  <c:v>149.69999999999999</c:v>
                </c:pt>
                <c:pt idx="50">
                  <c:v>154.9</c:v>
                </c:pt>
                <c:pt idx="51">
                  <c:v>146.9</c:v>
                </c:pt>
                <c:pt idx="52">
                  <c:v>139.69999999999999</c:v>
                </c:pt>
                <c:pt idx="53">
                  <c:v>146.4</c:v>
                </c:pt>
                <c:pt idx="54">
                  <c:v>153.1</c:v>
                </c:pt>
                <c:pt idx="55">
                  <c:v>154.69999999999999</c:v>
                </c:pt>
                <c:pt idx="56">
                  <c:v>152.5</c:v>
                </c:pt>
                <c:pt idx="57">
                  <c:v>158.9</c:v>
                </c:pt>
                <c:pt idx="58">
                  <c:v>163.6</c:v>
                </c:pt>
                <c:pt idx="59">
                  <c:v>163.5</c:v>
                </c:pt>
                <c:pt idx="60">
                  <c:v>160.5</c:v>
                </c:pt>
                <c:pt idx="61">
                  <c:v>166.3</c:v>
                </c:pt>
                <c:pt idx="62">
                  <c:v>169.4</c:v>
                </c:pt>
                <c:pt idx="63">
                  <c:v>167.7</c:v>
                </c:pt>
                <c:pt idx="64">
                  <c:v>163.19999999999999</c:v>
                </c:pt>
                <c:pt idx="65">
                  <c:v>168</c:v>
                </c:pt>
                <c:pt idx="66">
                  <c:v>173.6</c:v>
                </c:pt>
                <c:pt idx="67">
                  <c:v>171.9</c:v>
                </c:pt>
                <c:pt idx="68">
                  <c:v>167.6</c:v>
                </c:pt>
                <c:pt idx="69">
                  <c:v>174.7</c:v>
                </c:pt>
                <c:pt idx="70">
                  <c:v>178.4</c:v>
                </c:pt>
                <c:pt idx="71">
                  <c:v>176.3</c:v>
                </c:pt>
                <c:pt idx="72">
                  <c:v>173.4</c:v>
                </c:pt>
                <c:pt idx="73">
                  <c:v>174</c:v>
                </c:pt>
                <c:pt idx="74">
                  <c:v>177.3</c:v>
                </c:pt>
                <c:pt idx="75">
                  <c:v>175.9</c:v>
                </c:pt>
                <c:pt idx="76">
                  <c:v>170.6</c:v>
                </c:pt>
                <c:pt idx="77">
                  <c:v>169.2</c:v>
                </c:pt>
                <c:pt idx="78">
                  <c:v>169.7</c:v>
                </c:pt>
                <c:pt idx="79">
                  <c:v>166.2</c:v>
                </c:pt>
                <c:pt idx="80">
                  <c:v>161.9</c:v>
                </c:pt>
                <c:pt idx="81">
                  <c:v>163.80000000000001</c:v>
                </c:pt>
                <c:pt idx="82">
                  <c:v>165.6</c:v>
                </c:pt>
                <c:pt idx="83">
                  <c:v>162.4</c:v>
                </c:pt>
                <c:pt idx="84">
                  <c:v>162.30000000000001</c:v>
                </c:pt>
                <c:pt idx="85">
                  <c:v>165.1</c:v>
                </c:pt>
                <c:pt idx="86">
                  <c:v>168.3</c:v>
                </c:pt>
                <c:pt idx="87">
                  <c:v>166.6</c:v>
                </c:pt>
                <c:pt idx="88">
                  <c:v>165.4</c:v>
                </c:pt>
                <c:pt idx="89">
                  <c:v>167.7</c:v>
                </c:pt>
                <c:pt idx="90">
                  <c:v>171.7</c:v>
                </c:pt>
                <c:pt idx="91">
                  <c:v>169.2</c:v>
                </c:pt>
                <c:pt idx="92">
                  <c:v>167.1</c:v>
                </c:pt>
                <c:pt idx="93">
                  <c:v>169.8</c:v>
                </c:pt>
                <c:pt idx="94">
                  <c:v>173.6</c:v>
                </c:pt>
                <c:pt idx="95">
                  <c:v>171.7</c:v>
                </c:pt>
                <c:pt idx="96">
                  <c:v>166.9</c:v>
                </c:pt>
                <c:pt idx="97">
                  <c:v>151.6</c:v>
                </c:pt>
                <c:pt idx="98">
                  <c:v>167.2</c:v>
                </c:pt>
                <c:pt idx="99">
                  <c:v>170.1</c:v>
                </c:pt>
                <c:pt idx="100">
                  <c:v>169</c:v>
                </c:pt>
                <c:pt idx="101">
                  <c:v>170.3</c:v>
                </c:pt>
                <c:pt idx="102">
                  <c:v>173.9</c:v>
                </c:pt>
              </c:numCache>
            </c:numRef>
          </c:val>
          <c:smooth val="0"/>
          <c:extLst>
            <c:ext xmlns:c16="http://schemas.microsoft.com/office/drawing/2014/chart" uri="{C3380CC4-5D6E-409C-BE32-E72D297353CC}">
              <c16:uniqueId val="{00000000-9ACC-489D-B2CD-D0A9D26D99F8}"/>
            </c:ext>
          </c:extLst>
        </c:ser>
        <c:ser>
          <c:idx val="1"/>
          <c:order val="1"/>
          <c:tx>
            <c:v>xlDESSAZ SA</c:v>
          </c:tx>
          <c:spPr>
            <a:ln w="28575" cap="rnd">
              <a:solidFill>
                <a:schemeClr val="accent2"/>
              </a:solidFill>
              <a:round/>
            </a:ln>
            <a:effectLst/>
          </c:spPr>
          <c:marker>
            <c:symbol val="none"/>
          </c:marker>
          <c:cat>
            <c:numRef>
              <c:f>'Quarterly - GDP'!$A$3:$A$105</c:f>
              <c:numCache>
                <c:formatCode>[$-416]mmm\-yy;@</c:formatCode>
                <c:ptCount val="103"/>
                <c:pt idx="0">
                  <c:v>35065</c:v>
                </c:pt>
                <c:pt idx="1">
                  <c:v>35156</c:v>
                </c:pt>
                <c:pt idx="2">
                  <c:v>35247</c:v>
                </c:pt>
                <c:pt idx="3">
                  <c:v>35339</c:v>
                </c:pt>
                <c:pt idx="4">
                  <c:v>35431</c:v>
                </c:pt>
                <c:pt idx="5">
                  <c:v>35521</c:v>
                </c:pt>
                <c:pt idx="6">
                  <c:v>35612</c:v>
                </c:pt>
                <c:pt idx="7">
                  <c:v>35704</c:v>
                </c:pt>
                <c:pt idx="8">
                  <c:v>35796</c:v>
                </c:pt>
                <c:pt idx="9">
                  <c:v>35886</c:v>
                </c:pt>
                <c:pt idx="10">
                  <c:v>35977</c:v>
                </c:pt>
                <c:pt idx="11">
                  <c:v>36069</c:v>
                </c:pt>
                <c:pt idx="12">
                  <c:v>36161</c:v>
                </c:pt>
                <c:pt idx="13">
                  <c:v>36251</c:v>
                </c:pt>
                <c:pt idx="14">
                  <c:v>36342</c:v>
                </c:pt>
                <c:pt idx="15">
                  <c:v>36434</c:v>
                </c:pt>
                <c:pt idx="16">
                  <c:v>36526</c:v>
                </c:pt>
                <c:pt idx="17">
                  <c:v>36617</c:v>
                </c:pt>
                <c:pt idx="18">
                  <c:v>36708</c:v>
                </c:pt>
                <c:pt idx="19">
                  <c:v>36800</c:v>
                </c:pt>
                <c:pt idx="20">
                  <c:v>36892</c:v>
                </c:pt>
                <c:pt idx="21">
                  <c:v>36982</c:v>
                </c:pt>
                <c:pt idx="22">
                  <c:v>37073</c:v>
                </c:pt>
                <c:pt idx="23">
                  <c:v>37165</c:v>
                </c:pt>
                <c:pt idx="24">
                  <c:v>37257</c:v>
                </c:pt>
                <c:pt idx="25">
                  <c:v>37347</c:v>
                </c:pt>
                <c:pt idx="26">
                  <c:v>37438</c:v>
                </c:pt>
                <c:pt idx="27">
                  <c:v>37530</c:v>
                </c:pt>
                <c:pt idx="28">
                  <c:v>37622</c:v>
                </c:pt>
                <c:pt idx="29">
                  <c:v>37712</c:v>
                </c:pt>
                <c:pt idx="30">
                  <c:v>37803</c:v>
                </c:pt>
                <c:pt idx="31">
                  <c:v>37895</c:v>
                </c:pt>
                <c:pt idx="32">
                  <c:v>37987</c:v>
                </c:pt>
                <c:pt idx="33">
                  <c:v>38078</c:v>
                </c:pt>
                <c:pt idx="34">
                  <c:v>38169</c:v>
                </c:pt>
                <c:pt idx="35">
                  <c:v>38261</c:v>
                </c:pt>
                <c:pt idx="36">
                  <c:v>38353</c:v>
                </c:pt>
                <c:pt idx="37">
                  <c:v>38443</c:v>
                </c:pt>
                <c:pt idx="38">
                  <c:v>38534</c:v>
                </c:pt>
                <c:pt idx="39">
                  <c:v>38626</c:v>
                </c:pt>
                <c:pt idx="40">
                  <c:v>38718</c:v>
                </c:pt>
                <c:pt idx="41">
                  <c:v>38808</c:v>
                </c:pt>
                <c:pt idx="42">
                  <c:v>38899</c:v>
                </c:pt>
                <c:pt idx="43">
                  <c:v>38991</c:v>
                </c:pt>
                <c:pt idx="44">
                  <c:v>39083</c:v>
                </c:pt>
                <c:pt idx="45">
                  <c:v>39173</c:v>
                </c:pt>
                <c:pt idx="46">
                  <c:v>39264</c:v>
                </c:pt>
                <c:pt idx="47">
                  <c:v>39356</c:v>
                </c:pt>
                <c:pt idx="48">
                  <c:v>39448</c:v>
                </c:pt>
                <c:pt idx="49">
                  <c:v>39539</c:v>
                </c:pt>
                <c:pt idx="50">
                  <c:v>39630</c:v>
                </c:pt>
                <c:pt idx="51">
                  <c:v>39722</c:v>
                </c:pt>
                <c:pt idx="52">
                  <c:v>39814</c:v>
                </c:pt>
                <c:pt idx="53">
                  <c:v>39904</c:v>
                </c:pt>
                <c:pt idx="54">
                  <c:v>39995</c:v>
                </c:pt>
                <c:pt idx="55">
                  <c:v>40087</c:v>
                </c:pt>
                <c:pt idx="56">
                  <c:v>40179</c:v>
                </c:pt>
                <c:pt idx="57">
                  <c:v>40269</c:v>
                </c:pt>
                <c:pt idx="58">
                  <c:v>40360</c:v>
                </c:pt>
                <c:pt idx="59">
                  <c:v>40452</c:v>
                </c:pt>
                <c:pt idx="60">
                  <c:v>40544</c:v>
                </c:pt>
                <c:pt idx="61">
                  <c:v>40634</c:v>
                </c:pt>
                <c:pt idx="62">
                  <c:v>40725</c:v>
                </c:pt>
                <c:pt idx="63">
                  <c:v>40817</c:v>
                </c:pt>
                <c:pt idx="64">
                  <c:v>40909</c:v>
                </c:pt>
                <c:pt idx="65">
                  <c:v>41000</c:v>
                </c:pt>
                <c:pt idx="66">
                  <c:v>41091</c:v>
                </c:pt>
                <c:pt idx="67">
                  <c:v>41183</c:v>
                </c:pt>
                <c:pt idx="68">
                  <c:v>41275</c:v>
                </c:pt>
                <c:pt idx="69">
                  <c:v>41365</c:v>
                </c:pt>
                <c:pt idx="70">
                  <c:v>41456</c:v>
                </c:pt>
                <c:pt idx="71">
                  <c:v>41548</c:v>
                </c:pt>
                <c:pt idx="72">
                  <c:v>41640</c:v>
                </c:pt>
                <c:pt idx="73">
                  <c:v>41730</c:v>
                </c:pt>
                <c:pt idx="74">
                  <c:v>41821</c:v>
                </c:pt>
                <c:pt idx="75">
                  <c:v>41913</c:v>
                </c:pt>
                <c:pt idx="76">
                  <c:v>42005</c:v>
                </c:pt>
                <c:pt idx="77">
                  <c:v>42095</c:v>
                </c:pt>
                <c:pt idx="78">
                  <c:v>42186</c:v>
                </c:pt>
                <c:pt idx="79">
                  <c:v>42278</c:v>
                </c:pt>
                <c:pt idx="80">
                  <c:v>42370</c:v>
                </c:pt>
                <c:pt idx="81">
                  <c:v>42461</c:v>
                </c:pt>
                <c:pt idx="82">
                  <c:v>42552</c:v>
                </c:pt>
                <c:pt idx="83">
                  <c:v>42644</c:v>
                </c:pt>
                <c:pt idx="84">
                  <c:v>42736</c:v>
                </c:pt>
                <c:pt idx="85">
                  <c:v>42826</c:v>
                </c:pt>
                <c:pt idx="86">
                  <c:v>42917</c:v>
                </c:pt>
                <c:pt idx="87">
                  <c:v>43009</c:v>
                </c:pt>
                <c:pt idx="88">
                  <c:v>43101</c:v>
                </c:pt>
                <c:pt idx="89">
                  <c:v>43191</c:v>
                </c:pt>
                <c:pt idx="90">
                  <c:v>43282</c:v>
                </c:pt>
                <c:pt idx="91">
                  <c:v>43374</c:v>
                </c:pt>
                <c:pt idx="92">
                  <c:v>43466</c:v>
                </c:pt>
                <c:pt idx="93">
                  <c:v>43556</c:v>
                </c:pt>
                <c:pt idx="94">
                  <c:v>43647</c:v>
                </c:pt>
                <c:pt idx="95">
                  <c:v>43739</c:v>
                </c:pt>
                <c:pt idx="96">
                  <c:v>43831</c:v>
                </c:pt>
                <c:pt idx="97">
                  <c:v>43922</c:v>
                </c:pt>
                <c:pt idx="98">
                  <c:v>44013</c:v>
                </c:pt>
                <c:pt idx="99">
                  <c:v>44105</c:v>
                </c:pt>
                <c:pt idx="100">
                  <c:v>44197</c:v>
                </c:pt>
                <c:pt idx="101">
                  <c:v>44287</c:v>
                </c:pt>
                <c:pt idx="102">
                  <c:v>44378</c:v>
                </c:pt>
              </c:numCache>
            </c:numRef>
          </c:cat>
          <c:val>
            <c:numRef>
              <c:f>'Quarterly - GDP'!$E$3:$E$105</c:f>
              <c:numCache>
                <c:formatCode>0.0</c:formatCode>
                <c:ptCount val="103"/>
                <c:pt idx="0">
                  <c:v>99.5</c:v>
                </c:pt>
                <c:pt idx="1">
                  <c:v>100.4</c:v>
                </c:pt>
                <c:pt idx="2">
                  <c:v>104.4</c:v>
                </c:pt>
                <c:pt idx="3">
                  <c:v>103.3</c:v>
                </c:pt>
                <c:pt idx="4">
                  <c:v>104.3</c:v>
                </c:pt>
                <c:pt idx="5">
                  <c:v>105</c:v>
                </c:pt>
                <c:pt idx="6">
                  <c:v>106.3</c:v>
                </c:pt>
                <c:pt idx="7">
                  <c:v>107.1</c:v>
                </c:pt>
                <c:pt idx="8">
                  <c:v>105.1</c:v>
                </c:pt>
                <c:pt idx="9">
                  <c:v>106.8</c:v>
                </c:pt>
                <c:pt idx="10">
                  <c:v>106.9</c:v>
                </c:pt>
                <c:pt idx="11">
                  <c:v>105.6</c:v>
                </c:pt>
                <c:pt idx="12">
                  <c:v>105.9</c:v>
                </c:pt>
                <c:pt idx="13">
                  <c:v>106.1</c:v>
                </c:pt>
                <c:pt idx="14">
                  <c:v>106.4</c:v>
                </c:pt>
                <c:pt idx="15">
                  <c:v>107.9</c:v>
                </c:pt>
                <c:pt idx="16">
                  <c:v>109</c:v>
                </c:pt>
                <c:pt idx="17">
                  <c:v>110.6</c:v>
                </c:pt>
                <c:pt idx="18">
                  <c:v>111.8</c:v>
                </c:pt>
                <c:pt idx="19">
                  <c:v>113.2</c:v>
                </c:pt>
                <c:pt idx="20">
                  <c:v>113.6</c:v>
                </c:pt>
                <c:pt idx="21">
                  <c:v>113</c:v>
                </c:pt>
                <c:pt idx="22">
                  <c:v>112.5</c:v>
                </c:pt>
                <c:pt idx="23">
                  <c:v>112.2</c:v>
                </c:pt>
                <c:pt idx="24">
                  <c:v>114.7</c:v>
                </c:pt>
                <c:pt idx="25">
                  <c:v>115.4</c:v>
                </c:pt>
                <c:pt idx="26">
                  <c:v>116.8</c:v>
                </c:pt>
                <c:pt idx="27">
                  <c:v>118</c:v>
                </c:pt>
                <c:pt idx="28">
                  <c:v>117.5</c:v>
                </c:pt>
                <c:pt idx="29">
                  <c:v>116.4</c:v>
                </c:pt>
                <c:pt idx="30">
                  <c:v>117.5</c:v>
                </c:pt>
                <c:pt idx="31">
                  <c:v>118.8</c:v>
                </c:pt>
                <c:pt idx="32">
                  <c:v>120.5</c:v>
                </c:pt>
                <c:pt idx="33">
                  <c:v>123.8</c:v>
                </c:pt>
                <c:pt idx="34">
                  <c:v>125.3</c:v>
                </c:pt>
                <c:pt idx="35">
                  <c:v>126.3</c:v>
                </c:pt>
                <c:pt idx="36">
                  <c:v>127.2</c:v>
                </c:pt>
                <c:pt idx="37">
                  <c:v>129</c:v>
                </c:pt>
                <c:pt idx="38">
                  <c:v>128</c:v>
                </c:pt>
                <c:pt idx="39">
                  <c:v>129.6</c:v>
                </c:pt>
                <c:pt idx="40">
                  <c:v>131.80000000000001</c:v>
                </c:pt>
                <c:pt idx="41">
                  <c:v>132.1</c:v>
                </c:pt>
                <c:pt idx="42">
                  <c:v>134.30000000000001</c:v>
                </c:pt>
                <c:pt idx="43">
                  <c:v>135.9</c:v>
                </c:pt>
                <c:pt idx="44">
                  <c:v>138.6</c:v>
                </c:pt>
                <c:pt idx="45">
                  <c:v>140.80000000000001</c:v>
                </c:pt>
                <c:pt idx="46">
                  <c:v>142.30000000000001</c:v>
                </c:pt>
                <c:pt idx="47">
                  <c:v>144.4</c:v>
                </c:pt>
                <c:pt idx="48">
                  <c:v>146</c:v>
                </c:pt>
                <c:pt idx="49">
                  <c:v>149.4</c:v>
                </c:pt>
                <c:pt idx="50">
                  <c:v>151.69999999999999</c:v>
                </c:pt>
                <c:pt idx="51">
                  <c:v>145.9</c:v>
                </c:pt>
                <c:pt idx="52">
                  <c:v>143.9</c:v>
                </c:pt>
                <c:pt idx="53">
                  <c:v>146.5</c:v>
                </c:pt>
                <c:pt idx="54">
                  <c:v>149.9</c:v>
                </c:pt>
                <c:pt idx="55">
                  <c:v>153.69999999999999</c:v>
                </c:pt>
                <c:pt idx="56">
                  <c:v>157.19999999999999</c:v>
                </c:pt>
                <c:pt idx="57">
                  <c:v>158.80000000000001</c:v>
                </c:pt>
                <c:pt idx="58">
                  <c:v>160.30000000000001</c:v>
                </c:pt>
                <c:pt idx="59">
                  <c:v>162.5</c:v>
                </c:pt>
                <c:pt idx="60">
                  <c:v>164.9</c:v>
                </c:pt>
                <c:pt idx="61">
                  <c:v>166.5</c:v>
                </c:pt>
                <c:pt idx="62">
                  <c:v>166.1</c:v>
                </c:pt>
                <c:pt idx="63">
                  <c:v>167.5</c:v>
                </c:pt>
                <c:pt idx="64">
                  <c:v>165.3</c:v>
                </c:pt>
                <c:pt idx="65">
                  <c:v>168.2</c:v>
                </c:pt>
                <c:pt idx="66">
                  <c:v>171.1</c:v>
                </c:pt>
                <c:pt idx="67">
                  <c:v>171.1</c:v>
                </c:pt>
                <c:pt idx="68">
                  <c:v>171.8</c:v>
                </c:pt>
                <c:pt idx="69">
                  <c:v>174.7</c:v>
                </c:pt>
                <c:pt idx="70">
                  <c:v>175.3</c:v>
                </c:pt>
                <c:pt idx="71">
                  <c:v>175.5</c:v>
                </c:pt>
                <c:pt idx="72">
                  <c:v>177</c:v>
                </c:pt>
                <c:pt idx="73">
                  <c:v>174.4</c:v>
                </c:pt>
                <c:pt idx="74">
                  <c:v>174.4</c:v>
                </c:pt>
                <c:pt idx="75">
                  <c:v>175.2</c:v>
                </c:pt>
                <c:pt idx="76">
                  <c:v>174</c:v>
                </c:pt>
                <c:pt idx="77">
                  <c:v>169.5</c:v>
                </c:pt>
                <c:pt idx="78">
                  <c:v>167</c:v>
                </c:pt>
                <c:pt idx="79">
                  <c:v>165.7</c:v>
                </c:pt>
                <c:pt idx="80">
                  <c:v>163.1</c:v>
                </c:pt>
                <c:pt idx="81">
                  <c:v>164</c:v>
                </c:pt>
                <c:pt idx="82">
                  <c:v>163</c:v>
                </c:pt>
                <c:pt idx="83">
                  <c:v>162.6</c:v>
                </c:pt>
                <c:pt idx="84">
                  <c:v>164.4</c:v>
                </c:pt>
                <c:pt idx="85">
                  <c:v>165.7</c:v>
                </c:pt>
                <c:pt idx="86">
                  <c:v>166.2</c:v>
                </c:pt>
                <c:pt idx="87">
                  <c:v>166.9</c:v>
                </c:pt>
                <c:pt idx="88">
                  <c:v>167.8</c:v>
                </c:pt>
                <c:pt idx="89">
                  <c:v>168.1</c:v>
                </c:pt>
                <c:pt idx="90">
                  <c:v>169.5</c:v>
                </c:pt>
                <c:pt idx="91">
                  <c:v>168.9</c:v>
                </c:pt>
                <c:pt idx="92">
                  <c:v>169.8</c:v>
                </c:pt>
                <c:pt idx="93">
                  <c:v>170.7</c:v>
                </c:pt>
                <c:pt idx="94">
                  <c:v>170.7</c:v>
                </c:pt>
                <c:pt idx="95">
                  <c:v>171.3</c:v>
                </c:pt>
                <c:pt idx="96">
                  <c:v>167.4</c:v>
                </c:pt>
                <c:pt idx="97">
                  <c:v>152.5</c:v>
                </c:pt>
                <c:pt idx="98">
                  <c:v>164.4</c:v>
                </c:pt>
                <c:pt idx="99">
                  <c:v>169.6</c:v>
                </c:pt>
                <c:pt idx="100">
                  <c:v>171.8</c:v>
                </c:pt>
                <c:pt idx="101">
                  <c:v>171.2</c:v>
                </c:pt>
                <c:pt idx="102">
                  <c:v>171</c:v>
                </c:pt>
              </c:numCache>
            </c:numRef>
          </c:val>
          <c:smooth val="0"/>
          <c:extLst>
            <c:ext xmlns:c16="http://schemas.microsoft.com/office/drawing/2014/chart" uri="{C3380CC4-5D6E-409C-BE32-E72D297353CC}">
              <c16:uniqueId val="{00000001-9ACC-489D-B2CD-D0A9D26D99F8}"/>
            </c:ext>
          </c:extLst>
        </c:ser>
        <c:dLbls>
          <c:showLegendKey val="0"/>
          <c:showVal val="0"/>
          <c:showCatName val="0"/>
          <c:showSerName val="0"/>
          <c:showPercent val="0"/>
          <c:showBubbleSize val="0"/>
        </c:dLbls>
        <c:smooth val="0"/>
        <c:axId val="780837056"/>
        <c:axId val="780837888"/>
      </c:lineChart>
      <c:dateAx>
        <c:axId val="780837056"/>
        <c:scaling>
          <c:orientation val="minMax"/>
        </c:scaling>
        <c:delete val="0"/>
        <c:axPos val="b"/>
        <c:numFmt formatCode="[$-416]mmm\-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780837888"/>
        <c:crosses val="autoZero"/>
        <c:auto val="1"/>
        <c:lblOffset val="100"/>
        <c:baseTimeUnit val="months"/>
      </c:dateAx>
      <c:valAx>
        <c:axId val="780837888"/>
        <c:scaling>
          <c:orientation val="minMax"/>
          <c:min val="90"/>
        </c:scaling>
        <c:delete val="0"/>
        <c:axPos val="l"/>
        <c:majorGridlines>
          <c:spPr>
            <a:ln w="9525" cap="flat" cmpd="sng" algn="ctr">
              <a:solidFill>
                <a:schemeClr val="tx1">
                  <a:lumMod val="15000"/>
                  <a:lumOff val="85000"/>
                </a:schemeClr>
              </a:solidFill>
              <a:round/>
            </a:ln>
            <a:effectLst/>
          </c:spPr>
        </c:majorGridlines>
        <c:numFmt formatCode="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780837056"/>
        <c:crosses val="autoZero"/>
        <c:crossBetween val="between"/>
      </c:valAx>
      <c:spPr>
        <a:noFill/>
        <a:ln>
          <a:noFill/>
        </a:ln>
        <a:effectLst/>
      </c:spPr>
    </c:plotArea>
    <c:legend>
      <c:legendPos val="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pt-BR"/>
              <a:t>Difference of SAs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pt-BR"/>
        </a:p>
      </c:txPr>
    </c:title>
    <c:autoTitleDeleted val="0"/>
    <c:plotArea>
      <c:layout/>
      <c:barChart>
        <c:barDir val="col"/>
        <c:grouping val="clustered"/>
        <c:varyColors val="0"/>
        <c:ser>
          <c:idx val="0"/>
          <c:order val="0"/>
          <c:tx>
            <c:strRef>
              <c:f>'Quarterly - GDP'!$M$2</c:f>
              <c:strCache>
                <c:ptCount val="1"/>
                <c:pt idx="0">
                  <c:v>Diff of SAs</c:v>
                </c:pt>
              </c:strCache>
            </c:strRef>
          </c:tx>
          <c:spPr>
            <a:solidFill>
              <a:schemeClr val="accent1"/>
            </a:solidFill>
            <a:ln>
              <a:noFill/>
            </a:ln>
            <a:effectLst/>
          </c:spPr>
          <c:invertIfNegative val="0"/>
          <c:cat>
            <c:numRef>
              <c:f>'Quarterly - GDP'!$A$3:$A$105</c:f>
              <c:numCache>
                <c:formatCode>[$-416]mmm\-yy;@</c:formatCode>
                <c:ptCount val="103"/>
                <c:pt idx="0">
                  <c:v>35065</c:v>
                </c:pt>
                <c:pt idx="1">
                  <c:v>35156</c:v>
                </c:pt>
                <c:pt idx="2">
                  <c:v>35247</c:v>
                </c:pt>
                <c:pt idx="3">
                  <c:v>35339</c:v>
                </c:pt>
                <c:pt idx="4">
                  <c:v>35431</c:v>
                </c:pt>
                <c:pt idx="5">
                  <c:v>35521</c:v>
                </c:pt>
                <c:pt idx="6">
                  <c:v>35612</c:v>
                </c:pt>
                <c:pt idx="7">
                  <c:v>35704</c:v>
                </c:pt>
                <c:pt idx="8">
                  <c:v>35796</c:v>
                </c:pt>
                <c:pt idx="9">
                  <c:v>35886</c:v>
                </c:pt>
                <c:pt idx="10">
                  <c:v>35977</c:v>
                </c:pt>
                <c:pt idx="11">
                  <c:v>36069</c:v>
                </c:pt>
                <c:pt idx="12">
                  <c:v>36161</c:v>
                </c:pt>
                <c:pt idx="13">
                  <c:v>36251</c:v>
                </c:pt>
                <c:pt idx="14">
                  <c:v>36342</c:v>
                </c:pt>
                <c:pt idx="15">
                  <c:v>36434</c:v>
                </c:pt>
                <c:pt idx="16">
                  <c:v>36526</c:v>
                </c:pt>
                <c:pt idx="17">
                  <c:v>36617</c:v>
                </c:pt>
                <c:pt idx="18">
                  <c:v>36708</c:v>
                </c:pt>
                <c:pt idx="19">
                  <c:v>36800</c:v>
                </c:pt>
                <c:pt idx="20">
                  <c:v>36892</c:v>
                </c:pt>
                <c:pt idx="21">
                  <c:v>36982</c:v>
                </c:pt>
                <c:pt idx="22">
                  <c:v>37073</c:v>
                </c:pt>
                <c:pt idx="23">
                  <c:v>37165</c:v>
                </c:pt>
                <c:pt idx="24">
                  <c:v>37257</c:v>
                </c:pt>
                <c:pt idx="25">
                  <c:v>37347</c:v>
                </c:pt>
                <c:pt idx="26">
                  <c:v>37438</c:v>
                </c:pt>
                <c:pt idx="27">
                  <c:v>37530</c:v>
                </c:pt>
                <c:pt idx="28">
                  <c:v>37622</c:v>
                </c:pt>
                <c:pt idx="29">
                  <c:v>37712</c:v>
                </c:pt>
                <c:pt idx="30">
                  <c:v>37803</c:v>
                </c:pt>
                <c:pt idx="31">
                  <c:v>37895</c:v>
                </c:pt>
                <c:pt idx="32">
                  <c:v>37987</c:v>
                </c:pt>
                <c:pt idx="33">
                  <c:v>38078</c:v>
                </c:pt>
                <c:pt idx="34">
                  <c:v>38169</c:v>
                </c:pt>
                <c:pt idx="35">
                  <c:v>38261</c:v>
                </c:pt>
                <c:pt idx="36">
                  <c:v>38353</c:v>
                </c:pt>
                <c:pt idx="37">
                  <c:v>38443</c:v>
                </c:pt>
                <c:pt idx="38">
                  <c:v>38534</c:v>
                </c:pt>
                <c:pt idx="39">
                  <c:v>38626</c:v>
                </c:pt>
                <c:pt idx="40">
                  <c:v>38718</c:v>
                </c:pt>
                <c:pt idx="41">
                  <c:v>38808</c:v>
                </c:pt>
                <c:pt idx="42">
                  <c:v>38899</c:v>
                </c:pt>
                <c:pt idx="43">
                  <c:v>38991</c:v>
                </c:pt>
                <c:pt idx="44">
                  <c:v>39083</c:v>
                </c:pt>
                <c:pt idx="45">
                  <c:v>39173</c:v>
                </c:pt>
                <c:pt idx="46">
                  <c:v>39264</c:v>
                </c:pt>
                <c:pt idx="47">
                  <c:v>39356</c:v>
                </c:pt>
                <c:pt idx="48">
                  <c:v>39448</c:v>
                </c:pt>
                <c:pt idx="49">
                  <c:v>39539</c:v>
                </c:pt>
                <c:pt idx="50">
                  <c:v>39630</c:v>
                </c:pt>
                <c:pt idx="51">
                  <c:v>39722</c:v>
                </c:pt>
                <c:pt idx="52">
                  <c:v>39814</c:v>
                </c:pt>
                <c:pt idx="53">
                  <c:v>39904</c:v>
                </c:pt>
                <c:pt idx="54">
                  <c:v>39995</c:v>
                </c:pt>
                <c:pt idx="55">
                  <c:v>40087</c:v>
                </c:pt>
                <c:pt idx="56">
                  <c:v>40179</c:v>
                </c:pt>
                <c:pt idx="57">
                  <c:v>40269</c:v>
                </c:pt>
                <c:pt idx="58">
                  <c:v>40360</c:v>
                </c:pt>
                <c:pt idx="59">
                  <c:v>40452</c:v>
                </c:pt>
                <c:pt idx="60">
                  <c:v>40544</c:v>
                </c:pt>
                <c:pt idx="61">
                  <c:v>40634</c:v>
                </c:pt>
                <c:pt idx="62">
                  <c:v>40725</c:v>
                </c:pt>
                <c:pt idx="63">
                  <c:v>40817</c:v>
                </c:pt>
                <c:pt idx="64">
                  <c:v>40909</c:v>
                </c:pt>
                <c:pt idx="65">
                  <c:v>41000</c:v>
                </c:pt>
                <c:pt idx="66">
                  <c:v>41091</c:v>
                </c:pt>
                <c:pt idx="67">
                  <c:v>41183</c:v>
                </c:pt>
                <c:pt idx="68">
                  <c:v>41275</c:v>
                </c:pt>
                <c:pt idx="69">
                  <c:v>41365</c:v>
                </c:pt>
                <c:pt idx="70">
                  <c:v>41456</c:v>
                </c:pt>
                <c:pt idx="71">
                  <c:v>41548</c:v>
                </c:pt>
                <c:pt idx="72">
                  <c:v>41640</c:v>
                </c:pt>
                <c:pt idx="73">
                  <c:v>41730</c:v>
                </c:pt>
                <c:pt idx="74">
                  <c:v>41821</c:v>
                </c:pt>
                <c:pt idx="75">
                  <c:v>41913</c:v>
                </c:pt>
                <c:pt idx="76">
                  <c:v>42005</c:v>
                </c:pt>
                <c:pt idx="77">
                  <c:v>42095</c:v>
                </c:pt>
                <c:pt idx="78">
                  <c:v>42186</c:v>
                </c:pt>
                <c:pt idx="79">
                  <c:v>42278</c:v>
                </c:pt>
                <c:pt idx="80">
                  <c:v>42370</c:v>
                </c:pt>
                <c:pt idx="81">
                  <c:v>42461</c:v>
                </c:pt>
                <c:pt idx="82">
                  <c:v>42552</c:v>
                </c:pt>
                <c:pt idx="83">
                  <c:v>42644</c:v>
                </c:pt>
                <c:pt idx="84">
                  <c:v>42736</c:v>
                </c:pt>
                <c:pt idx="85">
                  <c:v>42826</c:v>
                </c:pt>
                <c:pt idx="86">
                  <c:v>42917</c:v>
                </c:pt>
                <c:pt idx="87">
                  <c:v>43009</c:v>
                </c:pt>
                <c:pt idx="88">
                  <c:v>43101</c:v>
                </c:pt>
                <c:pt idx="89">
                  <c:v>43191</c:v>
                </c:pt>
                <c:pt idx="90">
                  <c:v>43282</c:v>
                </c:pt>
                <c:pt idx="91">
                  <c:v>43374</c:v>
                </c:pt>
                <c:pt idx="92">
                  <c:v>43466</c:v>
                </c:pt>
                <c:pt idx="93">
                  <c:v>43556</c:v>
                </c:pt>
                <c:pt idx="94">
                  <c:v>43647</c:v>
                </c:pt>
                <c:pt idx="95">
                  <c:v>43739</c:v>
                </c:pt>
                <c:pt idx="96">
                  <c:v>43831</c:v>
                </c:pt>
                <c:pt idx="97">
                  <c:v>43922</c:v>
                </c:pt>
                <c:pt idx="98">
                  <c:v>44013</c:v>
                </c:pt>
                <c:pt idx="99">
                  <c:v>44105</c:v>
                </c:pt>
                <c:pt idx="100">
                  <c:v>44197</c:v>
                </c:pt>
                <c:pt idx="101">
                  <c:v>44287</c:v>
                </c:pt>
                <c:pt idx="102">
                  <c:v>44378</c:v>
                </c:pt>
              </c:numCache>
            </c:numRef>
          </c:cat>
          <c:val>
            <c:numRef>
              <c:f>'Quarterly - GDP'!$M$3:$M$105</c:f>
              <c:numCache>
                <c:formatCode>0.0%</c:formatCode>
                <c:ptCount val="103"/>
                <c:pt idx="0">
                  <c:v>0</c:v>
                </c:pt>
                <c:pt idx="1">
                  <c:v>0</c:v>
                </c:pt>
                <c:pt idx="2">
                  <c:v>0</c:v>
                </c:pt>
                <c:pt idx="3">
                  <c:v>0</c:v>
                </c:pt>
                <c:pt idx="4">
                  <c:v>0</c:v>
                </c:pt>
                <c:pt idx="5">
                  <c:v>0</c:v>
                </c:pt>
                <c:pt idx="6">
                  <c:v>0</c:v>
                </c:pt>
                <c:pt idx="7">
                  <c:v>0</c:v>
                </c:pt>
                <c:pt idx="8">
                  <c:v>0</c:v>
                </c:pt>
                <c:pt idx="9">
                  <c:v>0</c:v>
                </c:pt>
                <c:pt idx="10">
                  <c:v>0</c:v>
                </c:pt>
                <c:pt idx="11">
                  <c:v>0</c:v>
                </c:pt>
                <c:pt idx="12">
                  <c:v>0</c:v>
                </c:pt>
                <c:pt idx="13">
                  <c:v>-9.416195856874626E-4</c:v>
                </c:pt>
                <c:pt idx="14">
                  <c:v>0</c:v>
                </c:pt>
                <c:pt idx="15">
                  <c:v>9.2764378478672109E-4</c:v>
                </c:pt>
                <c:pt idx="16">
                  <c:v>0</c:v>
                </c:pt>
                <c:pt idx="17">
                  <c:v>9.049773755655594E-4</c:v>
                </c:pt>
                <c:pt idx="18">
                  <c:v>0</c:v>
                </c:pt>
                <c:pt idx="19">
                  <c:v>0</c:v>
                </c:pt>
                <c:pt idx="20">
                  <c:v>0</c:v>
                </c:pt>
                <c:pt idx="21">
                  <c:v>-8.8417329796635117E-4</c:v>
                </c:pt>
                <c:pt idx="22">
                  <c:v>0</c:v>
                </c:pt>
                <c:pt idx="23">
                  <c:v>0</c:v>
                </c:pt>
                <c:pt idx="24">
                  <c:v>0</c:v>
                </c:pt>
                <c:pt idx="25">
                  <c:v>0</c:v>
                </c:pt>
                <c:pt idx="26">
                  <c:v>0</c:v>
                </c:pt>
                <c:pt idx="27">
                  <c:v>0</c:v>
                </c:pt>
                <c:pt idx="28">
                  <c:v>0</c:v>
                </c:pt>
                <c:pt idx="29">
                  <c:v>-8.5836909871239752E-4</c:v>
                </c:pt>
                <c:pt idx="30">
                  <c:v>-8.5034013605437349E-4</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7.0323488045023026E-4</c:v>
                </c:pt>
                <c:pt idx="47">
                  <c:v>0</c:v>
                </c:pt>
                <c:pt idx="48">
                  <c:v>-6.8446269678298639E-4</c:v>
                </c:pt>
                <c:pt idx="49">
                  <c:v>0</c:v>
                </c:pt>
                <c:pt idx="50">
                  <c:v>6.5963060686012088E-4</c:v>
                </c:pt>
                <c:pt idx="51">
                  <c:v>0</c:v>
                </c:pt>
                <c:pt idx="52">
                  <c:v>0</c:v>
                </c:pt>
                <c:pt idx="53">
                  <c:v>0</c:v>
                </c:pt>
                <c:pt idx="54">
                  <c:v>0</c:v>
                </c:pt>
                <c:pt idx="55">
                  <c:v>0</c:v>
                </c:pt>
                <c:pt idx="56">
                  <c:v>0</c:v>
                </c:pt>
                <c:pt idx="57">
                  <c:v>6.3011972274746534E-4</c:v>
                </c:pt>
                <c:pt idx="58">
                  <c:v>-6.2344139650869271E-4</c:v>
                </c:pt>
                <c:pt idx="59">
                  <c:v>0</c:v>
                </c:pt>
                <c:pt idx="60">
                  <c:v>0</c:v>
                </c:pt>
                <c:pt idx="61">
                  <c:v>0</c:v>
                </c:pt>
                <c:pt idx="62">
                  <c:v>0</c:v>
                </c:pt>
                <c:pt idx="63">
                  <c:v>0</c:v>
                </c:pt>
                <c:pt idx="64">
                  <c:v>0</c:v>
                </c:pt>
                <c:pt idx="65">
                  <c:v>0</c:v>
                </c:pt>
                <c:pt idx="66">
                  <c:v>0</c:v>
                </c:pt>
                <c:pt idx="67">
                  <c:v>0</c:v>
                </c:pt>
                <c:pt idx="68">
                  <c:v>0</c:v>
                </c:pt>
                <c:pt idx="69">
                  <c:v>0</c:v>
                </c:pt>
                <c:pt idx="70">
                  <c:v>0</c:v>
                </c:pt>
                <c:pt idx="71">
                  <c:v>0</c:v>
                </c:pt>
                <c:pt idx="72">
                  <c:v>-5.6465273856574991E-4</c:v>
                </c:pt>
                <c:pt idx="73">
                  <c:v>0</c:v>
                </c:pt>
                <c:pt idx="74">
                  <c:v>0</c:v>
                </c:pt>
                <c:pt idx="75">
                  <c:v>0</c:v>
                </c:pt>
                <c:pt idx="76">
                  <c:v>-5.7438253877078874E-4</c:v>
                </c:pt>
                <c:pt idx="77">
                  <c:v>0</c:v>
                </c:pt>
                <c:pt idx="78">
                  <c:v>0</c:v>
                </c:pt>
                <c:pt idx="79">
                  <c:v>0</c:v>
                </c:pt>
                <c:pt idx="80">
                  <c:v>6.1349693251530255E-4</c:v>
                </c:pt>
                <c:pt idx="81">
                  <c:v>0</c:v>
                </c:pt>
                <c:pt idx="82">
                  <c:v>6.1387354205030267E-4</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-6.5530799475749886E-4</c:v>
                </c:pt>
                <c:pt idx="98">
                  <c:v>0</c:v>
                </c:pt>
                <c:pt idx="99">
                  <c:v>5.8997050147489274E-4</c:v>
                </c:pt>
                <c:pt idx="100">
                  <c:v>0</c:v>
                </c:pt>
                <c:pt idx="101">
                  <c:v>0</c:v>
                </c:pt>
                <c:pt idx="102">
                  <c:v>-5.8445353594385925E-4</c:v>
                </c:pt>
              </c:numCache>
            </c:numRef>
          </c:val>
          <c:extLst>
            <c:ext xmlns:c16="http://schemas.microsoft.com/office/drawing/2014/chart" uri="{C3380CC4-5D6E-409C-BE32-E72D297353CC}">
              <c16:uniqueId val="{00000000-ED67-4DAC-9557-C90ACB7F72BA}"/>
            </c:ext>
          </c:extLst>
        </c:ser>
        <c:dLbls>
          <c:showLegendKey val="0"/>
          <c:showVal val="0"/>
          <c:showCatName val="0"/>
          <c:showSerName val="0"/>
          <c:showPercent val="0"/>
          <c:showBubbleSize val="0"/>
        </c:dLbls>
        <c:gapWidth val="0"/>
        <c:axId val="780837056"/>
        <c:axId val="780837888"/>
      </c:barChart>
      <c:dateAx>
        <c:axId val="780837056"/>
        <c:scaling>
          <c:orientation val="minMax"/>
        </c:scaling>
        <c:delete val="0"/>
        <c:axPos val="b"/>
        <c:numFmt formatCode="[$-416]mmm\-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780837888"/>
        <c:crosses val="autoZero"/>
        <c:auto val="1"/>
        <c:lblOffset val="100"/>
        <c:baseTimeUnit val="months"/>
      </c:dateAx>
      <c:valAx>
        <c:axId val="780837888"/>
        <c:scaling>
          <c:orientation val="minMax"/>
        </c:scaling>
        <c:delete val="0"/>
        <c:axPos val="l"/>
        <c:majorGridlines>
          <c:spPr>
            <a:ln w="9525" cap="flat" cmpd="sng" algn="ctr">
              <a:solidFill>
                <a:schemeClr val="tx1">
                  <a:lumMod val="15000"/>
                  <a:lumOff val="85000"/>
                </a:schemeClr>
              </a:solidFill>
              <a:round/>
            </a:ln>
            <a:effectLst/>
          </c:spPr>
        </c:majorGridlines>
        <c:numFmt formatCode="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780837056"/>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pt-BR"/>
              <a:t>IBC-Br</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pt-BR"/>
        </a:p>
      </c:txPr>
    </c:title>
    <c:autoTitleDeleted val="0"/>
    <c:plotArea>
      <c:layout/>
      <c:lineChart>
        <c:grouping val="standard"/>
        <c:varyColors val="0"/>
        <c:ser>
          <c:idx val="0"/>
          <c:order val="0"/>
          <c:tx>
            <c:strRef>
              <c:f>'Monthly - IBC-Br'!$B$2</c:f>
              <c:strCache>
                <c:ptCount val="1"/>
                <c:pt idx="0">
                  <c:v>IBC-Br</c:v>
                </c:pt>
              </c:strCache>
            </c:strRef>
          </c:tx>
          <c:spPr>
            <a:ln w="28575" cap="rnd">
              <a:solidFill>
                <a:schemeClr val="accent1"/>
              </a:solidFill>
              <a:round/>
            </a:ln>
            <a:effectLst/>
          </c:spPr>
          <c:marker>
            <c:symbol val="none"/>
          </c:marker>
          <c:cat>
            <c:numRef>
              <c:f>'Monthly - IBC-Br'!$A$3:$A$105</c:f>
              <c:numCache>
                <c:formatCode>[$-416]mmm\-yy;@</c:formatCode>
                <c:ptCount val="103"/>
                <c:pt idx="0">
                  <c:v>37622</c:v>
                </c:pt>
                <c:pt idx="1">
                  <c:v>37653</c:v>
                </c:pt>
                <c:pt idx="2">
                  <c:v>37681</c:v>
                </c:pt>
                <c:pt idx="3">
                  <c:v>37712</c:v>
                </c:pt>
                <c:pt idx="4">
                  <c:v>37742</c:v>
                </c:pt>
                <c:pt idx="5">
                  <c:v>37773</c:v>
                </c:pt>
                <c:pt idx="6">
                  <c:v>37803</c:v>
                </c:pt>
                <c:pt idx="7">
                  <c:v>37834</c:v>
                </c:pt>
                <c:pt idx="8">
                  <c:v>37865</c:v>
                </c:pt>
                <c:pt idx="9">
                  <c:v>37895</c:v>
                </c:pt>
                <c:pt idx="10">
                  <c:v>37926</c:v>
                </c:pt>
                <c:pt idx="11">
                  <c:v>37956</c:v>
                </c:pt>
                <c:pt idx="12">
                  <c:v>37987</c:v>
                </c:pt>
                <c:pt idx="13">
                  <c:v>38018</c:v>
                </c:pt>
                <c:pt idx="14">
                  <c:v>38047</c:v>
                </c:pt>
                <c:pt idx="15">
                  <c:v>38078</c:v>
                </c:pt>
                <c:pt idx="16">
                  <c:v>38108</c:v>
                </c:pt>
                <c:pt idx="17">
                  <c:v>38139</c:v>
                </c:pt>
                <c:pt idx="18">
                  <c:v>38169</c:v>
                </c:pt>
                <c:pt idx="19">
                  <c:v>38200</c:v>
                </c:pt>
                <c:pt idx="20">
                  <c:v>38231</c:v>
                </c:pt>
                <c:pt idx="21">
                  <c:v>38261</c:v>
                </c:pt>
                <c:pt idx="22">
                  <c:v>38292</c:v>
                </c:pt>
                <c:pt idx="23">
                  <c:v>38322</c:v>
                </c:pt>
                <c:pt idx="24">
                  <c:v>38353</c:v>
                </c:pt>
                <c:pt idx="25">
                  <c:v>38384</c:v>
                </c:pt>
                <c:pt idx="26">
                  <c:v>38412</c:v>
                </c:pt>
                <c:pt idx="27">
                  <c:v>38443</c:v>
                </c:pt>
                <c:pt idx="28">
                  <c:v>38473</c:v>
                </c:pt>
                <c:pt idx="29">
                  <c:v>38504</c:v>
                </c:pt>
                <c:pt idx="30">
                  <c:v>38534</c:v>
                </c:pt>
                <c:pt idx="31">
                  <c:v>38565</c:v>
                </c:pt>
                <c:pt idx="32">
                  <c:v>38596</c:v>
                </c:pt>
                <c:pt idx="33">
                  <c:v>38626</c:v>
                </c:pt>
                <c:pt idx="34">
                  <c:v>38657</c:v>
                </c:pt>
                <c:pt idx="35">
                  <c:v>38687</c:v>
                </c:pt>
                <c:pt idx="36">
                  <c:v>38718</c:v>
                </c:pt>
                <c:pt idx="37">
                  <c:v>38749</c:v>
                </c:pt>
                <c:pt idx="38">
                  <c:v>38777</c:v>
                </c:pt>
                <c:pt idx="39">
                  <c:v>38808</c:v>
                </c:pt>
                <c:pt idx="40">
                  <c:v>38838</c:v>
                </c:pt>
                <c:pt idx="41">
                  <c:v>38869</c:v>
                </c:pt>
                <c:pt idx="42">
                  <c:v>38899</c:v>
                </c:pt>
                <c:pt idx="43">
                  <c:v>38930</c:v>
                </c:pt>
                <c:pt idx="44">
                  <c:v>38961</c:v>
                </c:pt>
                <c:pt idx="45">
                  <c:v>38991</c:v>
                </c:pt>
                <c:pt idx="46">
                  <c:v>39022</c:v>
                </c:pt>
                <c:pt idx="47">
                  <c:v>39052</c:v>
                </c:pt>
                <c:pt idx="48">
                  <c:v>39083</c:v>
                </c:pt>
                <c:pt idx="49">
                  <c:v>39114</c:v>
                </c:pt>
                <c:pt idx="50">
                  <c:v>39142</c:v>
                </c:pt>
                <c:pt idx="51">
                  <c:v>39173</c:v>
                </c:pt>
                <c:pt idx="52">
                  <c:v>39203</c:v>
                </c:pt>
                <c:pt idx="53">
                  <c:v>39234</c:v>
                </c:pt>
                <c:pt idx="54">
                  <c:v>39264</c:v>
                </c:pt>
                <c:pt idx="55">
                  <c:v>39295</c:v>
                </c:pt>
                <c:pt idx="56">
                  <c:v>39326</c:v>
                </c:pt>
                <c:pt idx="57">
                  <c:v>39356</c:v>
                </c:pt>
                <c:pt idx="58">
                  <c:v>39387</c:v>
                </c:pt>
                <c:pt idx="59">
                  <c:v>39417</c:v>
                </c:pt>
                <c:pt idx="60">
                  <c:v>39448</c:v>
                </c:pt>
                <c:pt idx="61">
                  <c:v>39479</c:v>
                </c:pt>
                <c:pt idx="62">
                  <c:v>39508</c:v>
                </c:pt>
                <c:pt idx="63">
                  <c:v>39539</c:v>
                </c:pt>
                <c:pt idx="64">
                  <c:v>39569</c:v>
                </c:pt>
                <c:pt idx="65">
                  <c:v>39600</c:v>
                </c:pt>
                <c:pt idx="66">
                  <c:v>39630</c:v>
                </c:pt>
                <c:pt idx="67">
                  <c:v>39661</c:v>
                </c:pt>
                <c:pt idx="68">
                  <c:v>39692</c:v>
                </c:pt>
                <c:pt idx="69">
                  <c:v>39722</c:v>
                </c:pt>
                <c:pt idx="70">
                  <c:v>39753</c:v>
                </c:pt>
                <c:pt idx="71">
                  <c:v>39783</c:v>
                </c:pt>
                <c:pt idx="72">
                  <c:v>39814</c:v>
                </c:pt>
                <c:pt idx="73">
                  <c:v>39845</c:v>
                </c:pt>
                <c:pt idx="74">
                  <c:v>39873</c:v>
                </c:pt>
                <c:pt idx="75">
                  <c:v>39904</c:v>
                </c:pt>
                <c:pt idx="76">
                  <c:v>39934</c:v>
                </c:pt>
                <c:pt idx="77">
                  <c:v>39965</c:v>
                </c:pt>
                <c:pt idx="78">
                  <c:v>39995</c:v>
                </c:pt>
                <c:pt idx="79">
                  <c:v>40026</c:v>
                </c:pt>
                <c:pt idx="80">
                  <c:v>40057</c:v>
                </c:pt>
                <c:pt idx="81">
                  <c:v>40087</c:v>
                </c:pt>
                <c:pt idx="82">
                  <c:v>40118</c:v>
                </c:pt>
                <c:pt idx="83">
                  <c:v>40148</c:v>
                </c:pt>
                <c:pt idx="84">
                  <c:v>40179</c:v>
                </c:pt>
                <c:pt idx="85">
                  <c:v>40210</c:v>
                </c:pt>
                <c:pt idx="86">
                  <c:v>40238</c:v>
                </c:pt>
                <c:pt idx="87">
                  <c:v>40269</c:v>
                </c:pt>
                <c:pt idx="88">
                  <c:v>40299</c:v>
                </c:pt>
                <c:pt idx="89">
                  <c:v>40330</c:v>
                </c:pt>
                <c:pt idx="90">
                  <c:v>40360</c:v>
                </c:pt>
                <c:pt idx="91">
                  <c:v>40391</c:v>
                </c:pt>
                <c:pt idx="92">
                  <c:v>40422</c:v>
                </c:pt>
                <c:pt idx="93">
                  <c:v>40452</c:v>
                </c:pt>
                <c:pt idx="94">
                  <c:v>40483</c:v>
                </c:pt>
                <c:pt idx="95">
                  <c:v>40513</c:v>
                </c:pt>
                <c:pt idx="96">
                  <c:v>40544</c:v>
                </c:pt>
                <c:pt idx="97">
                  <c:v>40575</c:v>
                </c:pt>
                <c:pt idx="98">
                  <c:v>40603</c:v>
                </c:pt>
                <c:pt idx="99">
                  <c:v>40634</c:v>
                </c:pt>
                <c:pt idx="100">
                  <c:v>40664</c:v>
                </c:pt>
                <c:pt idx="101">
                  <c:v>40695</c:v>
                </c:pt>
                <c:pt idx="102">
                  <c:v>40725</c:v>
                </c:pt>
              </c:numCache>
            </c:numRef>
          </c:cat>
          <c:val>
            <c:numRef>
              <c:f>'Monthly - IBC-Br'!$B$3:$B$105</c:f>
              <c:numCache>
                <c:formatCode>0.00</c:formatCode>
                <c:ptCount val="103"/>
                <c:pt idx="0">
                  <c:v>96.15</c:v>
                </c:pt>
                <c:pt idx="1">
                  <c:v>98.67</c:v>
                </c:pt>
                <c:pt idx="2">
                  <c:v>103.41</c:v>
                </c:pt>
                <c:pt idx="3">
                  <c:v>102.19</c:v>
                </c:pt>
                <c:pt idx="4">
                  <c:v>100.3</c:v>
                </c:pt>
                <c:pt idx="5">
                  <c:v>98.58</c:v>
                </c:pt>
                <c:pt idx="6">
                  <c:v>103.05</c:v>
                </c:pt>
                <c:pt idx="7">
                  <c:v>101.47</c:v>
                </c:pt>
                <c:pt idx="8">
                  <c:v>102.87</c:v>
                </c:pt>
                <c:pt idx="9">
                  <c:v>105.06</c:v>
                </c:pt>
                <c:pt idx="10">
                  <c:v>101.95</c:v>
                </c:pt>
                <c:pt idx="11">
                  <c:v>99.74</c:v>
                </c:pt>
                <c:pt idx="12">
                  <c:v>98.59</c:v>
                </c:pt>
                <c:pt idx="13">
                  <c:v>99.45</c:v>
                </c:pt>
                <c:pt idx="14">
                  <c:v>111.98</c:v>
                </c:pt>
                <c:pt idx="15">
                  <c:v>107.36</c:v>
                </c:pt>
                <c:pt idx="16">
                  <c:v>106.03</c:v>
                </c:pt>
                <c:pt idx="17">
                  <c:v>107</c:v>
                </c:pt>
                <c:pt idx="18">
                  <c:v>111.47</c:v>
                </c:pt>
                <c:pt idx="19">
                  <c:v>110.65</c:v>
                </c:pt>
                <c:pt idx="20">
                  <c:v>109.21</c:v>
                </c:pt>
                <c:pt idx="21">
                  <c:v>108.89</c:v>
                </c:pt>
                <c:pt idx="22">
                  <c:v>109.59</c:v>
                </c:pt>
                <c:pt idx="23">
                  <c:v>107.56</c:v>
                </c:pt>
                <c:pt idx="24">
                  <c:v>103.52</c:v>
                </c:pt>
                <c:pt idx="25">
                  <c:v>104</c:v>
                </c:pt>
                <c:pt idx="26">
                  <c:v>115.42</c:v>
                </c:pt>
                <c:pt idx="27">
                  <c:v>112.35</c:v>
                </c:pt>
                <c:pt idx="28">
                  <c:v>110.86</c:v>
                </c:pt>
                <c:pt idx="29">
                  <c:v>111.5</c:v>
                </c:pt>
                <c:pt idx="30">
                  <c:v>113.15</c:v>
                </c:pt>
                <c:pt idx="31">
                  <c:v>115.15</c:v>
                </c:pt>
                <c:pt idx="32">
                  <c:v>110.95</c:v>
                </c:pt>
                <c:pt idx="33">
                  <c:v>111.33</c:v>
                </c:pt>
                <c:pt idx="34">
                  <c:v>111.73</c:v>
                </c:pt>
                <c:pt idx="35">
                  <c:v>111.25</c:v>
                </c:pt>
                <c:pt idx="36">
                  <c:v>108.55</c:v>
                </c:pt>
                <c:pt idx="37">
                  <c:v>107.8</c:v>
                </c:pt>
                <c:pt idx="38">
                  <c:v>119.09</c:v>
                </c:pt>
                <c:pt idx="39">
                  <c:v>112.61</c:v>
                </c:pt>
                <c:pt idx="40">
                  <c:v>117.19</c:v>
                </c:pt>
                <c:pt idx="41">
                  <c:v>114.4</c:v>
                </c:pt>
                <c:pt idx="42">
                  <c:v>119.41</c:v>
                </c:pt>
                <c:pt idx="43">
                  <c:v>121.06</c:v>
                </c:pt>
                <c:pt idx="44">
                  <c:v>116.21</c:v>
                </c:pt>
                <c:pt idx="45">
                  <c:v>119.33</c:v>
                </c:pt>
                <c:pt idx="46">
                  <c:v>118.67</c:v>
                </c:pt>
                <c:pt idx="47">
                  <c:v>116.3</c:v>
                </c:pt>
                <c:pt idx="48">
                  <c:v>114.79</c:v>
                </c:pt>
                <c:pt idx="49">
                  <c:v>113.33</c:v>
                </c:pt>
                <c:pt idx="50">
                  <c:v>125.11</c:v>
                </c:pt>
                <c:pt idx="51">
                  <c:v>120.29</c:v>
                </c:pt>
                <c:pt idx="52">
                  <c:v>123.9</c:v>
                </c:pt>
                <c:pt idx="53">
                  <c:v>122.38</c:v>
                </c:pt>
                <c:pt idx="54">
                  <c:v>127.85</c:v>
                </c:pt>
                <c:pt idx="55">
                  <c:v>129.05000000000001</c:v>
                </c:pt>
                <c:pt idx="56">
                  <c:v>123.24</c:v>
                </c:pt>
                <c:pt idx="57">
                  <c:v>129.16999999999999</c:v>
                </c:pt>
                <c:pt idx="58">
                  <c:v>125.88</c:v>
                </c:pt>
                <c:pt idx="59">
                  <c:v>122.43</c:v>
                </c:pt>
                <c:pt idx="60">
                  <c:v>121.86</c:v>
                </c:pt>
                <c:pt idx="61">
                  <c:v>121.91</c:v>
                </c:pt>
                <c:pt idx="62">
                  <c:v>128.99</c:v>
                </c:pt>
                <c:pt idx="63">
                  <c:v>129.47999999999999</c:v>
                </c:pt>
                <c:pt idx="64">
                  <c:v>128.91999999999999</c:v>
                </c:pt>
                <c:pt idx="65">
                  <c:v>130.59</c:v>
                </c:pt>
                <c:pt idx="66">
                  <c:v>136.53</c:v>
                </c:pt>
                <c:pt idx="67">
                  <c:v>133.87</c:v>
                </c:pt>
                <c:pt idx="68">
                  <c:v>132.6</c:v>
                </c:pt>
                <c:pt idx="69">
                  <c:v>132.80000000000001</c:v>
                </c:pt>
                <c:pt idx="70">
                  <c:v>124.58</c:v>
                </c:pt>
                <c:pt idx="71">
                  <c:v>118.9</c:v>
                </c:pt>
                <c:pt idx="72">
                  <c:v>115.2</c:v>
                </c:pt>
                <c:pt idx="73">
                  <c:v>115.26</c:v>
                </c:pt>
                <c:pt idx="74">
                  <c:v>127.81</c:v>
                </c:pt>
                <c:pt idx="75">
                  <c:v>123.09</c:v>
                </c:pt>
                <c:pt idx="76">
                  <c:v>124.41</c:v>
                </c:pt>
                <c:pt idx="77">
                  <c:v>125.61</c:v>
                </c:pt>
                <c:pt idx="78">
                  <c:v>131.44</c:v>
                </c:pt>
                <c:pt idx="79">
                  <c:v>130.69999999999999</c:v>
                </c:pt>
                <c:pt idx="80">
                  <c:v>129.81</c:v>
                </c:pt>
                <c:pt idx="81">
                  <c:v>132.47999999999999</c:v>
                </c:pt>
                <c:pt idx="82">
                  <c:v>129.62</c:v>
                </c:pt>
                <c:pt idx="83">
                  <c:v>129.22999999999999</c:v>
                </c:pt>
                <c:pt idx="84">
                  <c:v>125.81</c:v>
                </c:pt>
                <c:pt idx="85">
                  <c:v>127.61</c:v>
                </c:pt>
                <c:pt idx="86">
                  <c:v>143.44</c:v>
                </c:pt>
                <c:pt idx="87">
                  <c:v>136.87</c:v>
                </c:pt>
                <c:pt idx="88">
                  <c:v>136.52000000000001</c:v>
                </c:pt>
                <c:pt idx="89">
                  <c:v>136.09</c:v>
                </c:pt>
                <c:pt idx="90">
                  <c:v>141.63999999999999</c:v>
                </c:pt>
                <c:pt idx="91">
                  <c:v>141.55000000000001</c:v>
                </c:pt>
                <c:pt idx="92">
                  <c:v>139.46</c:v>
                </c:pt>
                <c:pt idx="93">
                  <c:v>139.33000000000001</c:v>
                </c:pt>
                <c:pt idx="94">
                  <c:v>139.68</c:v>
                </c:pt>
                <c:pt idx="95">
                  <c:v>136.69</c:v>
                </c:pt>
                <c:pt idx="96">
                  <c:v>132.66</c:v>
                </c:pt>
                <c:pt idx="97">
                  <c:v>136.18</c:v>
                </c:pt>
                <c:pt idx="98">
                  <c:v>144.93</c:v>
                </c:pt>
                <c:pt idx="99">
                  <c:v>139.88999999999999</c:v>
                </c:pt>
                <c:pt idx="100">
                  <c:v>143.22999999999999</c:v>
                </c:pt>
                <c:pt idx="101">
                  <c:v>141.75</c:v>
                </c:pt>
                <c:pt idx="102">
                  <c:v>145.19</c:v>
                </c:pt>
              </c:numCache>
            </c:numRef>
          </c:val>
          <c:smooth val="0"/>
          <c:extLst>
            <c:ext xmlns:c16="http://schemas.microsoft.com/office/drawing/2014/chart" uri="{C3380CC4-5D6E-409C-BE32-E72D297353CC}">
              <c16:uniqueId val="{00000000-8975-4601-9640-A48738B3461C}"/>
            </c:ext>
          </c:extLst>
        </c:ser>
        <c:ser>
          <c:idx val="1"/>
          <c:order val="1"/>
          <c:tx>
            <c:strRef>
              <c:f>'Monthly - IBC-Br'!$C$2</c:f>
              <c:strCache>
                <c:ptCount val="1"/>
                <c:pt idx="0">
                  <c:v>Official SA</c:v>
                </c:pt>
              </c:strCache>
            </c:strRef>
          </c:tx>
          <c:spPr>
            <a:ln w="28575" cap="rnd">
              <a:solidFill>
                <a:schemeClr val="accent2"/>
              </a:solidFill>
              <a:round/>
            </a:ln>
            <a:effectLst/>
          </c:spPr>
          <c:marker>
            <c:symbol val="none"/>
          </c:marker>
          <c:cat>
            <c:numRef>
              <c:f>'Monthly - IBC-Br'!$A$3:$A$105</c:f>
              <c:numCache>
                <c:formatCode>[$-416]mmm\-yy;@</c:formatCode>
                <c:ptCount val="103"/>
                <c:pt idx="0">
                  <c:v>37622</c:v>
                </c:pt>
                <c:pt idx="1">
                  <c:v>37653</c:v>
                </c:pt>
                <c:pt idx="2">
                  <c:v>37681</c:v>
                </c:pt>
                <c:pt idx="3">
                  <c:v>37712</c:v>
                </c:pt>
                <c:pt idx="4">
                  <c:v>37742</c:v>
                </c:pt>
                <c:pt idx="5">
                  <c:v>37773</c:v>
                </c:pt>
                <c:pt idx="6">
                  <c:v>37803</c:v>
                </c:pt>
                <c:pt idx="7">
                  <c:v>37834</c:v>
                </c:pt>
                <c:pt idx="8">
                  <c:v>37865</c:v>
                </c:pt>
                <c:pt idx="9">
                  <c:v>37895</c:v>
                </c:pt>
                <c:pt idx="10">
                  <c:v>37926</c:v>
                </c:pt>
                <c:pt idx="11">
                  <c:v>37956</c:v>
                </c:pt>
                <c:pt idx="12">
                  <c:v>37987</c:v>
                </c:pt>
                <c:pt idx="13">
                  <c:v>38018</c:v>
                </c:pt>
                <c:pt idx="14">
                  <c:v>38047</c:v>
                </c:pt>
                <c:pt idx="15">
                  <c:v>38078</c:v>
                </c:pt>
                <c:pt idx="16">
                  <c:v>38108</c:v>
                </c:pt>
                <c:pt idx="17">
                  <c:v>38139</c:v>
                </c:pt>
                <c:pt idx="18">
                  <c:v>38169</c:v>
                </c:pt>
                <c:pt idx="19">
                  <c:v>38200</c:v>
                </c:pt>
                <c:pt idx="20">
                  <c:v>38231</c:v>
                </c:pt>
                <c:pt idx="21">
                  <c:v>38261</c:v>
                </c:pt>
                <c:pt idx="22">
                  <c:v>38292</c:v>
                </c:pt>
                <c:pt idx="23">
                  <c:v>38322</c:v>
                </c:pt>
                <c:pt idx="24">
                  <c:v>38353</c:v>
                </c:pt>
                <c:pt idx="25">
                  <c:v>38384</c:v>
                </c:pt>
                <c:pt idx="26">
                  <c:v>38412</c:v>
                </c:pt>
                <c:pt idx="27">
                  <c:v>38443</c:v>
                </c:pt>
                <c:pt idx="28">
                  <c:v>38473</c:v>
                </c:pt>
                <c:pt idx="29">
                  <c:v>38504</c:v>
                </c:pt>
                <c:pt idx="30">
                  <c:v>38534</c:v>
                </c:pt>
                <c:pt idx="31">
                  <c:v>38565</c:v>
                </c:pt>
                <c:pt idx="32">
                  <c:v>38596</c:v>
                </c:pt>
                <c:pt idx="33">
                  <c:v>38626</c:v>
                </c:pt>
                <c:pt idx="34">
                  <c:v>38657</c:v>
                </c:pt>
                <c:pt idx="35">
                  <c:v>38687</c:v>
                </c:pt>
                <c:pt idx="36">
                  <c:v>38718</c:v>
                </c:pt>
                <c:pt idx="37">
                  <c:v>38749</c:v>
                </c:pt>
                <c:pt idx="38">
                  <c:v>38777</c:v>
                </c:pt>
                <c:pt idx="39">
                  <c:v>38808</c:v>
                </c:pt>
                <c:pt idx="40">
                  <c:v>38838</c:v>
                </c:pt>
                <c:pt idx="41">
                  <c:v>38869</c:v>
                </c:pt>
                <c:pt idx="42">
                  <c:v>38899</c:v>
                </c:pt>
                <c:pt idx="43">
                  <c:v>38930</c:v>
                </c:pt>
                <c:pt idx="44">
                  <c:v>38961</c:v>
                </c:pt>
                <c:pt idx="45">
                  <c:v>38991</c:v>
                </c:pt>
                <c:pt idx="46">
                  <c:v>39022</c:v>
                </c:pt>
                <c:pt idx="47">
                  <c:v>39052</c:v>
                </c:pt>
                <c:pt idx="48">
                  <c:v>39083</c:v>
                </c:pt>
                <c:pt idx="49">
                  <c:v>39114</c:v>
                </c:pt>
                <c:pt idx="50">
                  <c:v>39142</c:v>
                </c:pt>
                <c:pt idx="51">
                  <c:v>39173</c:v>
                </c:pt>
                <c:pt idx="52">
                  <c:v>39203</c:v>
                </c:pt>
                <c:pt idx="53">
                  <c:v>39234</c:v>
                </c:pt>
                <c:pt idx="54">
                  <c:v>39264</c:v>
                </c:pt>
                <c:pt idx="55">
                  <c:v>39295</c:v>
                </c:pt>
                <c:pt idx="56">
                  <c:v>39326</c:v>
                </c:pt>
                <c:pt idx="57">
                  <c:v>39356</c:v>
                </c:pt>
                <c:pt idx="58">
                  <c:v>39387</c:v>
                </c:pt>
                <c:pt idx="59">
                  <c:v>39417</c:v>
                </c:pt>
                <c:pt idx="60">
                  <c:v>39448</c:v>
                </c:pt>
                <c:pt idx="61">
                  <c:v>39479</c:v>
                </c:pt>
                <c:pt idx="62">
                  <c:v>39508</c:v>
                </c:pt>
                <c:pt idx="63">
                  <c:v>39539</c:v>
                </c:pt>
                <c:pt idx="64">
                  <c:v>39569</c:v>
                </c:pt>
                <c:pt idx="65">
                  <c:v>39600</c:v>
                </c:pt>
                <c:pt idx="66">
                  <c:v>39630</c:v>
                </c:pt>
                <c:pt idx="67">
                  <c:v>39661</c:v>
                </c:pt>
                <c:pt idx="68">
                  <c:v>39692</c:v>
                </c:pt>
                <c:pt idx="69">
                  <c:v>39722</c:v>
                </c:pt>
                <c:pt idx="70">
                  <c:v>39753</c:v>
                </c:pt>
                <c:pt idx="71">
                  <c:v>39783</c:v>
                </c:pt>
                <c:pt idx="72">
                  <c:v>39814</c:v>
                </c:pt>
                <c:pt idx="73">
                  <c:v>39845</c:v>
                </c:pt>
                <c:pt idx="74">
                  <c:v>39873</c:v>
                </c:pt>
                <c:pt idx="75">
                  <c:v>39904</c:v>
                </c:pt>
                <c:pt idx="76">
                  <c:v>39934</c:v>
                </c:pt>
                <c:pt idx="77">
                  <c:v>39965</c:v>
                </c:pt>
                <c:pt idx="78">
                  <c:v>39995</c:v>
                </c:pt>
                <c:pt idx="79">
                  <c:v>40026</c:v>
                </c:pt>
                <c:pt idx="80">
                  <c:v>40057</c:v>
                </c:pt>
                <c:pt idx="81">
                  <c:v>40087</c:v>
                </c:pt>
                <c:pt idx="82">
                  <c:v>40118</c:v>
                </c:pt>
                <c:pt idx="83">
                  <c:v>40148</c:v>
                </c:pt>
                <c:pt idx="84">
                  <c:v>40179</c:v>
                </c:pt>
                <c:pt idx="85">
                  <c:v>40210</c:v>
                </c:pt>
                <c:pt idx="86">
                  <c:v>40238</c:v>
                </c:pt>
                <c:pt idx="87">
                  <c:v>40269</c:v>
                </c:pt>
                <c:pt idx="88">
                  <c:v>40299</c:v>
                </c:pt>
                <c:pt idx="89">
                  <c:v>40330</c:v>
                </c:pt>
                <c:pt idx="90">
                  <c:v>40360</c:v>
                </c:pt>
                <c:pt idx="91">
                  <c:v>40391</c:v>
                </c:pt>
                <c:pt idx="92">
                  <c:v>40422</c:v>
                </c:pt>
                <c:pt idx="93">
                  <c:v>40452</c:v>
                </c:pt>
                <c:pt idx="94">
                  <c:v>40483</c:v>
                </c:pt>
                <c:pt idx="95">
                  <c:v>40513</c:v>
                </c:pt>
                <c:pt idx="96">
                  <c:v>40544</c:v>
                </c:pt>
                <c:pt idx="97">
                  <c:v>40575</c:v>
                </c:pt>
                <c:pt idx="98">
                  <c:v>40603</c:v>
                </c:pt>
                <c:pt idx="99">
                  <c:v>40634</c:v>
                </c:pt>
                <c:pt idx="100">
                  <c:v>40664</c:v>
                </c:pt>
                <c:pt idx="101">
                  <c:v>40695</c:v>
                </c:pt>
                <c:pt idx="102">
                  <c:v>40725</c:v>
                </c:pt>
              </c:numCache>
            </c:numRef>
          </c:cat>
          <c:val>
            <c:numRef>
              <c:f>'Monthly - IBC-Br'!$C$3:$C$105</c:f>
              <c:numCache>
                <c:formatCode>0.0</c:formatCode>
                <c:ptCount val="103"/>
                <c:pt idx="0">
                  <c:v>100.5</c:v>
                </c:pt>
                <c:pt idx="1">
                  <c:v>102</c:v>
                </c:pt>
                <c:pt idx="2">
                  <c:v>101.77</c:v>
                </c:pt>
                <c:pt idx="3">
                  <c:v>100.94</c:v>
                </c:pt>
                <c:pt idx="4">
                  <c:v>99.8</c:v>
                </c:pt>
                <c:pt idx="5">
                  <c:v>100.39</c:v>
                </c:pt>
                <c:pt idx="6">
                  <c:v>99.12</c:v>
                </c:pt>
                <c:pt idx="7">
                  <c:v>99.72</c:v>
                </c:pt>
                <c:pt idx="8">
                  <c:v>101.81</c:v>
                </c:pt>
                <c:pt idx="9">
                  <c:v>101.88</c:v>
                </c:pt>
                <c:pt idx="10">
                  <c:v>101.97</c:v>
                </c:pt>
                <c:pt idx="11">
                  <c:v>101.59</c:v>
                </c:pt>
                <c:pt idx="12">
                  <c:v>103.61</c:v>
                </c:pt>
                <c:pt idx="13">
                  <c:v>104.48</c:v>
                </c:pt>
                <c:pt idx="14">
                  <c:v>105.81</c:v>
                </c:pt>
                <c:pt idx="15">
                  <c:v>106.45</c:v>
                </c:pt>
                <c:pt idx="16">
                  <c:v>106.34</c:v>
                </c:pt>
                <c:pt idx="17">
                  <c:v>107.38</c:v>
                </c:pt>
                <c:pt idx="18">
                  <c:v>107.85</c:v>
                </c:pt>
                <c:pt idx="19">
                  <c:v>108.21</c:v>
                </c:pt>
                <c:pt idx="20">
                  <c:v>109.41</c:v>
                </c:pt>
                <c:pt idx="21">
                  <c:v>108.67</c:v>
                </c:pt>
                <c:pt idx="22">
                  <c:v>109.62</c:v>
                </c:pt>
                <c:pt idx="23">
                  <c:v>108.75</c:v>
                </c:pt>
                <c:pt idx="24">
                  <c:v>109.65</c:v>
                </c:pt>
                <c:pt idx="25">
                  <c:v>110.13</c:v>
                </c:pt>
                <c:pt idx="26">
                  <c:v>110.29</c:v>
                </c:pt>
                <c:pt idx="27">
                  <c:v>110.96</c:v>
                </c:pt>
                <c:pt idx="28">
                  <c:v>110.99</c:v>
                </c:pt>
                <c:pt idx="29">
                  <c:v>110.75</c:v>
                </c:pt>
                <c:pt idx="30">
                  <c:v>110.64</c:v>
                </c:pt>
                <c:pt idx="31">
                  <c:v>111.27</c:v>
                </c:pt>
                <c:pt idx="32">
                  <c:v>110.92</c:v>
                </c:pt>
                <c:pt idx="33">
                  <c:v>111.06</c:v>
                </c:pt>
                <c:pt idx="34">
                  <c:v>111.8</c:v>
                </c:pt>
                <c:pt idx="35">
                  <c:v>112.34</c:v>
                </c:pt>
                <c:pt idx="36">
                  <c:v>113.47</c:v>
                </c:pt>
                <c:pt idx="37">
                  <c:v>113.6</c:v>
                </c:pt>
                <c:pt idx="38">
                  <c:v>113.43</c:v>
                </c:pt>
                <c:pt idx="39">
                  <c:v>114.21</c:v>
                </c:pt>
                <c:pt idx="40">
                  <c:v>115.69</c:v>
                </c:pt>
                <c:pt idx="41">
                  <c:v>114.81</c:v>
                </c:pt>
                <c:pt idx="42">
                  <c:v>116.95</c:v>
                </c:pt>
                <c:pt idx="43">
                  <c:v>116.6</c:v>
                </c:pt>
                <c:pt idx="44">
                  <c:v>116.8</c:v>
                </c:pt>
                <c:pt idx="45">
                  <c:v>118.07</c:v>
                </c:pt>
                <c:pt idx="46">
                  <c:v>118.87</c:v>
                </c:pt>
                <c:pt idx="47">
                  <c:v>119.87</c:v>
                </c:pt>
                <c:pt idx="48">
                  <c:v>119.71</c:v>
                </c:pt>
                <c:pt idx="49">
                  <c:v>120.16</c:v>
                </c:pt>
                <c:pt idx="50">
                  <c:v>119.34</c:v>
                </c:pt>
                <c:pt idx="51">
                  <c:v>121.14</c:v>
                </c:pt>
                <c:pt idx="52">
                  <c:v>122.39</c:v>
                </c:pt>
                <c:pt idx="53">
                  <c:v>123.47</c:v>
                </c:pt>
                <c:pt idx="54">
                  <c:v>124.29</c:v>
                </c:pt>
                <c:pt idx="55">
                  <c:v>124.25</c:v>
                </c:pt>
                <c:pt idx="56">
                  <c:v>125.29</c:v>
                </c:pt>
                <c:pt idx="57">
                  <c:v>126.29</c:v>
                </c:pt>
                <c:pt idx="58">
                  <c:v>126.22</c:v>
                </c:pt>
                <c:pt idx="59">
                  <c:v>126.9</c:v>
                </c:pt>
                <c:pt idx="60">
                  <c:v>127.22</c:v>
                </c:pt>
                <c:pt idx="61">
                  <c:v>126.84</c:v>
                </c:pt>
                <c:pt idx="62">
                  <c:v>126.35</c:v>
                </c:pt>
                <c:pt idx="63">
                  <c:v>127.73</c:v>
                </c:pt>
                <c:pt idx="64">
                  <c:v>129.41999999999999</c:v>
                </c:pt>
                <c:pt idx="65">
                  <c:v>131.19999999999999</c:v>
                </c:pt>
                <c:pt idx="66">
                  <c:v>130.96</c:v>
                </c:pt>
                <c:pt idx="67">
                  <c:v>130.94999999999999</c:v>
                </c:pt>
                <c:pt idx="68">
                  <c:v>130.94</c:v>
                </c:pt>
                <c:pt idx="69">
                  <c:v>128.13</c:v>
                </c:pt>
                <c:pt idx="70">
                  <c:v>125.06</c:v>
                </c:pt>
                <c:pt idx="71">
                  <c:v>120.95</c:v>
                </c:pt>
                <c:pt idx="72">
                  <c:v>120.85</c:v>
                </c:pt>
                <c:pt idx="73">
                  <c:v>122.19</c:v>
                </c:pt>
                <c:pt idx="74">
                  <c:v>122.96</c:v>
                </c:pt>
                <c:pt idx="75">
                  <c:v>123.53</c:v>
                </c:pt>
                <c:pt idx="76">
                  <c:v>124.88</c:v>
                </c:pt>
                <c:pt idx="77">
                  <c:v>125.96</c:v>
                </c:pt>
                <c:pt idx="78">
                  <c:v>126.25</c:v>
                </c:pt>
                <c:pt idx="79">
                  <c:v>128.06</c:v>
                </c:pt>
                <c:pt idx="80">
                  <c:v>129.07</c:v>
                </c:pt>
                <c:pt idx="81">
                  <c:v>129.77000000000001</c:v>
                </c:pt>
                <c:pt idx="82">
                  <c:v>130.19</c:v>
                </c:pt>
                <c:pt idx="83">
                  <c:v>131.34</c:v>
                </c:pt>
                <c:pt idx="84">
                  <c:v>133.47</c:v>
                </c:pt>
                <c:pt idx="85">
                  <c:v>135.16999999999999</c:v>
                </c:pt>
                <c:pt idx="86">
                  <c:v>136.57</c:v>
                </c:pt>
                <c:pt idx="87">
                  <c:v>137.09</c:v>
                </c:pt>
                <c:pt idx="88">
                  <c:v>136.47</c:v>
                </c:pt>
                <c:pt idx="89">
                  <c:v>136.18</c:v>
                </c:pt>
                <c:pt idx="90">
                  <c:v>136.94</c:v>
                </c:pt>
                <c:pt idx="91">
                  <c:v>137.71</c:v>
                </c:pt>
                <c:pt idx="92">
                  <c:v>139.24</c:v>
                </c:pt>
                <c:pt idx="93">
                  <c:v>138.61000000000001</c:v>
                </c:pt>
                <c:pt idx="94">
                  <c:v>140.29</c:v>
                </c:pt>
                <c:pt idx="95">
                  <c:v>138.24</c:v>
                </c:pt>
                <c:pt idx="96">
                  <c:v>140.12</c:v>
                </c:pt>
                <c:pt idx="97">
                  <c:v>140.81</c:v>
                </c:pt>
                <c:pt idx="98">
                  <c:v>141.04</c:v>
                </c:pt>
                <c:pt idx="99">
                  <c:v>140.81</c:v>
                </c:pt>
                <c:pt idx="100">
                  <c:v>141.33000000000001</c:v>
                </c:pt>
                <c:pt idx="101">
                  <c:v>142.13</c:v>
                </c:pt>
                <c:pt idx="102">
                  <c:v>142.16999999999999</c:v>
                </c:pt>
              </c:numCache>
            </c:numRef>
          </c:val>
          <c:smooth val="0"/>
          <c:extLst>
            <c:ext xmlns:c16="http://schemas.microsoft.com/office/drawing/2014/chart" uri="{C3380CC4-5D6E-409C-BE32-E72D297353CC}">
              <c16:uniqueId val="{00000001-8975-4601-9640-A48738B3461C}"/>
            </c:ext>
          </c:extLst>
        </c:ser>
        <c:dLbls>
          <c:showLegendKey val="0"/>
          <c:showVal val="0"/>
          <c:showCatName val="0"/>
          <c:showSerName val="0"/>
          <c:showPercent val="0"/>
          <c:showBubbleSize val="0"/>
        </c:dLbls>
        <c:smooth val="0"/>
        <c:axId val="780837056"/>
        <c:axId val="780837888"/>
      </c:lineChart>
      <c:dateAx>
        <c:axId val="780837056"/>
        <c:scaling>
          <c:orientation val="minMax"/>
        </c:scaling>
        <c:delete val="0"/>
        <c:axPos val="b"/>
        <c:numFmt formatCode="[$-416]mmm\-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780837888"/>
        <c:crosses val="autoZero"/>
        <c:auto val="1"/>
        <c:lblOffset val="100"/>
        <c:baseTimeUnit val="months"/>
      </c:dateAx>
      <c:valAx>
        <c:axId val="780837888"/>
        <c:scaling>
          <c:orientation val="minMax"/>
          <c:min val="90"/>
        </c:scaling>
        <c:delete val="0"/>
        <c:axPos val="l"/>
        <c:majorGridlines>
          <c:spPr>
            <a:ln w="9525" cap="flat" cmpd="sng" algn="ctr">
              <a:solidFill>
                <a:schemeClr val="tx1">
                  <a:lumMod val="15000"/>
                  <a:lumOff val="85000"/>
                </a:schemeClr>
              </a:solidFill>
              <a:round/>
            </a:ln>
            <a:effectLst/>
          </c:spPr>
        </c:majorGridlines>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780837056"/>
        <c:crosses val="autoZero"/>
        <c:crossBetween val="between"/>
      </c:valAx>
      <c:spPr>
        <a:noFill/>
        <a:ln>
          <a:noFill/>
        </a:ln>
        <a:effectLst/>
      </c:spPr>
    </c:plotArea>
    <c:legend>
      <c:legendPos val="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pt-BR"/>
              <a:t>IBC-Br</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pt-BR"/>
        </a:p>
      </c:txPr>
    </c:title>
    <c:autoTitleDeleted val="0"/>
    <c:plotArea>
      <c:layout/>
      <c:lineChart>
        <c:grouping val="standard"/>
        <c:varyColors val="0"/>
        <c:ser>
          <c:idx val="0"/>
          <c:order val="0"/>
          <c:tx>
            <c:strRef>
              <c:f>'Monthly - IBC-Br'!$B$2</c:f>
              <c:strCache>
                <c:ptCount val="1"/>
                <c:pt idx="0">
                  <c:v>IBC-Br</c:v>
                </c:pt>
              </c:strCache>
            </c:strRef>
          </c:tx>
          <c:spPr>
            <a:ln w="28575" cap="rnd">
              <a:solidFill>
                <a:schemeClr val="accent1"/>
              </a:solidFill>
              <a:round/>
            </a:ln>
            <a:effectLst/>
          </c:spPr>
          <c:marker>
            <c:symbol val="none"/>
          </c:marker>
          <c:cat>
            <c:numRef>
              <c:f>'Monthly - IBC-Br'!$A$3:$A$105</c:f>
              <c:numCache>
                <c:formatCode>[$-416]mmm\-yy;@</c:formatCode>
                <c:ptCount val="103"/>
                <c:pt idx="0">
                  <c:v>37622</c:v>
                </c:pt>
                <c:pt idx="1">
                  <c:v>37653</c:v>
                </c:pt>
                <c:pt idx="2">
                  <c:v>37681</c:v>
                </c:pt>
                <c:pt idx="3">
                  <c:v>37712</c:v>
                </c:pt>
                <c:pt idx="4">
                  <c:v>37742</c:v>
                </c:pt>
                <c:pt idx="5">
                  <c:v>37773</c:v>
                </c:pt>
                <c:pt idx="6">
                  <c:v>37803</c:v>
                </c:pt>
                <c:pt idx="7">
                  <c:v>37834</c:v>
                </c:pt>
                <c:pt idx="8">
                  <c:v>37865</c:v>
                </c:pt>
                <c:pt idx="9">
                  <c:v>37895</c:v>
                </c:pt>
                <c:pt idx="10">
                  <c:v>37926</c:v>
                </c:pt>
                <c:pt idx="11">
                  <c:v>37956</c:v>
                </c:pt>
                <c:pt idx="12">
                  <c:v>37987</c:v>
                </c:pt>
                <c:pt idx="13">
                  <c:v>38018</c:v>
                </c:pt>
                <c:pt idx="14">
                  <c:v>38047</c:v>
                </c:pt>
                <c:pt idx="15">
                  <c:v>38078</c:v>
                </c:pt>
                <c:pt idx="16">
                  <c:v>38108</c:v>
                </c:pt>
                <c:pt idx="17">
                  <c:v>38139</c:v>
                </c:pt>
                <c:pt idx="18">
                  <c:v>38169</c:v>
                </c:pt>
                <c:pt idx="19">
                  <c:v>38200</c:v>
                </c:pt>
                <c:pt idx="20">
                  <c:v>38231</c:v>
                </c:pt>
                <c:pt idx="21">
                  <c:v>38261</c:v>
                </c:pt>
                <c:pt idx="22">
                  <c:v>38292</c:v>
                </c:pt>
                <c:pt idx="23">
                  <c:v>38322</c:v>
                </c:pt>
                <c:pt idx="24">
                  <c:v>38353</c:v>
                </c:pt>
                <c:pt idx="25">
                  <c:v>38384</c:v>
                </c:pt>
                <c:pt idx="26">
                  <c:v>38412</c:v>
                </c:pt>
                <c:pt idx="27">
                  <c:v>38443</c:v>
                </c:pt>
                <c:pt idx="28">
                  <c:v>38473</c:v>
                </c:pt>
                <c:pt idx="29">
                  <c:v>38504</c:v>
                </c:pt>
                <c:pt idx="30">
                  <c:v>38534</c:v>
                </c:pt>
                <c:pt idx="31">
                  <c:v>38565</c:v>
                </c:pt>
                <c:pt idx="32">
                  <c:v>38596</c:v>
                </c:pt>
                <c:pt idx="33">
                  <c:v>38626</c:v>
                </c:pt>
                <c:pt idx="34">
                  <c:v>38657</c:v>
                </c:pt>
                <c:pt idx="35">
                  <c:v>38687</c:v>
                </c:pt>
                <c:pt idx="36">
                  <c:v>38718</c:v>
                </c:pt>
                <c:pt idx="37">
                  <c:v>38749</c:v>
                </c:pt>
                <c:pt idx="38">
                  <c:v>38777</c:v>
                </c:pt>
                <c:pt idx="39">
                  <c:v>38808</c:v>
                </c:pt>
                <c:pt idx="40">
                  <c:v>38838</c:v>
                </c:pt>
                <c:pt idx="41">
                  <c:v>38869</c:v>
                </c:pt>
                <c:pt idx="42">
                  <c:v>38899</c:v>
                </c:pt>
                <c:pt idx="43">
                  <c:v>38930</c:v>
                </c:pt>
                <c:pt idx="44">
                  <c:v>38961</c:v>
                </c:pt>
                <c:pt idx="45">
                  <c:v>38991</c:v>
                </c:pt>
                <c:pt idx="46">
                  <c:v>39022</c:v>
                </c:pt>
                <c:pt idx="47">
                  <c:v>39052</c:v>
                </c:pt>
                <c:pt idx="48">
                  <c:v>39083</c:v>
                </c:pt>
                <c:pt idx="49">
                  <c:v>39114</c:v>
                </c:pt>
                <c:pt idx="50">
                  <c:v>39142</c:v>
                </c:pt>
                <c:pt idx="51">
                  <c:v>39173</c:v>
                </c:pt>
                <c:pt idx="52">
                  <c:v>39203</c:v>
                </c:pt>
                <c:pt idx="53">
                  <c:v>39234</c:v>
                </c:pt>
                <c:pt idx="54">
                  <c:v>39264</c:v>
                </c:pt>
                <c:pt idx="55">
                  <c:v>39295</c:v>
                </c:pt>
                <c:pt idx="56">
                  <c:v>39326</c:v>
                </c:pt>
                <c:pt idx="57">
                  <c:v>39356</c:v>
                </c:pt>
                <c:pt idx="58">
                  <c:v>39387</c:v>
                </c:pt>
                <c:pt idx="59">
                  <c:v>39417</c:v>
                </c:pt>
                <c:pt idx="60">
                  <c:v>39448</c:v>
                </c:pt>
                <c:pt idx="61">
                  <c:v>39479</c:v>
                </c:pt>
                <c:pt idx="62">
                  <c:v>39508</c:v>
                </c:pt>
                <c:pt idx="63">
                  <c:v>39539</c:v>
                </c:pt>
                <c:pt idx="64">
                  <c:v>39569</c:v>
                </c:pt>
                <c:pt idx="65">
                  <c:v>39600</c:v>
                </c:pt>
                <c:pt idx="66">
                  <c:v>39630</c:v>
                </c:pt>
                <c:pt idx="67">
                  <c:v>39661</c:v>
                </c:pt>
                <c:pt idx="68">
                  <c:v>39692</c:v>
                </c:pt>
                <c:pt idx="69">
                  <c:v>39722</c:v>
                </c:pt>
                <c:pt idx="70">
                  <c:v>39753</c:v>
                </c:pt>
                <c:pt idx="71">
                  <c:v>39783</c:v>
                </c:pt>
                <c:pt idx="72">
                  <c:v>39814</c:v>
                </c:pt>
                <c:pt idx="73">
                  <c:v>39845</c:v>
                </c:pt>
                <c:pt idx="74">
                  <c:v>39873</c:v>
                </c:pt>
                <c:pt idx="75">
                  <c:v>39904</c:v>
                </c:pt>
                <c:pt idx="76">
                  <c:v>39934</c:v>
                </c:pt>
                <c:pt idx="77">
                  <c:v>39965</c:v>
                </c:pt>
                <c:pt idx="78">
                  <c:v>39995</c:v>
                </c:pt>
                <c:pt idx="79">
                  <c:v>40026</c:v>
                </c:pt>
                <c:pt idx="80">
                  <c:v>40057</c:v>
                </c:pt>
                <c:pt idx="81">
                  <c:v>40087</c:v>
                </c:pt>
                <c:pt idx="82">
                  <c:v>40118</c:v>
                </c:pt>
                <c:pt idx="83">
                  <c:v>40148</c:v>
                </c:pt>
                <c:pt idx="84">
                  <c:v>40179</c:v>
                </c:pt>
                <c:pt idx="85">
                  <c:v>40210</c:v>
                </c:pt>
                <c:pt idx="86">
                  <c:v>40238</c:v>
                </c:pt>
                <c:pt idx="87">
                  <c:v>40269</c:v>
                </c:pt>
                <c:pt idx="88">
                  <c:v>40299</c:v>
                </c:pt>
                <c:pt idx="89">
                  <c:v>40330</c:v>
                </c:pt>
                <c:pt idx="90">
                  <c:v>40360</c:v>
                </c:pt>
                <c:pt idx="91">
                  <c:v>40391</c:v>
                </c:pt>
                <c:pt idx="92">
                  <c:v>40422</c:v>
                </c:pt>
                <c:pt idx="93">
                  <c:v>40452</c:v>
                </c:pt>
                <c:pt idx="94">
                  <c:v>40483</c:v>
                </c:pt>
                <c:pt idx="95">
                  <c:v>40513</c:v>
                </c:pt>
                <c:pt idx="96">
                  <c:v>40544</c:v>
                </c:pt>
                <c:pt idx="97">
                  <c:v>40575</c:v>
                </c:pt>
                <c:pt idx="98">
                  <c:v>40603</c:v>
                </c:pt>
                <c:pt idx="99">
                  <c:v>40634</c:v>
                </c:pt>
                <c:pt idx="100">
                  <c:v>40664</c:v>
                </c:pt>
                <c:pt idx="101">
                  <c:v>40695</c:v>
                </c:pt>
                <c:pt idx="102">
                  <c:v>40725</c:v>
                </c:pt>
              </c:numCache>
            </c:numRef>
          </c:cat>
          <c:val>
            <c:numRef>
              <c:f>'Monthly - IBC-Br'!$B$3:$B$105</c:f>
              <c:numCache>
                <c:formatCode>0.00</c:formatCode>
                <c:ptCount val="103"/>
                <c:pt idx="0">
                  <c:v>96.15</c:v>
                </c:pt>
                <c:pt idx="1">
                  <c:v>98.67</c:v>
                </c:pt>
                <c:pt idx="2">
                  <c:v>103.41</c:v>
                </c:pt>
                <c:pt idx="3">
                  <c:v>102.19</c:v>
                </c:pt>
                <c:pt idx="4">
                  <c:v>100.3</c:v>
                </c:pt>
                <c:pt idx="5">
                  <c:v>98.58</c:v>
                </c:pt>
                <c:pt idx="6">
                  <c:v>103.05</c:v>
                </c:pt>
                <c:pt idx="7">
                  <c:v>101.47</c:v>
                </c:pt>
                <c:pt idx="8">
                  <c:v>102.87</c:v>
                </c:pt>
                <c:pt idx="9">
                  <c:v>105.06</c:v>
                </c:pt>
                <c:pt idx="10">
                  <c:v>101.95</c:v>
                </c:pt>
                <c:pt idx="11">
                  <c:v>99.74</c:v>
                </c:pt>
                <c:pt idx="12">
                  <c:v>98.59</c:v>
                </c:pt>
                <c:pt idx="13">
                  <c:v>99.45</c:v>
                </c:pt>
                <c:pt idx="14">
                  <c:v>111.98</c:v>
                </c:pt>
                <c:pt idx="15">
                  <c:v>107.36</c:v>
                </c:pt>
                <c:pt idx="16">
                  <c:v>106.03</c:v>
                </c:pt>
                <c:pt idx="17">
                  <c:v>107</c:v>
                </c:pt>
                <c:pt idx="18">
                  <c:v>111.47</c:v>
                </c:pt>
                <c:pt idx="19">
                  <c:v>110.65</c:v>
                </c:pt>
                <c:pt idx="20">
                  <c:v>109.21</c:v>
                </c:pt>
                <c:pt idx="21">
                  <c:v>108.89</c:v>
                </c:pt>
                <c:pt idx="22">
                  <c:v>109.59</c:v>
                </c:pt>
                <c:pt idx="23">
                  <c:v>107.56</c:v>
                </c:pt>
                <c:pt idx="24">
                  <c:v>103.52</c:v>
                </c:pt>
                <c:pt idx="25">
                  <c:v>104</c:v>
                </c:pt>
                <c:pt idx="26">
                  <c:v>115.42</c:v>
                </c:pt>
                <c:pt idx="27">
                  <c:v>112.35</c:v>
                </c:pt>
                <c:pt idx="28">
                  <c:v>110.86</c:v>
                </c:pt>
                <c:pt idx="29">
                  <c:v>111.5</c:v>
                </c:pt>
                <c:pt idx="30">
                  <c:v>113.15</c:v>
                </c:pt>
                <c:pt idx="31">
                  <c:v>115.15</c:v>
                </c:pt>
                <c:pt idx="32">
                  <c:v>110.95</c:v>
                </c:pt>
                <c:pt idx="33">
                  <c:v>111.33</c:v>
                </c:pt>
                <c:pt idx="34">
                  <c:v>111.73</c:v>
                </c:pt>
                <c:pt idx="35">
                  <c:v>111.25</c:v>
                </c:pt>
                <c:pt idx="36">
                  <c:v>108.55</c:v>
                </c:pt>
                <c:pt idx="37">
                  <c:v>107.8</c:v>
                </c:pt>
                <c:pt idx="38">
                  <c:v>119.09</c:v>
                </c:pt>
                <c:pt idx="39">
                  <c:v>112.61</c:v>
                </c:pt>
                <c:pt idx="40">
                  <c:v>117.19</c:v>
                </c:pt>
                <c:pt idx="41">
                  <c:v>114.4</c:v>
                </c:pt>
                <c:pt idx="42">
                  <c:v>119.41</c:v>
                </c:pt>
                <c:pt idx="43">
                  <c:v>121.06</c:v>
                </c:pt>
                <c:pt idx="44">
                  <c:v>116.21</c:v>
                </c:pt>
                <c:pt idx="45">
                  <c:v>119.33</c:v>
                </c:pt>
                <c:pt idx="46">
                  <c:v>118.67</c:v>
                </c:pt>
                <c:pt idx="47">
                  <c:v>116.3</c:v>
                </c:pt>
                <c:pt idx="48">
                  <c:v>114.79</c:v>
                </c:pt>
                <c:pt idx="49">
                  <c:v>113.33</c:v>
                </c:pt>
                <c:pt idx="50">
                  <c:v>125.11</c:v>
                </c:pt>
                <c:pt idx="51">
                  <c:v>120.29</c:v>
                </c:pt>
                <c:pt idx="52">
                  <c:v>123.9</c:v>
                </c:pt>
                <c:pt idx="53">
                  <c:v>122.38</c:v>
                </c:pt>
                <c:pt idx="54">
                  <c:v>127.85</c:v>
                </c:pt>
                <c:pt idx="55">
                  <c:v>129.05000000000001</c:v>
                </c:pt>
                <c:pt idx="56">
                  <c:v>123.24</c:v>
                </c:pt>
                <c:pt idx="57">
                  <c:v>129.16999999999999</c:v>
                </c:pt>
                <c:pt idx="58">
                  <c:v>125.88</c:v>
                </c:pt>
                <c:pt idx="59">
                  <c:v>122.43</c:v>
                </c:pt>
                <c:pt idx="60">
                  <c:v>121.86</c:v>
                </c:pt>
                <c:pt idx="61">
                  <c:v>121.91</c:v>
                </c:pt>
                <c:pt idx="62">
                  <c:v>128.99</c:v>
                </c:pt>
                <c:pt idx="63">
                  <c:v>129.47999999999999</c:v>
                </c:pt>
                <c:pt idx="64">
                  <c:v>128.91999999999999</c:v>
                </c:pt>
                <c:pt idx="65">
                  <c:v>130.59</c:v>
                </c:pt>
                <c:pt idx="66">
                  <c:v>136.53</c:v>
                </c:pt>
                <c:pt idx="67">
                  <c:v>133.87</c:v>
                </c:pt>
                <c:pt idx="68">
                  <c:v>132.6</c:v>
                </c:pt>
                <c:pt idx="69">
                  <c:v>132.80000000000001</c:v>
                </c:pt>
                <c:pt idx="70">
                  <c:v>124.58</c:v>
                </c:pt>
                <c:pt idx="71">
                  <c:v>118.9</c:v>
                </c:pt>
                <c:pt idx="72">
                  <c:v>115.2</c:v>
                </c:pt>
                <c:pt idx="73">
                  <c:v>115.26</c:v>
                </c:pt>
                <c:pt idx="74">
                  <c:v>127.81</c:v>
                </c:pt>
                <c:pt idx="75">
                  <c:v>123.09</c:v>
                </c:pt>
                <c:pt idx="76">
                  <c:v>124.41</c:v>
                </c:pt>
                <c:pt idx="77">
                  <c:v>125.61</c:v>
                </c:pt>
                <c:pt idx="78">
                  <c:v>131.44</c:v>
                </c:pt>
                <c:pt idx="79">
                  <c:v>130.69999999999999</c:v>
                </c:pt>
                <c:pt idx="80">
                  <c:v>129.81</c:v>
                </c:pt>
                <c:pt idx="81">
                  <c:v>132.47999999999999</c:v>
                </c:pt>
                <c:pt idx="82">
                  <c:v>129.62</c:v>
                </c:pt>
                <c:pt idx="83">
                  <c:v>129.22999999999999</c:v>
                </c:pt>
                <c:pt idx="84">
                  <c:v>125.81</c:v>
                </c:pt>
                <c:pt idx="85">
                  <c:v>127.61</c:v>
                </c:pt>
                <c:pt idx="86">
                  <c:v>143.44</c:v>
                </c:pt>
                <c:pt idx="87">
                  <c:v>136.87</c:v>
                </c:pt>
                <c:pt idx="88">
                  <c:v>136.52000000000001</c:v>
                </c:pt>
                <c:pt idx="89">
                  <c:v>136.09</c:v>
                </c:pt>
                <c:pt idx="90">
                  <c:v>141.63999999999999</c:v>
                </c:pt>
                <c:pt idx="91">
                  <c:v>141.55000000000001</c:v>
                </c:pt>
                <c:pt idx="92">
                  <c:v>139.46</c:v>
                </c:pt>
                <c:pt idx="93">
                  <c:v>139.33000000000001</c:v>
                </c:pt>
                <c:pt idx="94">
                  <c:v>139.68</c:v>
                </c:pt>
                <c:pt idx="95">
                  <c:v>136.69</c:v>
                </c:pt>
                <c:pt idx="96">
                  <c:v>132.66</c:v>
                </c:pt>
                <c:pt idx="97">
                  <c:v>136.18</c:v>
                </c:pt>
                <c:pt idx="98">
                  <c:v>144.93</c:v>
                </c:pt>
                <c:pt idx="99">
                  <c:v>139.88999999999999</c:v>
                </c:pt>
                <c:pt idx="100">
                  <c:v>143.22999999999999</c:v>
                </c:pt>
                <c:pt idx="101">
                  <c:v>141.75</c:v>
                </c:pt>
                <c:pt idx="102">
                  <c:v>145.19</c:v>
                </c:pt>
              </c:numCache>
            </c:numRef>
          </c:val>
          <c:smooth val="0"/>
          <c:extLst>
            <c:ext xmlns:c16="http://schemas.microsoft.com/office/drawing/2014/chart" uri="{C3380CC4-5D6E-409C-BE32-E72D297353CC}">
              <c16:uniqueId val="{00000000-C1F2-4774-85A6-745393C10862}"/>
            </c:ext>
          </c:extLst>
        </c:ser>
        <c:ser>
          <c:idx val="1"/>
          <c:order val="1"/>
          <c:tx>
            <c:v>xlDESSAZ SA</c:v>
          </c:tx>
          <c:spPr>
            <a:ln w="28575" cap="rnd">
              <a:solidFill>
                <a:schemeClr val="accent2"/>
              </a:solidFill>
              <a:round/>
            </a:ln>
            <a:effectLst/>
          </c:spPr>
          <c:marker>
            <c:symbol val="none"/>
          </c:marker>
          <c:cat>
            <c:numRef>
              <c:f>'Monthly - IBC-Br'!$A$3:$A$105</c:f>
              <c:numCache>
                <c:formatCode>[$-416]mmm\-yy;@</c:formatCode>
                <c:ptCount val="103"/>
                <c:pt idx="0">
                  <c:v>37622</c:v>
                </c:pt>
                <c:pt idx="1">
                  <c:v>37653</c:v>
                </c:pt>
                <c:pt idx="2">
                  <c:v>37681</c:v>
                </c:pt>
                <c:pt idx="3">
                  <c:v>37712</c:v>
                </c:pt>
                <c:pt idx="4">
                  <c:v>37742</c:v>
                </c:pt>
                <c:pt idx="5">
                  <c:v>37773</c:v>
                </c:pt>
                <c:pt idx="6">
                  <c:v>37803</c:v>
                </c:pt>
                <c:pt idx="7">
                  <c:v>37834</c:v>
                </c:pt>
                <c:pt idx="8">
                  <c:v>37865</c:v>
                </c:pt>
                <c:pt idx="9">
                  <c:v>37895</c:v>
                </c:pt>
                <c:pt idx="10">
                  <c:v>37926</c:v>
                </c:pt>
                <c:pt idx="11">
                  <c:v>37956</c:v>
                </c:pt>
                <c:pt idx="12">
                  <c:v>37987</c:v>
                </c:pt>
                <c:pt idx="13">
                  <c:v>38018</c:v>
                </c:pt>
                <c:pt idx="14">
                  <c:v>38047</c:v>
                </c:pt>
                <c:pt idx="15">
                  <c:v>38078</c:v>
                </c:pt>
                <c:pt idx="16">
                  <c:v>38108</c:v>
                </c:pt>
                <c:pt idx="17">
                  <c:v>38139</c:v>
                </c:pt>
                <c:pt idx="18">
                  <c:v>38169</c:v>
                </c:pt>
                <c:pt idx="19">
                  <c:v>38200</c:v>
                </c:pt>
                <c:pt idx="20">
                  <c:v>38231</c:v>
                </c:pt>
                <c:pt idx="21">
                  <c:v>38261</c:v>
                </c:pt>
                <c:pt idx="22">
                  <c:v>38292</c:v>
                </c:pt>
                <c:pt idx="23">
                  <c:v>38322</c:v>
                </c:pt>
                <c:pt idx="24">
                  <c:v>38353</c:v>
                </c:pt>
                <c:pt idx="25">
                  <c:v>38384</c:v>
                </c:pt>
                <c:pt idx="26">
                  <c:v>38412</c:v>
                </c:pt>
                <c:pt idx="27">
                  <c:v>38443</c:v>
                </c:pt>
                <c:pt idx="28">
                  <c:v>38473</c:v>
                </c:pt>
                <c:pt idx="29">
                  <c:v>38504</c:v>
                </c:pt>
                <c:pt idx="30">
                  <c:v>38534</c:v>
                </c:pt>
                <c:pt idx="31">
                  <c:v>38565</c:v>
                </c:pt>
                <c:pt idx="32">
                  <c:v>38596</c:v>
                </c:pt>
                <c:pt idx="33">
                  <c:v>38626</c:v>
                </c:pt>
                <c:pt idx="34">
                  <c:v>38657</c:v>
                </c:pt>
                <c:pt idx="35">
                  <c:v>38687</c:v>
                </c:pt>
                <c:pt idx="36">
                  <c:v>38718</c:v>
                </c:pt>
                <c:pt idx="37">
                  <c:v>38749</c:v>
                </c:pt>
                <c:pt idx="38">
                  <c:v>38777</c:v>
                </c:pt>
                <c:pt idx="39">
                  <c:v>38808</c:v>
                </c:pt>
                <c:pt idx="40">
                  <c:v>38838</c:v>
                </c:pt>
                <c:pt idx="41">
                  <c:v>38869</c:v>
                </c:pt>
                <c:pt idx="42">
                  <c:v>38899</c:v>
                </c:pt>
                <c:pt idx="43">
                  <c:v>38930</c:v>
                </c:pt>
                <c:pt idx="44">
                  <c:v>38961</c:v>
                </c:pt>
                <c:pt idx="45">
                  <c:v>38991</c:v>
                </c:pt>
                <c:pt idx="46">
                  <c:v>39022</c:v>
                </c:pt>
                <c:pt idx="47">
                  <c:v>39052</c:v>
                </c:pt>
                <c:pt idx="48">
                  <c:v>39083</c:v>
                </c:pt>
                <c:pt idx="49">
                  <c:v>39114</c:v>
                </c:pt>
                <c:pt idx="50">
                  <c:v>39142</c:v>
                </c:pt>
                <c:pt idx="51">
                  <c:v>39173</c:v>
                </c:pt>
                <c:pt idx="52">
                  <c:v>39203</c:v>
                </c:pt>
                <c:pt idx="53">
                  <c:v>39234</c:v>
                </c:pt>
                <c:pt idx="54">
                  <c:v>39264</c:v>
                </c:pt>
                <c:pt idx="55">
                  <c:v>39295</c:v>
                </c:pt>
                <c:pt idx="56">
                  <c:v>39326</c:v>
                </c:pt>
                <c:pt idx="57">
                  <c:v>39356</c:v>
                </c:pt>
                <c:pt idx="58">
                  <c:v>39387</c:v>
                </c:pt>
                <c:pt idx="59">
                  <c:v>39417</c:v>
                </c:pt>
                <c:pt idx="60">
                  <c:v>39448</c:v>
                </c:pt>
                <c:pt idx="61">
                  <c:v>39479</c:v>
                </c:pt>
                <c:pt idx="62">
                  <c:v>39508</c:v>
                </c:pt>
                <c:pt idx="63">
                  <c:v>39539</c:v>
                </c:pt>
                <c:pt idx="64">
                  <c:v>39569</c:v>
                </c:pt>
                <c:pt idx="65">
                  <c:v>39600</c:v>
                </c:pt>
                <c:pt idx="66">
                  <c:v>39630</c:v>
                </c:pt>
                <c:pt idx="67">
                  <c:v>39661</c:v>
                </c:pt>
                <c:pt idx="68">
                  <c:v>39692</c:v>
                </c:pt>
                <c:pt idx="69">
                  <c:v>39722</c:v>
                </c:pt>
                <c:pt idx="70">
                  <c:v>39753</c:v>
                </c:pt>
                <c:pt idx="71">
                  <c:v>39783</c:v>
                </c:pt>
                <c:pt idx="72">
                  <c:v>39814</c:v>
                </c:pt>
                <c:pt idx="73">
                  <c:v>39845</c:v>
                </c:pt>
                <c:pt idx="74">
                  <c:v>39873</c:v>
                </c:pt>
                <c:pt idx="75">
                  <c:v>39904</c:v>
                </c:pt>
                <c:pt idx="76">
                  <c:v>39934</c:v>
                </c:pt>
                <c:pt idx="77">
                  <c:v>39965</c:v>
                </c:pt>
                <c:pt idx="78">
                  <c:v>39995</c:v>
                </c:pt>
                <c:pt idx="79">
                  <c:v>40026</c:v>
                </c:pt>
                <c:pt idx="80">
                  <c:v>40057</c:v>
                </c:pt>
                <c:pt idx="81">
                  <c:v>40087</c:v>
                </c:pt>
                <c:pt idx="82">
                  <c:v>40118</c:v>
                </c:pt>
                <c:pt idx="83">
                  <c:v>40148</c:v>
                </c:pt>
                <c:pt idx="84">
                  <c:v>40179</c:v>
                </c:pt>
                <c:pt idx="85">
                  <c:v>40210</c:v>
                </c:pt>
                <c:pt idx="86">
                  <c:v>40238</c:v>
                </c:pt>
                <c:pt idx="87">
                  <c:v>40269</c:v>
                </c:pt>
                <c:pt idx="88">
                  <c:v>40299</c:v>
                </c:pt>
                <c:pt idx="89">
                  <c:v>40330</c:v>
                </c:pt>
                <c:pt idx="90">
                  <c:v>40360</c:v>
                </c:pt>
                <c:pt idx="91">
                  <c:v>40391</c:v>
                </c:pt>
                <c:pt idx="92">
                  <c:v>40422</c:v>
                </c:pt>
                <c:pt idx="93">
                  <c:v>40452</c:v>
                </c:pt>
                <c:pt idx="94">
                  <c:v>40483</c:v>
                </c:pt>
                <c:pt idx="95">
                  <c:v>40513</c:v>
                </c:pt>
                <c:pt idx="96">
                  <c:v>40544</c:v>
                </c:pt>
                <c:pt idx="97">
                  <c:v>40575</c:v>
                </c:pt>
                <c:pt idx="98">
                  <c:v>40603</c:v>
                </c:pt>
                <c:pt idx="99">
                  <c:v>40634</c:v>
                </c:pt>
                <c:pt idx="100">
                  <c:v>40664</c:v>
                </c:pt>
                <c:pt idx="101">
                  <c:v>40695</c:v>
                </c:pt>
                <c:pt idx="102">
                  <c:v>40725</c:v>
                </c:pt>
              </c:numCache>
            </c:numRef>
          </c:cat>
          <c:val>
            <c:numRef>
              <c:f>'Monthly - IBC-Br'!$E$3:$E$105</c:f>
              <c:numCache>
                <c:formatCode>0.0</c:formatCode>
                <c:ptCount val="103"/>
                <c:pt idx="0">
                  <c:v>100.498050423983</c:v>
                </c:pt>
                <c:pt idx="1">
                  <c:v>102.003989431153</c:v>
                </c:pt>
                <c:pt idx="2">
                  <c:v>101.76529100051</c:v>
                </c:pt>
                <c:pt idx="3">
                  <c:v>100.938417368765</c:v>
                </c:pt>
                <c:pt idx="4">
                  <c:v>99.795972897947905</c:v>
                </c:pt>
                <c:pt idx="5">
                  <c:v>100.39422086085401</c:v>
                </c:pt>
                <c:pt idx="6">
                  <c:v>99.117415746327097</c:v>
                </c:pt>
                <c:pt idx="7">
                  <c:v>99.7177268355194</c:v>
                </c:pt>
                <c:pt idx="8">
                  <c:v>101.811675550701</c:v>
                </c:pt>
                <c:pt idx="9">
                  <c:v>101.880818098048</c:v>
                </c:pt>
                <c:pt idx="10">
                  <c:v>101.973159862332</c:v>
                </c:pt>
                <c:pt idx="11">
                  <c:v>101.586666280949</c:v>
                </c:pt>
                <c:pt idx="12">
                  <c:v>103.614858958376</c:v>
                </c:pt>
                <c:pt idx="13">
                  <c:v>104.477184002843</c:v>
                </c:pt>
                <c:pt idx="14">
                  <c:v>105.812398569129</c:v>
                </c:pt>
                <c:pt idx="15">
                  <c:v>106.45475247373901</c:v>
                </c:pt>
                <c:pt idx="16">
                  <c:v>106.33746575830899</c:v>
                </c:pt>
                <c:pt idx="17">
                  <c:v>107.375314718082</c:v>
                </c:pt>
                <c:pt idx="18">
                  <c:v>107.848949164426</c:v>
                </c:pt>
                <c:pt idx="19">
                  <c:v>108.210314589394</c:v>
                </c:pt>
                <c:pt idx="20">
                  <c:v>109.40826553101699</c:v>
                </c:pt>
                <c:pt idx="21">
                  <c:v>108.673211650547</c:v>
                </c:pt>
                <c:pt idx="22">
                  <c:v>109.620805096678</c:v>
                </c:pt>
                <c:pt idx="23">
                  <c:v>108.750537824944</c:v>
                </c:pt>
                <c:pt idx="24">
                  <c:v>109.646371061213</c:v>
                </c:pt>
                <c:pt idx="25">
                  <c:v>110.129534520596</c:v>
                </c:pt>
                <c:pt idx="26">
                  <c:v>110.293287353217</c:v>
                </c:pt>
                <c:pt idx="27">
                  <c:v>110.957501659781</c:v>
                </c:pt>
                <c:pt idx="28">
                  <c:v>110.986940880105</c:v>
                </c:pt>
                <c:pt idx="29">
                  <c:v>110.74862360116499</c:v>
                </c:pt>
                <c:pt idx="30">
                  <c:v>110.636520905802</c:v>
                </c:pt>
                <c:pt idx="31">
                  <c:v>111.27259849370699</c:v>
                </c:pt>
                <c:pt idx="32">
                  <c:v>110.91528812662401</c:v>
                </c:pt>
                <c:pt idx="33">
                  <c:v>111.064722785999</c:v>
                </c:pt>
                <c:pt idx="34">
                  <c:v>111.799789279797</c:v>
                </c:pt>
                <c:pt idx="35">
                  <c:v>112.344243882328</c:v>
                </c:pt>
                <c:pt idx="36">
                  <c:v>113.469171570933</c:v>
                </c:pt>
                <c:pt idx="37">
                  <c:v>113.597215115655</c:v>
                </c:pt>
                <c:pt idx="38">
                  <c:v>113.43190328745</c:v>
                </c:pt>
                <c:pt idx="39">
                  <c:v>114.209309600781</c:v>
                </c:pt>
                <c:pt idx="40">
                  <c:v>115.687529671349</c:v>
                </c:pt>
                <c:pt idx="41">
                  <c:v>114.813663973567</c:v>
                </c:pt>
                <c:pt idx="42">
                  <c:v>116.947738137172</c:v>
                </c:pt>
                <c:pt idx="43">
                  <c:v>116.601432516701</c:v>
                </c:pt>
                <c:pt idx="44">
                  <c:v>116.797996843357</c:v>
                </c:pt>
                <c:pt idx="45">
                  <c:v>118.07270662266799</c:v>
                </c:pt>
                <c:pt idx="46">
                  <c:v>118.866023115085</c:v>
                </c:pt>
                <c:pt idx="47">
                  <c:v>119.868640356285</c:v>
                </c:pt>
                <c:pt idx="48">
                  <c:v>119.709200807885</c:v>
                </c:pt>
                <c:pt idx="49">
                  <c:v>120.163267372447</c:v>
                </c:pt>
                <c:pt idx="50">
                  <c:v>119.34280677963601</c:v>
                </c:pt>
                <c:pt idx="51">
                  <c:v>121.135931900979</c:v>
                </c:pt>
                <c:pt idx="52">
                  <c:v>122.390623496016</c:v>
                </c:pt>
                <c:pt idx="53">
                  <c:v>123.47017542367399</c:v>
                </c:pt>
                <c:pt idx="54">
                  <c:v>124.28845365242699</c:v>
                </c:pt>
                <c:pt idx="55">
                  <c:v>124.251457605472</c:v>
                </c:pt>
                <c:pt idx="56">
                  <c:v>125.28513263087601</c:v>
                </c:pt>
                <c:pt idx="57">
                  <c:v>126.293279078268</c:v>
                </c:pt>
                <c:pt idx="58">
                  <c:v>126.22120534469001</c:v>
                </c:pt>
                <c:pt idx="59">
                  <c:v>126.90051219800399</c:v>
                </c:pt>
                <c:pt idx="60">
                  <c:v>127.22351323624601</c:v>
                </c:pt>
                <c:pt idx="61">
                  <c:v>126.83586051399099</c:v>
                </c:pt>
                <c:pt idx="62">
                  <c:v>126.349338918198</c:v>
                </c:pt>
                <c:pt idx="63">
                  <c:v>127.72569199262701</c:v>
                </c:pt>
                <c:pt idx="64">
                  <c:v>129.41832033864</c:v>
                </c:pt>
                <c:pt idx="65">
                  <c:v>131.20342560078799</c:v>
                </c:pt>
                <c:pt idx="66">
                  <c:v>130.96313614634701</c:v>
                </c:pt>
                <c:pt idx="67">
                  <c:v>130.94507589333</c:v>
                </c:pt>
                <c:pt idx="68">
                  <c:v>130.93818790177201</c:v>
                </c:pt>
                <c:pt idx="69">
                  <c:v>128.13046690950699</c:v>
                </c:pt>
                <c:pt idx="70">
                  <c:v>125.063975179057</c:v>
                </c:pt>
                <c:pt idx="71">
                  <c:v>120.94629257877</c:v>
                </c:pt>
                <c:pt idx="72">
                  <c:v>120.850700865896</c:v>
                </c:pt>
                <c:pt idx="73">
                  <c:v>122.18762654451299</c:v>
                </c:pt>
                <c:pt idx="74">
                  <c:v>122.963596948842</c:v>
                </c:pt>
                <c:pt idx="75">
                  <c:v>123.53450073120899</c:v>
                </c:pt>
                <c:pt idx="76">
                  <c:v>124.87942034163299</c:v>
                </c:pt>
                <c:pt idx="77">
                  <c:v>125.956917137692</c:v>
                </c:pt>
                <c:pt idx="78">
                  <c:v>126.25151819206199</c:v>
                </c:pt>
                <c:pt idx="79">
                  <c:v>128.058464552852</c:v>
                </c:pt>
                <c:pt idx="80">
                  <c:v>129.066404350954</c:v>
                </c:pt>
                <c:pt idx="81">
                  <c:v>129.765520148055</c:v>
                </c:pt>
                <c:pt idx="82">
                  <c:v>130.18522864930301</c:v>
                </c:pt>
                <c:pt idx="83">
                  <c:v>131.33544383082599</c:v>
                </c:pt>
                <c:pt idx="84">
                  <c:v>133.47461313406799</c:v>
                </c:pt>
                <c:pt idx="85">
                  <c:v>135.173923976331</c:v>
                </c:pt>
                <c:pt idx="86">
                  <c:v>136.57158113931999</c:v>
                </c:pt>
                <c:pt idx="87">
                  <c:v>137.094222563546</c:v>
                </c:pt>
                <c:pt idx="88">
                  <c:v>136.465966906939</c:v>
                </c:pt>
                <c:pt idx="89">
                  <c:v>136.180842221191</c:v>
                </c:pt>
                <c:pt idx="90">
                  <c:v>136.93870646308301</c:v>
                </c:pt>
                <c:pt idx="91">
                  <c:v>137.70905093278799</c:v>
                </c:pt>
                <c:pt idx="92">
                  <c:v>139.23756315451001</c:v>
                </c:pt>
                <c:pt idx="93">
                  <c:v>138.61427440307</c:v>
                </c:pt>
                <c:pt idx="94">
                  <c:v>140.28566005862999</c:v>
                </c:pt>
                <c:pt idx="95">
                  <c:v>138.23992663044899</c:v>
                </c:pt>
                <c:pt idx="96">
                  <c:v>140.118540526022</c:v>
                </c:pt>
                <c:pt idx="97">
                  <c:v>140.80680390150701</c:v>
                </c:pt>
                <c:pt idx="98">
                  <c:v>141.035978430413</c:v>
                </c:pt>
                <c:pt idx="99">
                  <c:v>140.80633607843899</c:v>
                </c:pt>
                <c:pt idx="100">
                  <c:v>141.326419377642</c:v>
                </c:pt>
                <c:pt idx="101">
                  <c:v>142.13403828654299</c:v>
                </c:pt>
                <c:pt idx="102">
                  <c:v>142.17193379948</c:v>
                </c:pt>
              </c:numCache>
            </c:numRef>
          </c:val>
          <c:smooth val="0"/>
          <c:extLst>
            <c:ext xmlns:c16="http://schemas.microsoft.com/office/drawing/2014/chart" uri="{C3380CC4-5D6E-409C-BE32-E72D297353CC}">
              <c16:uniqueId val="{00000001-C1F2-4774-85A6-745393C10862}"/>
            </c:ext>
          </c:extLst>
        </c:ser>
        <c:dLbls>
          <c:showLegendKey val="0"/>
          <c:showVal val="0"/>
          <c:showCatName val="0"/>
          <c:showSerName val="0"/>
          <c:showPercent val="0"/>
          <c:showBubbleSize val="0"/>
        </c:dLbls>
        <c:smooth val="0"/>
        <c:axId val="780837056"/>
        <c:axId val="780837888"/>
      </c:lineChart>
      <c:dateAx>
        <c:axId val="780837056"/>
        <c:scaling>
          <c:orientation val="minMax"/>
        </c:scaling>
        <c:delete val="0"/>
        <c:axPos val="b"/>
        <c:numFmt formatCode="[$-416]mmm\-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780837888"/>
        <c:crosses val="autoZero"/>
        <c:auto val="1"/>
        <c:lblOffset val="100"/>
        <c:baseTimeUnit val="months"/>
      </c:dateAx>
      <c:valAx>
        <c:axId val="780837888"/>
        <c:scaling>
          <c:orientation val="minMax"/>
          <c:min val="90"/>
        </c:scaling>
        <c:delete val="0"/>
        <c:axPos val="l"/>
        <c:majorGridlines>
          <c:spPr>
            <a:ln w="9525" cap="flat" cmpd="sng" algn="ctr">
              <a:solidFill>
                <a:schemeClr val="tx1">
                  <a:lumMod val="15000"/>
                  <a:lumOff val="85000"/>
                </a:schemeClr>
              </a:solidFill>
              <a:round/>
            </a:ln>
            <a:effectLst/>
          </c:spPr>
        </c:majorGridlines>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780837056"/>
        <c:crosses val="autoZero"/>
        <c:crossBetween val="between"/>
        <c:majorUnit val="10"/>
      </c:valAx>
      <c:spPr>
        <a:noFill/>
        <a:ln>
          <a:noFill/>
        </a:ln>
        <a:effectLst/>
      </c:spPr>
    </c:plotArea>
    <c:legend>
      <c:legendPos val="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pt-BR"/>
              <a:t>Difference of SAs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pt-BR"/>
        </a:p>
      </c:txPr>
    </c:title>
    <c:autoTitleDeleted val="0"/>
    <c:plotArea>
      <c:layout/>
      <c:barChart>
        <c:barDir val="col"/>
        <c:grouping val="clustered"/>
        <c:varyColors val="0"/>
        <c:ser>
          <c:idx val="0"/>
          <c:order val="0"/>
          <c:tx>
            <c:strRef>
              <c:f>'Monthly - IBC-Br'!$Q$2</c:f>
              <c:strCache>
                <c:ptCount val="1"/>
                <c:pt idx="0">
                  <c:v>Diff of SAs</c:v>
                </c:pt>
              </c:strCache>
            </c:strRef>
          </c:tx>
          <c:spPr>
            <a:solidFill>
              <a:schemeClr val="accent1"/>
            </a:solidFill>
            <a:ln>
              <a:noFill/>
            </a:ln>
            <a:effectLst/>
          </c:spPr>
          <c:invertIfNegative val="0"/>
          <c:cat>
            <c:numRef>
              <c:f>'Monthly - IBC-Br'!$A$3:$A$105</c:f>
              <c:numCache>
                <c:formatCode>[$-416]mmm\-yy;@</c:formatCode>
                <c:ptCount val="103"/>
                <c:pt idx="0">
                  <c:v>37622</c:v>
                </c:pt>
                <c:pt idx="1">
                  <c:v>37653</c:v>
                </c:pt>
                <c:pt idx="2">
                  <c:v>37681</c:v>
                </c:pt>
                <c:pt idx="3">
                  <c:v>37712</c:v>
                </c:pt>
                <c:pt idx="4">
                  <c:v>37742</c:v>
                </c:pt>
                <c:pt idx="5">
                  <c:v>37773</c:v>
                </c:pt>
                <c:pt idx="6">
                  <c:v>37803</c:v>
                </c:pt>
                <c:pt idx="7">
                  <c:v>37834</c:v>
                </c:pt>
                <c:pt idx="8">
                  <c:v>37865</c:v>
                </c:pt>
                <c:pt idx="9">
                  <c:v>37895</c:v>
                </c:pt>
                <c:pt idx="10">
                  <c:v>37926</c:v>
                </c:pt>
                <c:pt idx="11">
                  <c:v>37956</c:v>
                </c:pt>
                <c:pt idx="12">
                  <c:v>37987</c:v>
                </c:pt>
                <c:pt idx="13">
                  <c:v>38018</c:v>
                </c:pt>
                <c:pt idx="14">
                  <c:v>38047</c:v>
                </c:pt>
                <c:pt idx="15">
                  <c:v>38078</c:v>
                </c:pt>
                <c:pt idx="16">
                  <c:v>38108</c:v>
                </c:pt>
                <c:pt idx="17">
                  <c:v>38139</c:v>
                </c:pt>
                <c:pt idx="18">
                  <c:v>38169</c:v>
                </c:pt>
                <c:pt idx="19">
                  <c:v>38200</c:v>
                </c:pt>
                <c:pt idx="20">
                  <c:v>38231</c:v>
                </c:pt>
                <c:pt idx="21">
                  <c:v>38261</c:v>
                </c:pt>
                <c:pt idx="22">
                  <c:v>38292</c:v>
                </c:pt>
                <c:pt idx="23">
                  <c:v>38322</c:v>
                </c:pt>
                <c:pt idx="24">
                  <c:v>38353</c:v>
                </c:pt>
                <c:pt idx="25">
                  <c:v>38384</c:v>
                </c:pt>
                <c:pt idx="26">
                  <c:v>38412</c:v>
                </c:pt>
                <c:pt idx="27">
                  <c:v>38443</c:v>
                </c:pt>
                <c:pt idx="28">
                  <c:v>38473</c:v>
                </c:pt>
                <c:pt idx="29">
                  <c:v>38504</c:v>
                </c:pt>
                <c:pt idx="30">
                  <c:v>38534</c:v>
                </c:pt>
                <c:pt idx="31">
                  <c:v>38565</c:v>
                </c:pt>
                <c:pt idx="32">
                  <c:v>38596</c:v>
                </c:pt>
                <c:pt idx="33">
                  <c:v>38626</c:v>
                </c:pt>
                <c:pt idx="34">
                  <c:v>38657</c:v>
                </c:pt>
                <c:pt idx="35">
                  <c:v>38687</c:v>
                </c:pt>
                <c:pt idx="36">
                  <c:v>38718</c:v>
                </c:pt>
                <c:pt idx="37">
                  <c:v>38749</c:v>
                </c:pt>
                <c:pt idx="38">
                  <c:v>38777</c:v>
                </c:pt>
                <c:pt idx="39">
                  <c:v>38808</c:v>
                </c:pt>
                <c:pt idx="40">
                  <c:v>38838</c:v>
                </c:pt>
                <c:pt idx="41">
                  <c:v>38869</c:v>
                </c:pt>
                <c:pt idx="42">
                  <c:v>38899</c:v>
                </c:pt>
                <c:pt idx="43">
                  <c:v>38930</c:v>
                </c:pt>
                <c:pt idx="44">
                  <c:v>38961</c:v>
                </c:pt>
                <c:pt idx="45">
                  <c:v>38991</c:v>
                </c:pt>
                <c:pt idx="46">
                  <c:v>39022</c:v>
                </c:pt>
                <c:pt idx="47">
                  <c:v>39052</c:v>
                </c:pt>
                <c:pt idx="48">
                  <c:v>39083</c:v>
                </c:pt>
                <c:pt idx="49">
                  <c:v>39114</c:v>
                </c:pt>
                <c:pt idx="50">
                  <c:v>39142</c:v>
                </c:pt>
                <c:pt idx="51">
                  <c:v>39173</c:v>
                </c:pt>
                <c:pt idx="52">
                  <c:v>39203</c:v>
                </c:pt>
                <c:pt idx="53">
                  <c:v>39234</c:v>
                </c:pt>
                <c:pt idx="54">
                  <c:v>39264</c:v>
                </c:pt>
                <c:pt idx="55">
                  <c:v>39295</c:v>
                </c:pt>
                <c:pt idx="56">
                  <c:v>39326</c:v>
                </c:pt>
                <c:pt idx="57">
                  <c:v>39356</c:v>
                </c:pt>
                <c:pt idx="58">
                  <c:v>39387</c:v>
                </c:pt>
                <c:pt idx="59">
                  <c:v>39417</c:v>
                </c:pt>
                <c:pt idx="60">
                  <c:v>39448</c:v>
                </c:pt>
                <c:pt idx="61">
                  <c:v>39479</c:v>
                </c:pt>
                <c:pt idx="62">
                  <c:v>39508</c:v>
                </c:pt>
                <c:pt idx="63">
                  <c:v>39539</c:v>
                </c:pt>
                <c:pt idx="64">
                  <c:v>39569</c:v>
                </c:pt>
                <c:pt idx="65">
                  <c:v>39600</c:v>
                </c:pt>
                <c:pt idx="66">
                  <c:v>39630</c:v>
                </c:pt>
                <c:pt idx="67">
                  <c:v>39661</c:v>
                </c:pt>
                <c:pt idx="68">
                  <c:v>39692</c:v>
                </c:pt>
                <c:pt idx="69">
                  <c:v>39722</c:v>
                </c:pt>
                <c:pt idx="70">
                  <c:v>39753</c:v>
                </c:pt>
                <c:pt idx="71">
                  <c:v>39783</c:v>
                </c:pt>
                <c:pt idx="72">
                  <c:v>39814</c:v>
                </c:pt>
                <c:pt idx="73">
                  <c:v>39845</c:v>
                </c:pt>
                <c:pt idx="74">
                  <c:v>39873</c:v>
                </c:pt>
                <c:pt idx="75">
                  <c:v>39904</c:v>
                </c:pt>
                <c:pt idx="76">
                  <c:v>39934</c:v>
                </c:pt>
                <c:pt idx="77">
                  <c:v>39965</c:v>
                </c:pt>
                <c:pt idx="78">
                  <c:v>39995</c:v>
                </c:pt>
                <c:pt idx="79">
                  <c:v>40026</c:v>
                </c:pt>
                <c:pt idx="80">
                  <c:v>40057</c:v>
                </c:pt>
                <c:pt idx="81">
                  <c:v>40087</c:v>
                </c:pt>
                <c:pt idx="82">
                  <c:v>40118</c:v>
                </c:pt>
                <c:pt idx="83">
                  <c:v>40148</c:v>
                </c:pt>
                <c:pt idx="84">
                  <c:v>40179</c:v>
                </c:pt>
                <c:pt idx="85">
                  <c:v>40210</c:v>
                </c:pt>
                <c:pt idx="86">
                  <c:v>40238</c:v>
                </c:pt>
                <c:pt idx="87">
                  <c:v>40269</c:v>
                </c:pt>
                <c:pt idx="88">
                  <c:v>40299</c:v>
                </c:pt>
                <c:pt idx="89">
                  <c:v>40330</c:v>
                </c:pt>
                <c:pt idx="90">
                  <c:v>40360</c:v>
                </c:pt>
                <c:pt idx="91">
                  <c:v>40391</c:v>
                </c:pt>
                <c:pt idx="92">
                  <c:v>40422</c:v>
                </c:pt>
                <c:pt idx="93">
                  <c:v>40452</c:v>
                </c:pt>
                <c:pt idx="94">
                  <c:v>40483</c:v>
                </c:pt>
                <c:pt idx="95">
                  <c:v>40513</c:v>
                </c:pt>
                <c:pt idx="96">
                  <c:v>40544</c:v>
                </c:pt>
                <c:pt idx="97">
                  <c:v>40575</c:v>
                </c:pt>
                <c:pt idx="98">
                  <c:v>40603</c:v>
                </c:pt>
                <c:pt idx="99">
                  <c:v>40634</c:v>
                </c:pt>
                <c:pt idx="100">
                  <c:v>40664</c:v>
                </c:pt>
                <c:pt idx="101">
                  <c:v>40695</c:v>
                </c:pt>
                <c:pt idx="102">
                  <c:v>40725</c:v>
                </c:pt>
              </c:numCache>
            </c:numRef>
          </c:cat>
          <c:val>
            <c:numRef>
              <c:f>'Monthly - IBC-Br'!$Q$3:$Q$105</c:f>
              <c:numCache>
                <c:formatCode>0.0%</c:formatCode>
                <c:ptCount val="103"/>
                <c:pt idx="0">
                  <c:v>-1.9398766338282704E-5</c:v>
                </c:pt>
                <c:pt idx="1">
                  <c:v>3.9112070127470468E-5</c:v>
                </c:pt>
                <c:pt idx="2">
                  <c:v>-4.6270998231227654E-5</c:v>
                </c:pt>
                <c:pt idx="3">
                  <c:v>-1.5678930404158923E-5</c:v>
                </c:pt>
                <c:pt idx="4">
                  <c:v>-4.0351723968856626E-5</c:v>
                </c:pt>
                <c:pt idx="5">
                  <c:v>4.2044634465634842E-5</c:v>
                </c:pt>
                <c:pt idx="6">
                  <c:v>-2.6071970065650385E-5</c:v>
                </c:pt>
                <c:pt idx="7">
                  <c:v>-2.2795472127944908E-5</c:v>
                </c:pt>
                <c:pt idx="8">
                  <c:v>1.6457624015270373E-5</c:v>
                </c:pt>
                <c:pt idx="9">
                  <c:v>8.0300161758990273E-6</c:v>
                </c:pt>
                <c:pt idx="10">
                  <c:v>3.098815663428403E-5</c:v>
                </c:pt>
                <c:pt idx="11">
                  <c:v>-3.2815425248544755E-5</c:v>
                </c:pt>
                <c:pt idx="12">
                  <c:v>4.6896615925150149E-5</c:v>
                </c:pt>
                <c:pt idx="13">
                  <c:v>-2.695249958844313E-5</c:v>
                </c:pt>
                <c:pt idx="14">
                  <c:v>2.2668643124462563E-5</c:v>
                </c:pt>
                <c:pt idx="15">
                  <c:v>4.4645126716800834E-5</c:v>
                </c:pt>
                <c:pt idx="16">
                  <c:v>-2.3831499821414732E-5</c:v>
                </c:pt>
                <c:pt idx="17">
                  <c:v>-4.3632724138576351E-5</c:v>
                </c:pt>
                <c:pt idx="18">
                  <c:v>-9.7434916457259971E-6</c:v>
                </c:pt>
                <c:pt idx="19">
                  <c:v>2.907211847413689E-6</c:v>
                </c:pt>
                <c:pt idx="20">
                  <c:v>-1.5852929192967348E-5</c:v>
                </c:pt>
                <c:pt idx="21">
                  <c:v>2.9554159814129516E-5</c:v>
                </c:pt>
                <c:pt idx="22">
                  <c:v>7.3444323845405333E-6</c:v>
                </c:pt>
                <c:pt idx="23">
                  <c:v>4.9455167264756618E-6</c:v>
                </c:pt>
                <c:pt idx="24">
                  <c:v>-3.309565697220945E-5</c:v>
                </c:pt>
                <c:pt idx="25">
                  <c:v>-4.2266358303761454E-6</c:v>
                </c:pt>
                <c:pt idx="26">
                  <c:v>2.9806448608125313E-5</c:v>
                </c:pt>
                <c:pt idx="27">
                  <c:v>-2.2515683300214106E-5</c:v>
                </c:pt>
                <c:pt idx="28">
                  <c:v>-2.7562121767719478E-5</c:v>
                </c:pt>
                <c:pt idx="29">
                  <c:v>-1.242798045152504E-5</c:v>
                </c:pt>
                <c:pt idx="30">
                  <c:v>-3.1445175325372277E-5</c:v>
                </c:pt>
                <c:pt idx="31">
                  <c:v>2.3353048503620281E-5</c:v>
                </c:pt>
                <c:pt idx="32">
                  <c:v>-4.2479925856435977E-5</c:v>
                </c:pt>
                <c:pt idx="33">
                  <c:v>4.2524635323186721E-5</c:v>
                </c:pt>
                <c:pt idx="34">
                  <c:v>-1.884796091237852E-6</c:v>
                </c:pt>
                <c:pt idx="35">
                  <c:v>3.7777125939095552E-5</c:v>
                </c:pt>
                <c:pt idx="36">
                  <c:v>-7.3008642548611293E-6</c:v>
                </c:pt>
                <c:pt idx="37">
                  <c:v>-2.4514826980547941E-5</c:v>
                </c:pt>
                <c:pt idx="38">
                  <c:v>1.6779400952052836E-5</c:v>
                </c:pt>
                <c:pt idx="39">
                  <c:v>-6.0449979773764362E-6</c:v>
                </c:pt>
                <c:pt idx="40">
                  <c:v>-2.1353000700150286E-5</c:v>
                </c:pt>
                <c:pt idx="41">
                  <c:v>3.1913366144070782E-5</c:v>
                </c:pt>
                <c:pt idx="42">
                  <c:v>-1.934042606248064E-5</c:v>
                </c:pt>
                <c:pt idx="43">
                  <c:v>1.2285735000012166E-5</c:v>
                </c:pt>
                <c:pt idx="44">
                  <c:v>-1.7150313724308352E-5</c:v>
                </c:pt>
                <c:pt idx="45">
                  <c:v>2.2923881324642935E-5</c:v>
                </c:pt>
                <c:pt idx="46">
                  <c:v>-3.3455749263944058E-5</c:v>
                </c:pt>
                <c:pt idx="47">
                  <c:v>-1.134265216489223E-5</c:v>
                </c:pt>
                <c:pt idx="48">
                  <c:v>-6.6760681229351935E-6</c:v>
                </c:pt>
                <c:pt idx="49">
                  <c:v>2.7191847927752217E-5</c:v>
                </c:pt>
                <c:pt idx="50">
                  <c:v>2.3519185822049591E-5</c:v>
                </c:pt>
                <c:pt idx="51">
                  <c:v>-3.3581798093097295E-5</c:v>
                </c:pt>
                <c:pt idx="52">
                  <c:v>5.0943379034586984E-6</c:v>
                </c:pt>
                <c:pt idx="53">
                  <c:v>1.4207797359208403E-6</c:v>
                </c:pt>
                <c:pt idx="54">
                  <c:v>-1.2441448008782126E-5</c:v>
                </c:pt>
                <c:pt idx="55">
                  <c:v>1.1731231162962863E-5</c:v>
                </c:pt>
                <c:pt idx="56">
                  <c:v>-3.8848823720965479E-5</c:v>
                </c:pt>
                <c:pt idx="57">
                  <c:v>2.596467074189481E-5</c:v>
                </c:pt>
                <c:pt idx="58">
                  <c:v>9.5495538742424498E-6</c:v>
                </c:pt>
                <c:pt idx="59">
                  <c:v>4.0362332859639759E-6</c:v>
                </c:pt>
                <c:pt idx="60">
                  <c:v>2.7615439757958834E-5</c:v>
                </c:pt>
                <c:pt idx="61">
                  <c:v>-3.2635493606191852E-5</c:v>
                </c:pt>
                <c:pt idx="62">
                  <c:v>-5.2321472259093474E-6</c:v>
                </c:pt>
                <c:pt idx="63">
                  <c:v>-3.3727451444438978E-5</c:v>
                </c:pt>
                <c:pt idx="64">
                  <c:v>-1.2978375521453714E-5</c:v>
                </c:pt>
                <c:pt idx="65">
                  <c:v>2.6109762103704441E-5</c:v>
                </c:pt>
                <c:pt idx="66">
                  <c:v>2.3947360621590044E-5</c:v>
                </c:pt>
                <c:pt idx="67">
                  <c:v>-3.7602952806332304E-5</c:v>
                </c:pt>
                <c:pt idx="68">
                  <c:v>-1.3839149442391785E-5</c:v>
                </c:pt>
                <c:pt idx="69">
                  <c:v>3.6440295558973411E-6</c:v>
                </c:pt>
                <c:pt idx="70">
                  <c:v>3.1786175091905794E-5</c:v>
                </c:pt>
                <c:pt idx="71">
                  <c:v>-3.0652511203010462E-5</c:v>
                </c:pt>
                <c:pt idx="72">
                  <c:v>5.7994695573643806E-6</c:v>
                </c:pt>
                <c:pt idx="73">
                  <c:v>-1.9424302209699522E-5</c:v>
                </c:pt>
                <c:pt idx="74">
                  <c:v>2.925299969097458E-5</c:v>
                </c:pt>
                <c:pt idx="75">
                  <c:v>3.6434317242711834E-5</c:v>
                </c:pt>
                <c:pt idx="76">
                  <c:v>-4.6417229900857762E-6</c:v>
                </c:pt>
                <c:pt idx="77">
                  <c:v>-2.4474930993896978E-5</c:v>
                </c:pt>
                <c:pt idx="78">
                  <c:v>1.2025283659356616E-5</c:v>
                </c:pt>
                <c:pt idx="79">
                  <c:v>-1.1990060502896396E-5</c:v>
                </c:pt>
                <c:pt idx="80">
                  <c:v>-2.7858131602936139E-5</c:v>
                </c:pt>
                <c:pt idx="81">
                  <c:v>-3.4521476034575674E-5</c:v>
                </c:pt>
                <c:pt idx="82">
                  <c:v>-3.6649133550842613E-5</c:v>
                </c:pt>
                <c:pt idx="83">
                  <c:v>-3.4689882549177923E-5</c:v>
                </c:pt>
                <c:pt idx="84">
                  <c:v>3.4563078354648285E-5</c:v>
                </c:pt>
                <c:pt idx="85">
                  <c:v>2.9029935126206049E-5</c:v>
                </c:pt>
                <c:pt idx="86">
                  <c:v>1.1577501061692706E-5</c:v>
                </c:pt>
                <c:pt idx="87">
                  <c:v>3.0801397228056477E-5</c:v>
                </c:pt>
                <c:pt idx="88">
                  <c:v>-2.9552964468358335E-5</c:v>
                </c:pt>
                <c:pt idx="89">
                  <c:v>6.1846173519833053E-6</c:v>
                </c:pt>
                <c:pt idx="90">
                  <c:v>-9.4460122461627282E-6</c:v>
                </c:pt>
                <c:pt idx="91">
                  <c:v>-6.8917813667807138E-6</c:v>
                </c:pt>
                <c:pt idx="92">
                  <c:v>-1.7501044886495803E-5</c:v>
                </c:pt>
                <c:pt idx="93">
                  <c:v>3.0837624052990805E-5</c:v>
                </c:pt>
                <c:pt idx="94">
                  <c:v>-3.0935500534648357E-5</c:v>
                </c:pt>
                <c:pt idx="95">
                  <c:v>-5.3074038641331568E-7</c:v>
                </c:pt>
                <c:pt idx="96">
                  <c:v>-1.0415886226108188E-5</c:v>
                </c:pt>
                <c:pt idx="97">
                  <c:v>-2.2697951090067505E-5</c:v>
                </c:pt>
                <c:pt idx="98">
                  <c:v>-2.8513681132984016E-5</c:v>
                </c:pt>
                <c:pt idx="99">
                  <c:v>-2.6020322143410937E-5</c:v>
                </c:pt>
                <c:pt idx="100">
                  <c:v>-2.5335189683826941E-5</c:v>
                </c:pt>
                <c:pt idx="101">
                  <c:v>2.8412626067637509E-5</c:v>
                </c:pt>
                <c:pt idx="102">
                  <c:v>1.3602022086332781E-5</c:v>
                </c:pt>
              </c:numCache>
            </c:numRef>
          </c:val>
          <c:extLst>
            <c:ext xmlns:c16="http://schemas.microsoft.com/office/drawing/2014/chart" uri="{C3380CC4-5D6E-409C-BE32-E72D297353CC}">
              <c16:uniqueId val="{00000000-6998-442A-84E9-FC7B8D9F8603}"/>
            </c:ext>
          </c:extLst>
        </c:ser>
        <c:dLbls>
          <c:showLegendKey val="0"/>
          <c:showVal val="0"/>
          <c:showCatName val="0"/>
          <c:showSerName val="0"/>
          <c:showPercent val="0"/>
          <c:showBubbleSize val="0"/>
        </c:dLbls>
        <c:gapWidth val="0"/>
        <c:axId val="780837056"/>
        <c:axId val="780837888"/>
      </c:barChart>
      <c:dateAx>
        <c:axId val="780837056"/>
        <c:scaling>
          <c:orientation val="minMax"/>
        </c:scaling>
        <c:delete val="0"/>
        <c:axPos val="b"/>
        <c:numFmt formatCode="[$-416]mmm\-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780837888"/>
        <c:crosses val="autoZero"/>
        <c:auto val="1"/>
        <c:lblOffset val="100"/>
        <c:baseTimeUnit val="months"/>
      </c:dateAx>
      <c:valAx>
        <c:axId val="780837888"/>
        <c:scaling>
          <c:orientation val="minMax"/>
          <c:max val="1.0000000000000002E-2"/>
          <c:min val="-1.0000000000000002E-2"/>
        </c:scaling>
        <c:delete val="0"/>
        <c:axPos val="l"/>
        <c:majorGridlines>
          <c:spPr>
            <a:ln w="9525" cap="flat" cmpd="sng" algn="ctr">
              <a:solidFill>
                <a:schemeClr val="tx1">
                  <a:lumMod val="15000"/>
                  <a:lumOff val="85000"/>
                </a:schemeClr>
              </a:solidFill>
              <a:round/>
            </a:ln>
            <a:effectLst/>
          </c:spPr>
        </c:majorGridlines>
        <c:numFmt formatCode="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780837056"/>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pt-BR"/>
              <a:t>Seasonal plot</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pt-BR"/>
        </a:p>
      </c:txPr>
    </c:title>
    <c:autoTitleDeleted val="0"/>
    <c:plotArea>
      <c:layout/>
      <c:lineChart>
        <c:grouping val="standard"/>
        <c:varyColors val="0"/>
        <c:ser>
          <c:idx val="0"/>
          <c:order val="0"/>
          <c:tx>
            <c:v>2003</c:v>
          </c:tx>
          <c:spPr>
            <a:ln w="28575" cap="rnd">
              <a:noFill/>
              <a:round/>
            </a:ln>
            <a:effectLst/>
          </c:spPr>
          <c:marker>
            <c:symbol val="circle"/>
            <c:size val="5"/>
            <c:spPr>
              <a:solidFill>
                <a:schemeClr val="accent1"/>
              </a:solidFill>
              <a:ln w="9525">
                <a:solidFill>
                  <a:schemeClr val="accent1"/>
                </a:solidFill>
              </a:ln>
              <a:effectLst/>
            </c:spPr>
          </c:marker>
          <c:val>
            <c:numRef>
              <c:f>'Monthly - IBC-Br'!$AC$3:$AN$3</c:f>
              <c:numCache>
                <c:formatCode>General</c:formatCode>
                <c:ptCount val="12"/>
                <c:pt idx="0">
                  <c:v>0.98308588693035803</c:v>
                </c:pt>
                <c:pt idx="1">
                  <c:v>1.0014189192770999</c:v>
                </c:pt>
                <c:pt idx="2">
                  <c:v>1.0031676302757899</c:v>
                </c:pt>
                <c:pt idx="3">
                  <c:v>0.99998927040299501</c:v>
                </c:pt>
                <c:pt idx="4">
                  <c:v>0.99405222192248499</c:v>
                </c:pt>
                <c:pt idx="5">
                  <c:v>1.0037518869942099</c:v>
                </c:pt>
                <c:pt idx="6">
                  <c:v>0.99083615511286405</c:v>
                </c:pt>
                <c:pt idx="7">
                  <c:v>0.99313282519115598</c:v>
                </c:pt>
                <c:pt idx="8">
                  <c:v>1.0085771919323601</c:v>
                </c:pt>
                <c:pt idx="9">
                  <c:v>1.0034866072897599</c:v>
                </c:pt>
                <c:pt idx="10">
                  <c:v>0.99867252630666903</c:v>
                </c:pt>
                <c:pt idx="11">
                  <c:v>0.98881167694323902</c:v>
                </c:pt>
              </c:numCache>
            </c:numRef>
          </c:val>
          <c:smooth val="0"/>
          <c:extLst>
            <c:ext xmlns:c16="http://schemas.microsoft.com/office/drawing/2014/chart" uri="{C3380CC4-5D6E-409C-BE32-E72D297353CC}">
              <c16:uniqueId val="{00000000-23B1-42F8-9DAB-3CB7A3F0AF1E}"/>
            </c:ext>
          </c:extLst>
        </c:ser>
        <c:ser>
          <c:idx val="1"/>
          <c:order val="1"/>
          <c:tx>
            <c:v>2004</c:v>
          </c:tx>
          <c:spPr>
            <a:ln w="28575" cap="rnd">
              <a:noFill/>
              <a:round/>
            </a:ln>
            <a:effectLst/>
          </c:spPr>
          <c:marker>
            <c:symbol val="circle"/>
            <c:size val="5"/>
            <c:spPr>
              <a:solidFill>
                <a:schemeClr val="accent2"/>
              </a:solidFill>
              <a:ln w="9525">
                <a:solidFill>
                  <a:schemeClr val="accent2"/>
                </a:solidFill>
              </a:ln>
              <a:effectLst/>
            </c:spPr>
          </c:marker>
          <c:val>
            <c:numRef>
              <c:f>'Monthly - IBC-Br'!$AC$4:$AN$4</c:f>
              <c:numCache>
                <c:formatCode>General</c:formatCode>
                <c:ptCount val="12"/>
                <c:pt idx="0">
                  <c:v>1.0002121096414101</c:v>
                </c:pt>
                <c:pt idx="1">
                  <c:v>0.998849059790338</c:v>
                </c:pt>
                <c:pt idx="2">
                  <c:v>1.00276874241388</c:v>
                </c:pt>
                <c:pt idx="3">
                  <c:v>1.0021081890238199</c:v>
                </c:pt>
                <c:pt idx="4">
                  <c:v>0.99615480987198801</c:v>
                </c:pt>
                <c:pt idx="5">
                  <c:v>1.0009322218029</c:v>
                </c:pt>
                <c:pt idx="6">
                  <c:v>1.0000728223855</c:v>
                </c:pt>
                <c:pt idx="7">
                  <c:v>0.99785166203047204</c:v>
                </c:pt>
                <c:pt idx="8">
                  <c:v>1.00489445811318</c:v>
                </c:pt>
                <c:pt idx="9">
                  <c:v>0.99637913332413097</c:v>
                </c:pt>
                <c:pt idx="10">
                  <c:v>1.00414994919069</c:v>
                </c:pt>
                <c:pt idx="11">
                  <c:v>0.99510115703037205</c:v>
                </c:pt>
              </c:numCache>
            </c:numRef>
          </c:val>
          <c:smooth val="0"/>
          <c:extLst>
            <c:ext xmlns:c16="http://schemas.microsoft.com/office/drawing/2014/chart" uri="{C3380CC4-5D6E-409C-BE32-E72D297353CC}">
              <c16:uniqueId val="{00000001-23B1-42F8-9DAB-3CB7A3F0AF1E}"/>
            </c:ext>
          </c:extLst>
        </c:ser>
        <c:ser>
          <c:idx val="2"/>
          <c:order val="2"/>
          <c:tx>
            <c:v>2005</c:v>
          </c:tx>
          <c:spPr>
            <a:ln w="28575" cap="rnd">
              <a:noFill/>
              <a:round/>
            </a:ln>
            <a:effectLst/>
          </c:spPr>
          <c:marker>
            <c:symbol val="circle"/>
            <c:size val="5"/>
            <c:spPr>
              <a:solidFill>
                <a:schemeClr val="accent3"/>
              </a:solidFill>
              <a:ln w="9525">
                <a:solidFill>
                  <a:schemeClr val="accent3"/>
                </a:solidFill>
              </a:ln>
              <a:effectLst/>
            </c:spPr>
          </c:marker>
          <c:val>
            <c:numRef>
              <c:f>'Monthly - IBC-Br'!$AC$5:$AN$5</c:f>
              <c:numCache>
                <c:formatCode>General</c:formatCode>
                <c:ptCount val="12"/>
                <c:pt idx="0">
                  <c:v>1.00077236927348</c:v>
                </c:pt>
                <c:pt idx="1">
                  <c:v>1.0010887059270399</c:v>
                </c:pt>
                <c:pt idx="2">
                  <c:v>0.99852355975653895</c:v>
                </c:pt>
                <c:pt idx="3">
                  <c:v>1.00179562716521</c:v>
                </c:pt>
                <c:pt idx="4">
                  <c:v>1.0011899107868401</c:v>
                </c:pt>
                <c:pt idx="5">
                  <c:v>0.99877662406696099</c:v>
                </c:pt>
                <c:pt idx="6">
                  <c:v>0.99789680180818296</c:v>
                </c:pt>
                <c:pt idx="7">
                  <c:v>1.0034691867140599</c:v>
                </c:pt>
                <c:pt idx="8">
                  <c:v>0.99903714069757898</c:v>
                </c:pt>
                <c:pt idx="9">
                  <c:v>0.99795799284563402</c:v>
                </c:pt>
                <c:pt idx="10">
                  <c:v>1.0004118547648599</c:v>
                </c:pt>
                <c:pt idx="11">
                  <c:v>1.00004127662251</c:v>
                </c:pt>
              </c:numCache>
            </c:numRef>
          </c:val>
          <c:smooth val="0"/>
          <c:extLst>
            <c:ext xmlns:c16="http://schemas.microsoft.com/office/drawing/2014/chart" uri="{C3380CC4-5D6E-409C-BE32-E72D297353CC}">
              <c16:uniqueId val="{00000002-23B1-42F8-9DAB-3CB7A3F0AF1E}"/>
            </c:ext>
          </c:extLst>
        </c:ser>
        <c:ser>
          <c:idx val="3"/>
          <c:order val="3"/>
          <c:tx>
            <c:v>2006</c:v>
          </c:tx>
          <c:spPr>
            <a:ln w="28575" cap="rnd">
              <a:noFill/>
              <a:round/>
            </a:ln>
            <a:effectLst/>
          </c:spPr>
          <c:marker>
            <c:symbol val="circle"/>
            <c:size val="5"/>
            <c:spPr>
              <a:solidFill>
                <a:schemeClr val="accent4"/>
              </a:solidFill>
              <a:ln w="9525">
                <a:solidFill>
                  <a:schemeClr val="accent4"/>
                </a:solidFill>
              </a:ln>
              <a:effectLst/>
            </c:spPr>
          </c:marker>
          <c:val>
            <c:numRef>
              <c:f>'Monthly - IBC-Br'!$AC$6:$AN$6</c:f>
              <c:numCache>
                <c:formatCode>General</c:formatCode>
                <c:ptCount val="12"/>
                <c:pt idx="0">
                  <c:v>1.0050349529443601</c:v>
                </c:pt>
                <c:pt idx="1">
                  <c:v>1.00197607074146</c:v>
                </c:pt>
                <c:pt idx="2">
                  <c:v>0.99713170067049095</c:v>
                </c:pt>
                <c:pt idx="3">
                  <c:v>1.00022560771036</c:v>
                </c:pt>
                <c:pt idx="4">
                  <c:v>1.0082705358500601</c:v>
                </c:pt>
                <c:pt idx="5">
                  <c:v>0.99527323934927103</c:v>
                </c:pt>
                <c:pt idx="6">
                  <c:v>1.0085009041169799</c:v>
                </c:pt>
                <c:pt idx="7">
                  <c:v>1.0005386794457101</c:v>
                </c:pt>
                <c:pt idx="8">
                  <c:v>0.99627408861436895</c:v>
                </c:pt>
                <c:pt idx="9">
                  <c:v>1.00036085977973</c:v>
                </c:pt>
                <c:pt idx="10">
                  <c:v>1.0004311079694901</c:v>
                </c:pt>
                <c:pt idx="11">
                  <c:v>1.0032029140015599</c:v>
                </c:pt>
              </c:numCache>
            </c:numRef>
          </c:val>
          <c:smooth val="0"/>
          <c:extLst>
            <c:ext xmlns:c16="http://schemas.microsoft.com/office/drawing/2014/chart" uri="{C3380CC4-5D6E-409C-BE32-E72D297353CC}">
              <c16:uniqueId val="{00000003-23B1-42F8-9DAB-3CB7A3F0AF1E}"/>
            </c:ext>
          </c:extLst>
        </c:ser>
        <c:ser>
          <c:idx val="4"/>
          <c:order val="4"/>
          <c:tx>
            <c:v>2007</c:v>
          </c:tx>
          <c:spPr>
            <a:ln w="28575" cap="rnd">
              <a:noFill/>
              <a:round/>
            </a:ln>
            <a:effectLst/>
          </c:spPr>
          <c:marker>
            <c:symbol val="circle"/>
            <c:size val="5"/>
            <c:spPr>
              <a:solidFill>
                <a:schemeClr val="accent5"/>
              </a:solidFill>
              <a:ln w="9525">
                <a:solidFill>
                  <a:schemeClr val="accent5"/>
                </a:solidFill>
              </a:ln>
              <a:effectLst/>
            </c:spPr>
          </c:marker>
          <c:val>
            <c:numRef>
              <c:f>'Monthly - IBC-Br'!$AC$7:$AN$7</c:f>
              <c:numCache>
                <c:formatCode>General</c:formatCode>
                <c:ptCount val="12"/>
                <c:pt idx="0">
                  <c:v>0.99853071082528599</c:v>
                </c:pt>
                <c:pt idx="1">
                  <c:v>0.99994209631429298</c:v>
                </c:pt>
                <c:pt idx="2">
                  <c:v>0.98941247083508899</c:v>
                </c:pt>
                <c:pt idx="3">
                  <c:v>0.99793585009563701</c:v>
                </c:pt>
                <c:pt idx="4">
                  <c:v>1.0003555579066901</c:v>
                </c:pt>
                <c:pt idx="5">
                  <c:v>1.0018104426577299</c:v>
                </c:pt>
                <c:pt idx="6">
                  <c:v>1.00201854280987</c:v>
                </c:pt>
                <c:pt idx="7">
                  <c:v>0.99637019221874001</c:v>
                </c:pt>
                <c:pt idx="8">
                  <c:v>0.99978515349740105</c:v>
                </c:pt>
                <c:pt idx="9">
                  <c:v>1.0028141808474</c:v>
                </c:pt>
                <c:pt idx="10">
                  <c:v>0.99781625908277005</c:v>
                </c:pt>
                <c:pt idx="11">
                  <c:v>1.00068901641885</c:v>
                </c:pt>
              </c:numCache>
            </c:numRef>
          </c:val>
          <c:smooth val="0"/>
          <c:extLst>
            <c:ext xmlns:c16="http://schemas.microsoft.com/office/drawing/2014/chart" uri="{C3380CC4-5D6E-409C-BE32-E72D297353CC}">
              <c16:uniqueId val="{00000004-23B1-42F8-9DAB-3CB7A3F0AF1E}"/>
            </c:ext>
          </c:extLst>
        </c:ser>
        <c:ser>
          <c:idx val="5"/>
          <c:order val="5"/>
          <c:tx>
            <c:v>2008</c:v>
          </c:tx>
          <c:spPr>
            <a:ln w="28575" cap="rnd">
              <a:noFill/>
              <a:round/>
            </a:ln>
            <a:effectLst/>
          </c:spPr>
          <c:marker>
            <c:symbol val="circle"/>
            <c:size val="5"/>
            <c:spPr>
              <a:solidFill>
                <a:schemeClr val="accent6"/>
              </a:solidFill>
              <a:ln w="9525">
                <a:solidFill>
                  <a:schemeClr val="accent6"/>
                </a:solidFill>
              </a:ln>
              <a:effectLst/>
            </c:spPr>
          </c:marker>
          <c:val>
            <c:numRef>
              <c:f>'Monthly - IBC-Br'!$AC$8:$AN$8</c:f>
              <c:numCache>
                <c:formatCode>General</c:formatCode>
                <c:ptCount val="12"/>
                <c:pt idx="0">
                  <c:v>1.00287181097293</c:v>
                </c:pt>
                <c:pt idx="1">
                  <c:v>0.99954507384685398</c:v>
                </c:pt>
                <c:pt idx="2">
                  <c:v>0.99285861612556503</c:v>
                </c:pt>
                <c:pt idx="3">
                  <c:v>0.99698530260360496</c:v>
                </c:pt>
                <c:pt idx="4">
                  <c:v>1.00089859085207</c:v>
                </c:pt>
                <c:pt idx="5">
                  <c:v>1.00654748370495</c:v>
                </c:pt>
                <c:pt idx="6">
                  <c:v>1.00011040704694</c:v>
                </c:pt>
                <c:pt idx="7">
                  <c:v>0.99887473316960995</c:v>
                </c:pt>
                <c:pt idx="8">
                  <c:v>0.99874694098632499</c:v>
                </c:pt>
                <c:pt idx="9">
                  <c:v>1.0016004881116001</c:v>
                </c:pt>
                <c:pt idx="10">
                  <c:v>0.99724597722106001</c:v>
                </c:pt>
                <c:pt idx="11">
                  <c:v>0.96224748730146503</c:v>
                </c:pt>
              </c:numCache>
            </c:numRef>
          </c:val>
          <c:smooth val="0"/>
          <c:extLst>
            <c:ext xmlns:c16="http://schemas.microsoft.com/office/drawing/2014/chart" uri="{C3380CC4-5D6E-409C-BE32-E72D297353CC}">
              <c16:uniqueId val="{00000005-23B1-42F8-9DAB-3CB7A3F0AF1E}"/>
            </c:ext>
          </c:extLst>
        </c:ser>
        <c:ser>
          <c:idx val="6"/>
          <c:order val="6"/>
          <c:tx>
            <c:v>2009</c:v>
          </c:tx>
          <c:spPr>
            <a:ln w="28575" cap="rnd">
              <a:noFill/>
              <a:round/>
            </a:ln>
            <a:effectLst/>
          </c:spPr>
          <c:marker>
            <c:symbol val="circle"/>
            <c:size val="5"/>
            <c:spPr>
              <a:solidFill>
                <a:schemeClr val="accent1">
                  <a:lumMod val="60000"/>
                </a:schemeClr>
              </a:solidFill>
              <a:ln w="9525">
                <a:solidFill>
                  <a:schemeClr val="accent1">
                    <a:lumMod val="60000"/>
                  </a:schemeClr>
                </a:solidFill>
              </a:ln>
              <a:effectLst/>
            </c:spPr>
          </c:marker>
          <c:val>
            <c:numRef>
              <c:f>'Monthly - IBC-Br'!$AC$9:$AN$9</c:f>
              <c:numCache>
                <c:formatCode>General</c:formatCode>
                <c:ptCount val="12"/>
                <c:pt idx="0">
                  <c:v>0.95931032817973105</c:v>
                </c:pt>
                <c:pt idx="1">
                  <c:v>0.96761124811302601</c:v>
                </c:pt>
                <c:pt idx="2">
                  <c:v>0.97055449426149198</c:v>
                </c:pt>
                <c:pt idx="3">
                  <c:v>0.97120751767848701</c:v>
                </c:pt>
                <c:pt idx="4">
                  <c:v>0.97708378214910796</c:v>
                </c:pt>
                <c:pt idx="5">
                  <c:v>0.98016231353326</c:v>
                </c:pt>
                <c:pt idx="6">
                  <c:v>0.97622686896339805</c:v>
                </c:pt>
                <c:pt idx="7">
                  <c:v>0.98385520763413303</c:v>
                </c:pt>
                <c:pt idx="8">
                  <c:v>0.98617969670094996</c:v>
                </c:pt>
                <c:pt idx="9">
                  <c:v>0.98670649011092004</c:v>
                </c:pt>
                <c:pt idx="10">
                  <c:v>0.98445228799726503</c:v>
                </c:pt>
                <c:pt idx="11">
                  <c:v>0.98521317184323198</c:v>
                </c:pt>
              </c:numCache>
            </c:numRef>
          </c:val>
          <c:smooth val="0"/>
          <c:extLst>
            <c:ext xmlns:c16="http://schemas.microsoft.com/office/drawing/2014/chart" uri="{C3380CC4-5D6E-409C-BE32-E72D297353CC}">
              <c16:uniqueId val="{00000006-23B1-42F8-9DAB-3CB7A3F0AF1E}"/>
            </c:ext>
          </c:extLst>
        </c:ser>
        <c:ser>
          <c:idx val="7"/>
          <c:order val="7"/>
          <c:tx>
            <c:v>2010</c:v>
          </c:tx>
          <c:spPr>
            <a:ln w="28575" cap="rnd">
              <a:noFill/>
              <a:round/>
            </a:ln>
            <a:effectLst/>
          </c:spPr>
          <c:marker>
            <c:symbol val="circle"/>
            <c:size val="5"/>
            <c:spPr>
              <a:solidFill>
                <a:schemeClr val="accent2">
                  <a:lumMod val="60000"/>
                </a:schemeClr>
              </a:solidFill>
              <a:ln w="9525">
                <a:solidFill>
                  <a:schemeClr val="accent2">
                    <a:lumMod val="60000"/>
                  </a:schemeClr>
                </a:solidFill>
              </a:ln>
              <a:effectLst/>
            </c:spPr>
          </c:marker>
          <c:val>
            <c:numRef>
              <c:f>'Monthly - IBC-Br'!$AC$10:$AN$10</c:f>
              <c:numCache>
                <c:formatCode>General</c:formatCode>
                <c:ptCount val="12"/>
                <c:pt idx="0">
                  <c:v>0.99007390950899399</c:v>
                </c:pt>
                <c:pt idx="1">
                  <c:v>0.99125107173921001</c:v>
                </c:pt>
                <c:pt idx="2">
                  <c:v>0.99379519714032205</c:v>
                </c:pt>
                <c:pt idx="3">
                  <c:v>0.99521801082058303</c:v>
                </c:pt>
                <c:pt idx="4">
                  <c:v>0.99184513949189201</c:v>
                </c:pt>
                <c:pt idx="5">
                  <c:v>0.99033553467431501</c:v>
                </c:pt>
                <c:pt idx="6">
                  <c:v>0.99375890032576197</c:v>
                </c:pt>
                <c:pt idx="7">
                  <c:v>0.99460157030665097</c:v>
                </c:pt>
                <c:pt idx="8">
                  <c:v>1.0006357375592401</c:v>
                </c:pt>
                <c:pt idx="9">
                  <c:v>0.99291826677898598</c:v>
                </c:pt>
                <c:pt idx="10">
                  <c:v>1.0029165481203399</c:v>
                </c:pt>
                <c:pt idx="11">
                  <c:v>0.9861241831009</c:v>
                </c:pt>
              </c:numCache>
            </c:numRef>
          </c:val>
          <c:smooth val="0"/>
          <c:extLst>
            <c:ext xmlns:c16="http://schemas.microsoft.com/office/drawing/2014/chart" uri="{C3380CC4-5D6E-409C-BE32-E72D297353CC}">
              <c16:uniqueId val="{00000007-23B1-42F8-9DAB-3CB7A3F0AF1E}"/>
            </c:ext>
          </c:extLst>
        </c:ser>
        <c:ser>
          <c:idx val="8"/>
          <c:order val="8"/>
          <c:tx>
            <c:v>2011</c:v>
          </c:tx>
          <c:spPr>
            <a:ln w="28575" cap="rnd">
              <a:noFill/>
              <a:round/>
            </a:ln>
            <a:effectLst/>
          </c:spPr>
          <c:marker>
            <c:symbol val="circle"/>
            <c:size val="5"/>
            <c:spPr>
              <a:solidFill>
                <a:schemeClr val="accent3">
                  <a:lumMod val="60000"/>
                </a:schemeClr>
              </a:solidFill>
              <a:ln w="9525">
                <a:solidFill>
                  <a:schemeClr val="accent3">
                    <a:lumMod val="60000"/>
                  </a:schemeClr>
                </a:solidFill>
              </a:ln>
              <a:effectLst/>
            </c:spPr>
          </c:marker>
          <c:val>
            <c:numRef>
              <c:f>'Monthly - IBC-Br'!$AC$11:$AN$11</c:f>
              <c:numCache>
                <c:formatCode>General</c:formatCode>
                <c:ptCount val="12"/>
                <c:pt idx="0">
                  <c:v>0.99680156042972201</c:v>
                </c:pt>
                <c:pt idx="1">
                  <c:v>0.99914879424630398</c:v>
                </c:pt>
                <c:pt idx="2">
                  <c:v>0.99888886586441505</c:v>
                </c:pt>
                <c:pt idx="3">
                  <c:v>0.99526724605322603</c:v>
                </c:pt>
                <c:pt idx="4">
                  <c:v>0.99684222651613696</c:v>
                </c:pt>
                <c:pt idx="5">
                  <c:v>1.0002946106530199</c:v>
                </c:pt>
                <c:pt idx="6">
                  <c:v>0.99913084162169796</c:v>
                </c:pt>
                <c:pt idx="7">
                  <c:v>0.99787087125056395</c:v>
                </c:pt>
                <c:pt idx="8">
                  <c:v>0.99839930707285096</c:v>
                </c:pt>
                <c:pt idx="9">
                  <c:v>0.99973072620197601</c:v>
                </c:pt>
                <c:pt idx="10">
                  <c:v>1.0083807331485199</c:v>
                </c:pt>
                <c:pt idx="11">
                  <c:v>0.99715160548423398</c:v>
                </c:pt>
              </c:numCache>
            </c:numRef>
          </c:val>
          <c:smooth val="0"/>
          <c:extLst>
            <c:ext xmlns:c16="http://schemas.microsoft.com/office/drawing/2014/chart" uri="{C3380CC4-5D6E-409C-BE32-E72D297353CC}">
              <c16:uniqueId val="{00000008-23B1-42F8-9DAB-3CB7A3F0AF1E}"/>
            </c:ext>
          </c:extLst>
        </c:ser>
        <c:ser>
          <c:idx val="9"/>
          <c:order val="9"/>
          <c:tx>
            <c:v>2012</c:v>
          </c:tx>
          <c:spPr>
            <a:ln w="28575" cap="rnd">
              <a:noFill/>
              <a:round/>
            </a:ln>
            <a:effectLst/>
          </c:spPr>
          <c:marker>
            <c:symbol val="circle"/>
            <c:size val="5"/>
            <c:spPr>
              <a:solidFill>
                <a:schemeClr val="accent4">
                  <a:lumMod val="60000"/>
                </a:schemeClr>
              </a:solidFill>
              <a:ln w="9525">
                <a:solidFill>
                  <a:schemeClr val="accent4">
                    <a:lumMod val="60000"/>
                  </a:schemeClr>
                </a:solidFill>
              </a:ln>
              <a:effectLst/>
            </c:spPr>
          </c:marker>
          <c:val>
            <c:numRef>
              <c:f>'Monthly - IBC-Br'!$AC$12:$AN$12</c:f>
              <c:numCache>
                <c:formatCode>General</c:formatCode>
                <c:ptCount val="12"/>
                <c:pt idx="0">
                  <c:v>0.98869669902408996</c:v>
                </c:pt>
                <c:pt idx="1">
                  <c:v>1.0006170061494899</c:v>
                </c:pt>
                <c:pt idx="2">
                  <c:v>0.99592784577392102</c:v>
                </c:pt>
                <c:pt idx="3">
                  <c:v>0.99737901500576098</c:v>
                </c:pt>
                <c:pt idx="4">
                  <c:v>1.0014574274314201</c:v>
                </c:pt>
                <c:pt idx="5">
                  <c:v>1.0012130939513</c:v>
                </c:pt>
                <c:pt idx="6">
                  <c:v>0.99995963846351499</c:v>
                </c:pt>
                <c:pt idx="7">
                  <c:v>1.0005293204760399</c:v>
                </c:pt>
                <c:pt idx="8">
                  <c:v>0.99515029816421496</c:v>
                </c:pt>
                <c:pt idx="9">
                  <c:v>1.00285361145274</c:v>
                </c:pt>
                <c:pt idx="10">
                  <c:v>1.0011725506357001</c:v>
                </c:pt>
                <c:pt idx="11">
                  <c:v>0.99650900650536101</c:v>
                </c:pt>
              </c:numCache>
            </c:numRef>
          </c:val>
          <c:smooth val="0"/>
          <c:extLst>
            <c:ext xmlns:c16="http://schemas.microsoft.com/office/drawing/2014/chart" uri="{C3380CC4-5D6E-409C-BE32-E72D297353CC}">
              <c16:uniqueId val="{00000009-23B1-42F8-9DAB-3CB7A3F0AF1E}"/>
            </c:ext>
          </c:extLst>
        </c:ser>
        <c:ser>
          <c:idx val="10"/>
          <c:order val="10"/>
          <c:tx>
            <c:v>2013</c:v>
          </c:tx>
          <c:spPr>
            <a:ln w="28575" cap="rnd">
              <a:noFill/>
              <a:round/>
            </a:ln>
            <a:effectLst/>
          </c:spPr>
          <c:marker>
            <c:symbol val="circle"/>
            <c:size val="5"/>
            <c:spPr>
              <a:solidFill>
                <a:schemeClr val="accent5">
                  <a:lumMod val="60000"/>
                </a:schemeClr>
              </a:solidFill>
              <a:ln w="9525">
                <a:solidFill>
                  <a:schemeClr val="accent5">
                    <a:lumMod val="60000"/>
                  </a:schemeClr>
                </a:solidFill>
              </a:ln>
              <a:effectLst/>
            </c:spPr>
          </c:marker>
          <c:val>
            <c:numRef>
              <c:f>'Monthly - IBC-Br'!$AC$13:$AN$13</c:f>
              <c:numCache>
                <c:formatCode>General</c:formatCode>
                <c:ptCount val="12"/>
                <c:pt idx="0">
                  <c:v>1.00233794801229</c:v>
                </c:pt>
                <c:pt idx="1">
                  <c:v>0.99264770372559896</c:v>
                </c:pt>
                <c:pt idx="2">
                  <c:v>0.99674540831831704</c:v>
                </c:pt>
                <c:pt idx="3">
                  <c:v>1.0025524555058201</c:v>
                </c:pt>
                <c:pt idx="4">
                  <c:v>1.0025749226913001</c:v>
                </c:pt>
                <c:pt idx="5">
                  <c:v>0.99707908621102204</c:v>
                </c:pt>
                <c:pt idx="6">
                  <c:v>1.00012528918185</c:v>
                </c:pt>
                <c:pt idx="7">
                  <c:v>0.99859712466446904</c:v>
                </c:pt>
                <c:pt idx="8">
                  <c:v>1.0018029036904099</c:v>
                </c:pt>
                <c:pt idx="9">
                  <c:v>0.99884505048899597</c:v>
                </c:pt>
                <c:pt idx="10">
                  <c:v>1.00005101556025</c:v>
                </c:pt>
                <c:pt idx="11">
                  <c:v>1.00093840292188</c:v>
                </c:pt>
              </c:numCache>
            </c:numRef>
          </c:val>
          <c:smooth val="0"/>
          <c:extLst>
            <c:ext xmlns:c16="http://schemas.microsoft.com/office/drawing/2014/chart" uri="{C3380CC4-5D6E-409C-BE32-E72D297353CC}">
              <c16:uniqueId val="{0000000A-23B1-42F8-9DAB-3CB7A3F0AF1E}"/>
            </c:ext>
          </c:extLst>
        </c:ser>
        <c:ser>
          <c:idx val="11"/>
          <c:order val="11"/>
          <c:tx>
            <c:v>2014</c:v>
          </c:tx>
          <c:spPr>
            <a:ln w="28575" cap="rnd">
              <a:noFill/>
              <a:round/>
            </a:ln>
            <a:effectLst/>
          </c:spPr>
          <c:marker>
            <c:symbol val="circle"/>
            <c:size val="5"/>
            <c:spPr>
              <a:solidFill>
                <a:schemeClr val="accent6">
                  <a:lumMod val="60000"/>
                </a:schemeClr>
              </a:solidFill>
              <a:ln w="9525">
                <a:solidFill>
                  <a:schemeClr val="accent6">
                    <a:lumMod val="60000"/>
                  </a:schemeClr>
                </a:solidFill>
              </a:ln>
              <a:effectLst/>
            </c:spPr>
          </c:marker>
          <c:val>
            <c:numRef>
              <c:f>'Monthly - IBC-Br'!$AC$14:$AN$14</c:f>
              <c:numCache>
                <c:formatCode>General</c:formatCode>
                <c:ptCount val="12"/>
                <c:pt idx="0">
                  <c:v>0.99936029336695698</c:v>
                </c:pt>
                <c:pt idx="1">
                  <c:v>0.999332661444302</c:v>
                </c:pt>
                <c:pt idx="2">
                  <c:v>1.0011642344343901</c:v>
                </c:pt>
                <c:pt idx="3">
                  <c:v>0.99977102126622097</c:v>
                </c:pt>
                <c:pt idx="4">
                  <c:v>1.0005295166085899</c:v>
                </c:pt>
                <c:pt idx="5">
                  <c:v>0.985551934708917</c:v>
                </c:pt>
                <c:pt idx="6">
                  <c:v>0.99505503082659297</c:v>
                </c:pt>
                <c:pt idx="7">
                  <c:v>1.00091794868469</c:v>
                </c:pt>
                <c:pt idx="8">
                  <c:v>1.00416737774582</c:v>
                </c:pt>
                <c:pt idx="9">
                  <c:v>0.99719126045272299</c:v>
                </c:pt>
                <c:pt idx="10">
                  <c:v>0.99850674503944503</c:v>
                </c:pt>
                <c:pt idx="11">
                  <c:v>1.0033823867474601</c:v>
                </c:pt>
              </c:numCache>
            </c:numRef>
          </c:val>
          <c:smooth val="0"/>
          <c:extLst>
            <c:ext xmlns:c16="http://schemas.microsoft.com/office/drawing/2014/chart" uri="{C3380CC4-5D6E-409C-BE32-E72D297353CC}">
              <c16:uniqueId val="{0000000B-23B1-42F8-9DAB-3CB7A3F0AF1E}"/>
            </c:ext>
          </c:extLst>
        </c:ser>
        <c:ser>
          <c:idx val="12"/>
          <c:order val="12"/>
          <c:tx>
            <c:v>2015</c:v>
          </c:tx>
          <c:spPr>
            <a:ln w="28575" cap="rnd">
              <a:noFill/>
              <a:round/>
            </a:ln>
            <a:effectLst/>
          </c:spPr>
          <c:marker>
            <c:symbol val="circle"/>
            <c:size val="5"/>
            <c:spPr>
              <a:solidFill>
                <a:schemeClr val="accent1">
                  <a:lumMod val="80000"/>
                  <a:lumOff val="20000"/>
                </a:schemeClr>
              </a:solidFill>
              <a:ln w="9525">
                <a:solidFill>
                  <a:schemeClr val="accent1">
                    <a:lumMod val="80000"/>
                    <a:lumOff val="20000"/>
                  </a:schemeClr>
                </a:solidFill>
              </a:ln>
              <a:effectLst/>
            </c:spPr>
          </c:marker>
          <c:val>
            <c:numRef>
              <c:f>'Monthly - IBC-Br'!$AC$15:$AN$15</c:f>
              <c:numCache>
                <c:formatCode>General</c:formatCode>
                <c:ptCount val="12"/>
                <c:pt idx="0">
                  <c:v>0.99970523327637695</c:v>
                </c:pt>
                <c:pt idx="1">
                  <c:v>0.99705683972680303</c:v>
                </c:pt>
                <c:pt idx="2">
                  <c:v>1.0029025391474999</c:v>
                </c:pt>
                <c:pt idx="3">
                  <c:v>1.0001142501543001</c:v>
                </c:pt>
                <c:pt idx="4">
                  <c:v>1.0002781608537199</c:v>
                </c:pt>
                <c:pt idx="5">
                  <c:v>0.99888311018296305</c:v>
                </c:pt>
                <c:pt idx="6">
                  <c:v>0.99723915151626996</c:v>
                </c:pt>
                <c:pt idx="7">
                  <c:v>1.00296530922879</c:v>
                </c:pt>
                <c:pt idx="8">
                  <c:v>0.997177006091026</c:v>
                </c:pt>
                <c:pt idx="9">
                  <c:v>1.00695121442573</c:v>
                </c:pt>
                <c:pt idx="10">
                  <c:v>0.998255262828047</c:v>
                </c:pt>
                <c:pt idx="11">
                  <c:v>0.99954764449447597</c:v>
                </c:pt>
              </c:numCache>
            </c:numRef>
          </c:val>
          <c:smooth val="0"/>
          <c:extLst>
            <c:ext xmlns:c16="http://schemas.microsoft.com/office/drawing/2014/chart" uri="{C3380CC4-5D6E-409C-BE32-E72D297353CC}">
              <c16:uniqueId val="{00000014-23B1-42F8-9DAB-3CB7A3F0AF1E}"/>
            </c:ext>
          </c:extLst>
        </c:ser>
        <c:ser>
          <c:idx val="13"/>
          <c:order val="13"/>
          <c:tx>
            <c:v>2016</c:v>
          </c:tx>
          <c:spPr>
            <a:ln w="28575" cap="rnd">
              <a:noFill/>
              <a:round/>
            </a:ln>
            <a:effectLst/>
          </c:spPr>
          <c:marker>
            <c:symbol val="circle"/>
            <c:size val="5"/>
            <c:spPr>
              <a:solidFill>
                <a:schemeClr val="accent2">
                  <a:lumMod val="80000"/>
                  <a:lumOff val="20000"/>
                </a:schemeClr>
              </a:solidFill>
              <a:ln w="9525">
                <a:solidFill>
                  <a:schemeClr val="accent2">
                    <a:lumMod val="80000"/>
                    <a:lumOff val="20000"/>
                  </a:schemeClr>
                </a:solidFill>
              </a:ln>
              <a:effectLst/>
            </c:spPr>
          </c:marker>
          <c:val>
            <c:numRef>
              <c:f>'Monthly - IBC-Br'!$AC$16:$AN$16</c:f>
              <c:numCache>
                <c:formatCode>General</c:formatCode>
                <c:ptCount val="12"/>
                <c:pt idx="0">
                  <c:v>0.99915772355952603</c:v>
                </c:pt>
                <c:pt idx="1">
                  <c:v>1.00178855689223</c:v>
                </c:pt>
                <c:pt idx="2">
                  <c:v>0.99838081092326703</c:v>
                </c:pt>
                <c:pt idx="3">
                  <c:v>1.00074881300607</c:v>
                </c:pt>
                <c:pt idx="4">
                  <c:v>0.99819232824443305</c:v>
                </c:pt>
                <c:pt idx="5">
                  <c:v>1.0022109714820899</c:v>
                </c:pt>
                <c:pt idx="6">
                  <c:v>1.0007708829392801</c:v>
                </c:pt>
                <c:pt idx="7">
                  <c:v>0.99797297785387695</c:v>
                </c:pt>
                <c:pt idx="8">
                  <c:v>1.00120743751945</c:v>
                </c:pt>
                <c:pt idx="9">
                  <c:v>1.0010222202255601</c:v>
                </c:pt>
                <c:pt idx="10">
                  <c:v>1.00112319868059</c:v>
                </c:pt>
                <c:pt idx="11">
                  <c:v>0.99333899995632302</c:v>
                </c:pt>
              </c:numCache>
            </c:numRef>
          </c:val>
          <c:smooth val="0"/>
          <c:extLst>
            <c:ext xmlns:c16="http://schemas.microsoft.com/office/drawing/2014/chart" uri="{C3380CC4-5D6E-409C-BE32-E72D297353CC}">
              <c16:uniqueId val="{00000015-23B1-42F8-9DAB-3CB7A3F0AF1E}"/>
            </c:ext>
          </c:extLst>
        </c:ser>
        <c:ser>
          <c:idx val="14"/>
          <c:order val="14"/>
          <c:tx>
            <c:v>2017</c:v>
          </c:tx>
          <c:spPr>
            <a:ln w="28575" cap="rnd">
              <a:noFill/>
              <a:round/>
            </a:ln>
            <a:effectLst/>
          </c:spPr>
          <c:marker>
            <c:symbol val="circle"/>
            <c:size val="5"/>
            <c:spPr>
              <a:solidFill>
                <a:schemeClr val="accent3">
                  <a:lumMod val="80000"/>
                  <a:lumOff val="20000"/>
                </a:schemeClr>
              </a:solidFill>
              <a:ln w="9525">
                <a:solidFill>
                  <a:schemeClr val="accent3">
                    <a:lumMod val="80000"/>
                    <a:lumOff val="20000"/>
                  </a:schemeClr>
                </a:solidFill>
              </a:ln>
              <a:effectLst/>
            </c:spPr>
          </c:marker>
          <c:val>
            <c:numRef>
              <c:f>'Monthly - IBC-Br'!$AC$17:$AN$17</c:f>
              <c:numCache>
                <c:formatCode>General</c:formatCode>
                <c:ptCount val="12"/>
                <c:pt idx="0">
                  <c:v>0.99761283517212196</c:v>
                </c:pt>
                <c:pt idx="1">
                  <c:v>1.0050075970911201</c:v>
                </c:pt>
                <c:pt idx="2">
                  <c:v>1.00176782410036</c:v>
                </c:pt>
                <c:pt idx="3">
                  <c:v>1.0012663750077599</c:v>
                </c:pt>
                <c:pt idx="4">
                  <c:v>0.99490528326386496</c:v>
                </c:pt>
                <c:pt idx="5">
                  <c:v>1.0012905101343901</c:v>
                </c:pt>
                <c:pt idx="6">
                  <c:v>1.0040214828718099</c:v>
                </c:pt>
                <c:pt idx="7">
                  <c:v>0.99805005620396703</c:v>
                </c:pt>
                <c:pt idx="8">
                  <c:v>0.99938190937995197</c:v>
                </c:pt>
                <c:pt idx="9">
                  <c:v>0.99843860348718905</c:v>
                </c:pt>
                <c:pt idx="10">
                  <c:v>0.99606014909037299</c:v>
                </c:pt>
                <c:pt idx="11">
                  <c:v>1.0050104230477701</c:v>
                </c:pt>
              </c:numCache>
            </c:numRef>
          </c:val>
          <c:smooth val="0"/>
          <c:extLst>
            <c:ext xmlns:c16="http://schemas.microsoft.com/office/drawing/2014/chart" uri="{C3380CC4-5D6E-409C-BE32-E72D297353CC}">
              <c16:uniqueId val="{00000016-23B1-42F8-9DAB-3CB7A3F0AF1E}"/>
            </c:ext>
          </c:extLst>
        </c:ser>
        <c:ser>
          <c:idx val="15"/>
          <c:order val="15"/>
          <c:tx>
            <c:v>2018</c:v>
          </c:tx>
          <c:spPr>
            <a:ln w="28575" cap="rnd">
              <a:noFill/>
              <a:round/>
            </a:ln>
            <a:effectLst/>
          </c:spPr>
          <c:marker>
            <c:symbol val="circle"/>
            <c:size val="5"/>
            <c:spPr>
              <a:solidFill>
                <a:schemeClr val="accent4">
                  <a:lumMod val="80000"/>
                  <a:lumOff val="20000"/>
                </a:schemeClr>
              </a:solidFill>
              <a:ln w="9525">
                <a:solidFill>
                  <a:schemeClr val="accent4">
                    <a:lumMod val="80000"/>
                    <a:lumOff val="20000"/>
                  </a:schemeClr>
                </a:solidFill>
              </a:ln>
              <a:effectLst/>
            </c:spPr>
          </c:marker>
          <c:val>
            <c:numRef>
              <c:f>'Monthly - IBC-Br'!$AC$18:$AN$18</c:f>
              <c:numCache>
                <c:formatCode>General</c:formatCode>
                <c:ptCount val="12"/>
                <c:pt idx="0">
                  <c:v>0.99987411949744398</c:v>
                </c:pt>
                <c:pt idx="1">
                  <c:v>0.99630835462760103</c:v>
                </c:pt>
                <c:pt idx="2">
                  <c:v>1.0017099315237401</c:v>
                </c:pt>
                <c:pt idx="3">
                  <c:v>1.01014932788391</c:v>
                </c:pt>
                <c:pt idx="4">
                  <c:v>0.969787647205265</c:v>
                </c:pt>
                <c:pt idx="5">
                  <c:v>0.99790180197596201</c:v>
                </c:pt>
                <c:pt idx="6">
                  <c:v>0.99983994390169395</c:v>
                </c:pt>
                <c:pt idx="7">
                  <c:v>1.00401929943129</c:v>
                </c:pt>
                <c:pt idx="8">
                  <c:v>0.99882834306023804</c:v>
                </c:pt>
                <c:pt idx="9">
                  <c:v>0.99729401175534604</c:v>
                </c:pt>
                <c:pt idx="10">
                  <c:v>0.99957443813698099</c:v>
                </c:pt>
                <c:pt idx="11">
                  <c:v>1.00190775857474</c:v>
                </c:pt>
              </c:numCache>
            </c:numRef>
          </c:val>
          <c:smooth val="0"/>
          <c:extLst>
            <c:ext xmlns:c16="http://schemas.microsoft.com/office/drawing/2014/chart" uri="{C3380CC4-5D6E-409C-BE32-E72D297353CC}">
              <c16:uniqueId val="{00000017-23B1-42F8-9DAB-3CB7A3F0AF1E}"/>
            </c:ext>
          </c:extLst>
        </c:ser>
        <c:ser>
          <c:idx val="16"/>
          <c:order val="16"/>
          <c:tx>
            <c:v>2019</c:v>
          </c:tx>
          <c:spPr>
            <a:ln w="28575" cap="rnd">
              <a:noFill/>
              <a:round/>
            </a:ln>
            <a:effectLst/>
          </c:spPr>
          <c:marker>
            <c:symbol val="circle"/>
            <c:size val="5"/>
            <c:spPr>
              <a:solidFill>
                <a:schemeClr val="accent5">
                  <a:lumMod val="80000"/>
                  <a:lumOff val="20000"/>
                </a:schemeClr>
              </a:solidFill>
              <a:ln w="9525">
                <a:solidFill>
                  <a:schemeClr val="accent5">
                    <a:lumMod val="80000"/>
                    <a:lumOff val="20000"/>
                  </a:schemeClr>
                </a:solidFill>
              </a:ln>
              <a:effectLst/>
            </c:spPr>
          </c:marker>
          <c:val>
            <c:numRef>
              <c:f>'Monthly - IBC-Br'!$AC$19:$AN$19</c:f>
              <c:numCache>
                <c:formatCode>General</c:formatCode>
                <c:ptCount val="12"/>
                <c:pt idx="0">
                  <c:v>1.00080257617935</c:v>
                </c:pt>
                <c:pt idx="1">
                  <c:v>0.99178623612070005</c:v>
                </c:pt>
                <c:pt idx="2">
                  <c:v>0.99983072336898704</c:v>
                </c:pt>
                <c:pt idx="3">
                  <c:v>0.99963440518207503</c:v>
                </c:pt>
                <c:pt idx="4">
                  <c:v>1.00121512333332</c:v>
                </c:pt>
                <c:pt idx="5">
                  <c:v>1.0020621571678301</c:v>
                </c:pt>
                <c:pt idx="6">
                  <c:v>0.99878048682515796</c:v>
                </c:pt>
                <c:pt idx="7">
                  <c:v>0.99438328084426197</c:v>
                </c:pt>
                <c:pt idx="8">
                  <c:v>0.99991752716599902</c:v>
                </c:pt>
                <c:pt idx="9">
                  <c:v>1.0024481454323999</c:v>
                </c:pt>
                <c:pt idx="10">
                  <c:v>1.00101337721865</c:v>
                </c:pt>
                <c:pt idx="11">
                  <c:v>0.99765668365374804</c:v>
                </c:pt>
              </c:numCache>
            </c:numRef>
          </c:val>
          <c:smooth val="0"/>
          <c:extLst>
            <c:ext xmlns:c16="http://schemas.microsoft.com/office/drawing/2014/chart" uri="{C3380CC4-5D6E-409C-BE32-E72D297353CC}">
              <c16:uniqueId val="{00000018-23B1-42F8-9DAB-3CB7A3F0AF1E}"/>
            </c:ext>
          </c:extLst>
        </c:ser>
        <c:ser>
          <c:idx val="17"/>
          <c:order val="17"/>
          <c:tx>
            <c:v>2020</c:v>
          </c:tx>
          <c:spPr>
            <a:ln w="28575" cap="rnd">
              <a:noFill/>
              <a:round/>
            </a:ln>
            <a:effectLst/>
          </c:spPr>
          <c:marker>
            <c:symbol val="circle"/>
            <c:size val="5"/>
            <c:spPr>
              <a:solidFill>
                <a:schemeClr val="accent6">
                  <a:lumMod val="80000"/>
                  <a:lumOff val="20000"/>
                </a:schemeClr>
              </a:solidFill>
              <a:ln w="9525">
                <a:solidFill>
                  <a:schemeClr val="accent6">
                    <a:lumMod val="80000"/>
                    <a:lumOff val="20000"/>
                  </a:schemeClr>
                </a:solidFill>
              </a:ln>
              <a:effectLst/>
            </c:spPr>
          </c:marker>
          <c:val>
            <c:numRef>
              <c:f>'Monthly - IBC-Br'!$AC$20:$AN$20</c:f>
              <c:numCache>
                <c:formatCode>General</c:formatCode>
                <c:ptCount val="12"/>
                <c:pt idx="0">
                  <c:v>0.99811652222268299</c:v>
                </c:pt>
                <c:pt idx="1">
                  <c:v>1.0038781578228999</c:v>
                </c:pt>
                <c:pt idx="2">
                  <c:v>0.955520005384351</c:v>
                </c:pt>
                <c:pt idx="3">
                  <c:v>0.99695627969425205</c:v>
                </c:pt>
                <c:pt idx="4">
                  <c:v>1.00178046951956</c:v>
                </c:pt>
                <c:pt idx="5">
                  <c:v>0.99383128768432605</c:v>
                </c:pt>
                <c:pt idx="6">
                  <c:v>1.00304365041639</c:v>
                </c:pt>
                <c:pt idx="7">
                  <c:v>0.99980252641306699</c:v>
                </c:pt>
                <c:pt idx="8">
                  <c:v>1.00180839692527</c:v>
                </c:pt>
                <c:pt idx="9">
                  <c:v>1.0006414273327999</c:v>
                </c:pt>
                <c:pt idx="10">
                  <c:v>0.99926516209840199</c:v>
                </c:pt>
                <c:pt idx="11">
                  <c:v>0.99876238219449698</c:v>
                </c:pt>
              </c:numCache>
            </c:numRef>
          </c:val>
          <c:smooth val="0"/>
          <c:extLst>
            <c:ext xmlns:c16="http://schemas.microsoft.com/office/drawing/2014/chart" uri="{C3380CC4-5D6E-409C-BE32-E72D297353CC}">
              <c16:uniqueId val="{00000019-23B1-42F8-9DAB-3CB7A3F0AF1E}"/>
            </c:ext>
          </c:extLst>
        </c:ser>
        <c:ser>
          <c:idx val="18"/>
          <c:order val="18"/>
          <c:tx>
            <c:v>2021</c:v>
          </c:tx>
          <c:spPr>
            <a:ln w="28575" cap="rnd">
              <a:noFill/>
              <a:round/>
            </a:ln>
            <a:effectLst/>
          </c:spPr>
          <c:marker>
            <c:symbol val="circle"/>
            <c:size val="5"/>
            <c:spPr>
              <a:solidFill>
                <a:schemeClr val="accent1">
                  <a:lumMod val="80000"/>
                </a:schemeClr>
              </a:solidFill>
              <a:ln w="9525">
                <a:solidFill>
                  <a:schemeClr val="accent1">
                    <a:lumMod val="80000"/>
                  </a:schemeClr>
                </a:solidFill>
              </a:ln>
              <a:effectLst/>
            </c:spPr>
          </c:marker>
          <c:val>
            <c:numRef>
              <c:f>'Monthly - IBC-Br'!$AC$21:$AN$21</c:f>
              <c:numCache>
                <c:formatCode>General</c:formatCode>
                <c:ptCount val="12"/>
                <c:pt idx="0">
                  <c:v>1.00128647873159</c:v>
                </c:pt>
                <c:pt idx="1">
                  <c:v>1.0151738711226299</c:v>
                </c:pt>
                <c:pt idx="2">
                  <c:v>0.99693867426282001</c:v>
                </c:pt>
                <c:pt idx="3">
                  <c:v>0.99926835823052096</c:v>
                </c:pt>
                <c:pt idx="4">
                  <c:v>#N/A</c:v>
                </c:pt>
                <c:pt idx="5">
                  <c:v>#N/A</c:v>
                </c:pt>
                <c:pt idx="6">
                  <c:v>#N/A</c:v>
                </c:pt>
                <c:pt idx="7">
                  <c:v>#N/A</c:v>
                </c:pt>
                <c:pt idx="8">
                  <c:v>#N/A</c:v>
                </c:pt>
                <c:pt idx="9">
                  <c:v>#N/A</c:v>
                </c:pt>
                <c:pt idx="10">
                  <c:v>#N/A</c:v>
                </c:pt>
                <c:pt idx="11">
                  <c:v>#N/A</c:v>
                </c:pt>
              </c:numCache>
            </c:numRef>
          </c:val>
          <c:smooth val="0"/>
          <c:extLst>
            <c:ext xmlns:c16="http://schemas.microsoft.com/office/drawing/2014/chart" uri="{C3380CC4-5D6E-409C-BE32-E72D297353CC}">
              <c16:uniqueId val="{0000001A-23B1-42F8-9DAB-3CB7A3F0AF1E}"/>
            </c:ext>
          </c:extLst>
        </c:ser>
        <c:dLbls>
          <c:showLegendKey val="0"/>
          <c:showVal val="0"/>
          <c:showCatName val="0"/>
          <c:showSerName val="0"/>
          <c:showPercent val="0"/>
          <c:showBubbleSize val="0"/>
        </c:dLbls>
        <c:marker val="1"/>
        <c:smooth val="0"/>
        <c:axId val="51724591"/>
        <c:axId val="51719599"/>
      </c:lineChart>
      <c:catAx>
        <c:axId val="51724591"/>
        <c:scaling>
          <c:orientation val="minMax"/>
        </c:scaling>
        <c:delete val="0"/>
        <c:axPos val="b"/>
        <c:majorTickMark val="none"/>
        <c:minorTickMark val="none"/>
        <c:tickLblPos val="low"/>
        <c:spPr>
          <a:noFill/>
          <a:ln w="25400" cap="flat" cmpd="sng" algn="ctr">
            <a:solidFill>
              <a:schemeClr val="tx1"/>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51719599"/>
        <c:crosses val="autoZero"/>
        <c:auto val="1"/>
        <c:lblAlgn val="ctr"/>
        <c:lblOffset val="100"/>
        <c:noMultiLvlLbl val="0"/>
      </c:catAx>
      <c:valAx>
        <c:axId val="51719599"/>
        <c:scaling>
          <c:orientation val="minMax"/>
          <c:min val="0.94000000000000006"/>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51724591"/>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pt-BR"/>
              <a:t>Industrial</a:t>
            </a:r>
            <a:r>
              <a:rPr lang="pt-BR" baseline="0"/>
              <a:t> Production</a:t>
            </a:r>
            <a:endParaRPr lang="pt-B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pt-BR"/>
        </a:p>
      </c:txPr>
    </c:title>
    <c:autoTitleDeleted val="0"/>
    <c:plotArea>
      <c:layout/>
      <c:lineChart>
        <c:grouping val="standard"/>
        <c:varyColors val="0"/>
        <c:ser>
          <c:idx val="0"/>
          <c:order val="0"/>
          <c:tx>
            <c:strRef>
              <c:f>'Monthly - Ind Prod'!$B$2</c:f>
              <c:strCache>
                <c:ptCount val="1"/>
                <c:pt idx="0">
                  <c:v>Industrial Production</c:v>
                </c:pt>
              </c:strCache>
            </c:strRef>
          </c:tx>
          <c:spPr>
            <a:ln w="28575" cap="rnd">
              <a:solidFill>
                <a:schemeClr val="accent1"/>
              </a:solidFill>
              <a:round/>
            </a:ln>
            <a:effectLst/>
          </c:spPr>
          <c:marker>
            <c:symbol val="none"/>
          </c:marker>
          <c:cat>
            <c:numRef>
              <c:f>'Monthly - Ind Prod'!$A$3:$A$242</c:f>
              <c:numCache>
                <c:formatCode>[$-416]mmm\-yy;@</c:formatCode>
                <c:ptCount val="240"/>
                <c:pt idx="0">
                  <c:v>37257</c:v>
                </c:pt>
                <c:pt idx="1">
                  <c:v>37288</c:v>
                </c:pt>
                <c:pt idx="2">
                  <c:v>37316</c:v>
                </c:pt>
                <c:pt idx="3">
                  <c:v>37347</c:v>
                </c:pt>
                <c:pt idx="4">
                  <c:v>37377</c:v>
                </c:pt>
                <c:pt idx="5">
                  <c:v>37408</c:v>
                </c:pt>
                <c:pt idx="6">
                  <c:v>37438</c:v>
                </c:pt>
                <c:pt idx="7">
                  <c:v>37469</c:v>
                </c:pt>
                <c:pt idx="8">
                  <c:v>37500</c:v>
                </c:pt>
                <c:pt idx="9">
                  <c:v>37530</c:v>
                </c:pt>
                <c:pt idx="10">
                  <c:v>37561</c:v>
                </c:pt>
                <c:pt idx="11">
                  <c:v>37591</c:v>
                </c:pt>
                <c:pt idx="12">
                  <c:v>37622</c:v>
                </c:pt>
                <c:pt idx="13">
                  <c:v>37653</c:v>
                </c:pt>
                <c:pt idx="14">
                  <c:v>37681</c:v>
                </c:pt>
                <c:pt idx="15">
                  <c:v>37712</c:v>
                </c:pt>
                <c:pt idx="16">
                  <c:v>37742</c:v>
                </c:pt>
                <c:pt idx="17">
                  <c:v>37773</c:v>
                </c:pt>
                <c:pt idx="18">
                  <c:v>37803</c:v>
                </c:pt>
                <c:pt idx="19">
                  <c:v>37834</c:v>
                </c:pt>
                <c:pt idx="20">
                  <c:v>37865</c:v>
                </c:pt>
                <c:pt idx="21">
                  <c:v>37895</c:v>
                </c:pt>
                <c:pt idx="22">
                  <c:v>37926</c:v>
                </c:pt>
                <c:pt idx="23">
                  <c:v>37956</c:v>
                </c:pt>
                <c:pt idx="24">
                  <c:v>37987</c:v>
                </c:pt>
                <c:pt idx="25">
                  <c:v>38018</c:v>
                </c:pt>
                <c:pt idx="26">
                  <c:v>38047</c:v>
                </c:pt>
                <c:pt idx="27">
                  <c:v>38078</c:v>
                </c:pt>
                <c:pt idx="28">
                  <c:v>38108</c:v>
                </c:pt>
                <c:pt idx="29">
                  <c:v>38139</c:v>
                </c:pt>
                <c:pt idx="30">
                  <c:v>38169</c:v>
                </c:pt>
                <c:pt idx="31">
                  <c:v>38200</c:v>
                </c:pt>
                <c:pt idx="32">
                  <c:v>38231</c:v>
                </c:pt>
                <c:pt idx="33">
                  <c:v>38261</c:v>
                </c:pt>
                <c:pt idx="34">
                  <c:v>38292</c:v>
                </c:pt>
                <c:pt idx="35">
                  <c:v>38322</c:v>
                </c:pt>
                <c:pt idx="36">
                  <c:v>38353</c:v>
                </c:pt>
                <c:pt idx="37">
                  <c:v>38384</c:v>
                </c:pt>
                <c:pt idx="38">
                  <c:v>38412</c:v>
                </c:pt>
                <c:pt idx="39">
                  <c:v>38443</c:v>
                </c:pt>
                <c:pt idx="40">
                  <c:v>38473</c:v>
                </c:pt>
                <c:pt idx="41">
                  <c:v>38504</c:v>
                </c:pt>
                <c:pt idx="42">
                  <c:v>38534</c:v>
                </c:pt>
                <c:pt idx="43">
                  <c:v>38565</c:v>
                </c:pt>
                <c:pt idx="44">
                  <c:v>38596</c:v>
                </c:pt>
                <c:pt idx="45">
                  <c:v>38626</c:v>
                </c:pt>
                <c:pt idx="46">
                  <c:v>38657</c:v>
                </c:pt>
                <c:pt idx="47">
                  <c:v>38687</c:v>
                </c:pt>
                <c:pt idx="48">
                  <c:v>38718</c:v>
                </c:pt>
                <c:pt idx="49">
                  <c:v>38749</c:v>
                </c:pt>
                <c:pt idx="50">
                  <c:v>38777</c:v>
                </c:pt>
                <c:pt idx="51">
                  <c:v>38808</c:v>
                </c:pt>
                <c:pt idx="52">
                  <c:v>38838</c:v>
                </c:pt>
                <c:pt idx="53">
                  <c:v>38869</c:v>
                </c:pt>
                <c:pt idx="54">
                  <c:v>38899</c:v>
                </c:pt>
                <c:pt idx="55">
                  <c:v>38930</c:v>
                </c:pt>
                <c:pt idx="56">
                  <c:v>38961</c:v>
                </c:pt>
                <c:pt idx="57">
                  <c:v>38991</c:v>
                </c:pt>
                <c:pt idx="58">
                  <c:v>39022</c:v>
                </c:pt>
                <c:pt idx="59">
                  <c:v>39052</c:v>
                </c:pt>
                <c:pt idx="60">
                  <c:v>39083</c:v>
                </c:pt>
                <c:pt idx="61">
                  <c:v>39114</c:v>
                </c:pt>
                <c:pt idx="62">
                  <c:v>39142</c:v>
                </c:pt>
                <c:pt idx="63">
                  <c:v>39173</c:v>
                </c:pt>
                <c:pt idx="64">
                  <c:v>39203</c:v>
                </c:pt>
                <c:pt idx="65">
                  <c:v>39234</c:v>
                </c:pt>
                <c:pt idx="66">
                  <c:v>39264</c:v>
                </c:pt>
                <c:pt idx="67">
                  <c:v>39295</c:v>
                </c:pt>
                <c:pt idx="68">
                  <c:v>39326</c:v>
                </c:pt>
                <c:pt idx="69">
                  <c:v>39356</c:v>
                </c:pt>
                <c:pt idx="70">
                  <c:v>39387</c:v>
                </c:pt>
                <c:pt idx="71">
                  <c:v>39417</c:v>
                </c:pt>
                <c:pt idx="72">
                  <c:v>39448</c:v>
                </c:pt>
                <c:pt idx="73">
                  <c:v>39479</c:v>
                </c:pt>
                <c:pt idx="74">
                  <c:v>39508</c:v>
                </c:pt>
                <c:pt idx="75">
                  <c:v>39539</c:v>
                </c:pt>
                <c:pt idx="76">
                  <c:v>39569</c:v>
                </c:pt>
                <c:pt idx="77">
                  <c:v>39600</c:v>
                </c:pt>
                <c:pt idx="78">
                  <c:v>39630</c:v>
                </c:pt>
                <c:pt idx="79">
                  <c:v>39661</c:v>
                </c:pt>
                <c:pt idx="80">
                  <c:v>39692</c:v>
                </c:pt>
                <c:pt idx="81">
                  <c:v>39722</c:v>
                </c:pt>
                <c:pt idx="82">
                  <c:v>39753</c:v>
                </c:pt>
                <c:pt idx="83">
                  <c:v>39783</c:v>
                </c:pt>
                <c:pt idx="84">
                  <c:v>39814</c:v>
                </c:pt>
                <c:pt idx="85">
                  <c:v>39845</c:v>
                </c:pt>
                <c:pt idx="86">
                  <c:v>39873</c:v>
                </c:pt>
                <c:pt idx="87">
                  <c:v>39904</c:v>
                </c:pt>
                <c:pt idx="88">
                  <c:v>39934</c:v>
                </c:pt>
                <c:pt idx="89">
                  <c:v>39965</c:v>
                </c:pt>
                <c:pt idx="90">
                  <c:v>39995</c:v>
                </c:pt>
                <c:pt idx="91">
                  <c:v>40026</c:v>
                </c:pt>
                <c:pt idx="92">
                  <c:v>40057</c:v>
                </c:pt>
                <c:pt idx="93">
                  <c:v>40087</c:v>
                </c:pt>
                <c:pt idx="94">
                  <c:v>40118</c:v>
                </c:pt>
                <c:pt idx="95">
                  <c:v>40148</c:v>
                </c:pt>
                <c:pt idx="96">
                  <c:v>40179</c:v>
                </c:pt>
                <c:pt idx="97">
                  <c:v>40210</c:v>
                </c:pt>
                <c:pt idx="98">
                  <c:v>40238</c:v>
                </c:pt>
                <c:pt idx="99">
                  <c:v>40269</c:v>
                </c:pt>
                <c:pt idx="100">
                  <c:v>40299</c:v>
                </c:pt>
                <c:pt idx="101">
                  <c:v>40330</c:v>
                </c:pt>
                <c:pt idx="102">
                  <c:v>40360</c:v>
                </c:pt>
                <c:pt idx="103">
                  <c:v>40391</c:v>
                </c:pt>
                <c:pt idx="104">
                  <c:v>40422</c:v>
                </c:pt>
                <c:pt idx="105">
                  <c:v>40452</c:v>
                </c:pt>
                <c:pt idx="106">
                  <c:v>40483</c:v>
                </c:pt>
                <c:pt idx="107">
                  <c:v>40513</c:v>
                </c:pt>
                <c:pt idx="108">
                  <c:v>40544</c:v>
                </c:pt>
                <c:pt idx="109">
                  <c:v>40575</c:v>
                </c:pt>
                <c:pt idx="110">
                  <c:v>40603</c:v>
                </c:pt>
                <c:pt idx="111">
                  <c:v>40634</c:v>
                </c:pt>
                <c:pt idx="112">
                  <c:v>40664</c:v>
                </c:pt>
                <c:pt idx="113">
                  <c:v>40695</c:v>
                </c:pt>
                <c:pt idx="114">
                  <c:v>40725</c:v>
                </c:pt>
                <c:pt idx="115">
                  <c:v>40756</c:v>
                </c:pt>
                <c:pt idx="116">
                  <c:v>40787</c:v>
                </c:pt>
                <c:pt idx="117">
                  <c:v>40817</c:v>
                </c:pt>
                <c:pt idx="118">
                  <c:v>40848</c:v>
                </c:pt>
                <c:pt idx="119">
                  <c:v>40878</c:v>
                </c:pt>
                <c:pt idx="120">
                  <c:v>40909</c:v>
                </c:pt>
                <c:pt idx="121">
                  <c:v>40940</c:v>
                </c:pt>
                <c:pt idx="122">
                  <c:v>40969</c:v>
                </c:pt>
                <c:pt idx="123">
                  <c:v>41000</c:v>
                </c:pt>
                <c:pt idx="124">
                  <c:v>41030</c:v>
                </c:pt>
                <c:pt idx="125">
                  <c:v>41061</c:v>
                </c:pt>
                <c:pt idx="126">
                  <c:v>41091</c:v>
                </c:pt>
                <c:pt idx="127">
                  <c:v>41122</c:v>
                </c:pt>
                <c:pt idx="128">
                  <c:v>41153</c:v>
                </c:pt>
                <c:pt idx="129">
                  <c:v>41183</c:v>
                </c:pt>
                <c:pt idx="130">
                  <c:v>41214</c:v>
                </c:pt>
                <c:pt idx="131">
                  <c:v>41244</c:v>
                </c:pt>
                <c:pt idx="132">
                  <c:v>41275</c:v>
                </c:pt>
                <c:pt idx="133">
                  <c:v>41306</c:v>
                </c:pt>
                <c:pt idx="134">
                  <c:v>41334</c:v>
                </c:pt>
                <c:pt idx="135">
                  <c:v>41365</c:v>
                </c:pt>
                <c:pt idx="136">
                  <c:v>41395</c:v>
                </c:pt>
                <c:pt idx="137">
                  <c:v>41426</c:v>
                </c:pt>
                <c:pt idx="138">
                  <c:v>41456</c:v>
                </c:pt>
                <c:pt idx="139">
                  <c:v>41487</c:v>
                </c:pt>
                <c:pt idx="140">
                  <c:v>41518</c:v>
                </c:pt>
                <c:pt idx="141">
                  <c:v>41548</c:v>
                </c:pt>
                <c:pt idx="142">
                  <c:v>41579</c:v>
                </c:pt>
                <c:pt idx="143">
                  <c:v>41609</c:v>
                </c:pt>
                <c:pt idx="144">
                  <c:v>41640</c:v>
                </c:pt>
                <c:pt idx="145">
                  <c:v>41671</c:v>
                </c:pt>
                <c:pt idx="146">
                  <c:v>41699</c:v>
                </c:pt>
                <c:pt idx="147">
                  <c:v>41730</c:v>
                </c:pt>
                <c:pt idx="148">
                  <c:v>41760</c:v>
                </c:pt>
                <c:pt idx="149">
                  <c:v>41791</c:v>
                </c:pt>
                <c:pt idx="150">
                  <c:v>41821</c:v>
                </c:pt>
                <c:pt idx="151">
                  <c:v>41852</c:v>
                </c:pt>
                <c:pt idx="152">
                  <c:v>41883</c:v>
                </c:pt>
                <c:pt idx="153">
                  <c:v>41913</c:v>
                </c:pt>
                <c:pt idx="154">
                  <c:v>41944</c:v>
                </c:pt>
                <c:pt idx="155">
                  <c:v>41974</c:v>
                </c:pt>
                <c:pt idx="156">
                  <c:v>42005</c:v>
                </c:pt>
                <c:pt idx="157">
                  <c:v>42036</c:v>
                </c:pt>
                <c:pt idx="158">
                  <c:v>42064</c:v>
                </c:pt>
                <c:pt idx="159">
                  <c:v>42095</c:v>
                </c:pt>
                <c:pt idx="160">
                  <c:v>42125</c:v>
                </c:pt>
                <c:pt idx="161">
                  <c:v>42156</c:v>
                </c:pt>
                <c:pt idx="162">
                  <c:v>42186</c:v>
                </c:pt>
                <c:pt idx="163">
                  <c:v>42217</c:v>
                </c:pt>
                <c:pt idx="164">
                  <c:v>42248</c:v>
                </c:pt>
                <c:pt idx="165">
                  <c:v>42278</c:v>
                </c:pt>
                <c:pt idx="166">
                  <c:v>42309</c:v>
                </c:pt>
                <c:pt idx="167">
                  <c:v>42339</c:v>
                </c:pt>
                <c:pt idx="168">
                  <c:v>42370</c:v>
                </c:pt>
                <c:pt idx="169">
                  <c:v>42401</c:v>
                </c:pt>
                <c:pt idx="170">
                  <c:v>42430</c:v>
                </c:pt>
                <c:pt idx="171">
                  <c:v>42461</c:v>
                </c:pt>
                <c:pt idx="172">
                  <c:v>42491</c:v>
                </c:pt>
                <c:pt idx="173">
                  <c:v>42522</c:v>
                </c:pt>
                <c:pt idx="174">
                  <c:v>42552</c:v>
                </c:pt>
                <c:pt idx="175">
                  <c:v>42583</c:v>
                </c:pt>
                <c:pt idx="176">
                  <c:v>42614</c:v>
                </c:pt>
                <c:pt idx="177">
                  <c:v>42644</c:v>
                </c:pt>
                <c:pt idx="178">
                  <c:v>42675</c:v>
                </c:pt>
                <c:pt idx="179">
                  <c:v>42705</c:v>
                </c:pt>
                <c:pt idx="180">
                  <c:v>42736</c:v>
                </c:pt>
                <c:pt idx="181">
                  <c:v>42767</c:v>
                </c:pt>
                <c:pt idx="182">
                  <c:v>42795</c:v>
                </c:pt>
                <c:pt idx="183">
                  <c:v>42826</c:v>
                </c:pt>
                <c:pt idx="184">
                  <c:v>42856</c:v>
                </c:pt>
                <c:pt idx="185">
                  <c:v>42887</c:v>
                </c:pt>
                <c:pt idx="186">
                  <c:v>42917</c:v>
                </c:pt>
                <c:pt idx="187">
                  <c:v>42948</c:v>
                </c:pt>
                <c:pt idx="188">
                  <c:v>42979</c:v>
                </c:pt>
                <c:pt idx="189">
                  <c:v>43009</c:v>
                </c:pt>
                <c:pt idx="190">
                  <c:v>43040</c:v>
                </c:pt>
                <c:pt idx="191">
                  <c:v>43070</c:v>
                </c:pt>
                <c:pt idx="192">
                  <c:v>43101</c:v>
                </c:pt>
                <c:pt idx="193">
                  <c:v>43132</c:v>
                </c:pt>
                <c:pt idx="194">
                  <c:v>43160</c:v>
                </c:pt>
                <c:pt idx="195">
                  <c:v>43191</c:v>
                </c:pt>
                <c:pt idx="196">
                  <c:v>43221</c:v>
                </c:pt>
                <c:pt idx="197">
                  <c:v>43252</c:v>
                </c:pt>
                <c:pt idx="198">
                  <c:v>43282</c:v>
                </c:pt>
                <c:pt idx="199">
                  <c:v>43313</c:v>
                </c:pt>
                <c:pt idx="200">
                  <c:v>43344</c:v>
                </c:pt>
                <c:pt idx="201">
                  <c:v>43374</c:v>
                </c:pt>
                <c:pt idx="202">
                  <c:v>43405</c:v>
                </c:pt>
                <c:pt idx="203">
                  <c:v>43435</c:v>
                </c:pt>
                <c:pt idx="204">
                  <c:v>43466</c:v>
                </c:pt>
                <c:pt idx="205">
                  <c:v>43497</c:v>
                </c:pt>
                <c:pt idx="206">
                  <c:v>43525</c:v>
                </c:pt>
                <c:pt idx="207">
                  <c:v>43556</c:v>
                </c:pt>
                <c:pt idx="208">
                  <c:v>43586</c:v>
                </c:pt>
                <c:pt idx="209">
                  <c:v>43617</c:v>
                </c:pt>
                <c:pt idx="210">
                  <c:v>43647</c:v>
                </c:pt>
                <c:pt idx="211">
                  <c:v>43678</c:v>
                </c:pt>
                <c:pt idx="212">
                  <c:v>43709</c:v>
                </c:pt>
                <c:pt idx="213">
                  <c:v>43739</c:v>
                </c:pt>
                <c:pt idx="214">
                  <c:v>43770</c:v>
                </c:pt>
                <c:pt idx="215">
                  <c:v>43800</c:v>
                </c:pt>
                <c:pt idx="216">
                  <c:v>43831</c:v>
                </c:pt>
                <c:pt idx="217">
                  <c:v>43862</c:v>
                </c:pt>
                <c:pt idx="218">
                  <c:v>43891</c:v>
                </c:pt>
                <c:pt idx="219">
                  <c:v>43922</c:v>
                </c:pt>
                <c:pt idx="220">
                  <c:v>43952</c:v>
                </c:pt>
                <c:pt idx="221">
                  <c:v>43983</c:v>
                </c:pt>
                <c:pt idx="222">
                  <c:v>44013</c:v>
                </c:pt>
                <c:pt idx="223">
                  <c:v>44044</c:v>
                </c:pt>
                <c:pt idx="224">
                  <c:v>44075</c:v>
                </c:pt>
                <c:pt idx="225">
                  <c:v>44105</c:v>
                </c:pt>
                <c:pt idx="226">
                  <c:v>44136</c:v>
                </c:pt>
                <c:pt idx="227">
                  <c:v>44166</c:v>
                </c:pt>
                <c:pt idx="228">
                  <c:v>44197</c:v>
                </c:pt>
                <c:pt idx="229">
                  <c:v>44228</c:v>
                </c:pt>
                <c:pt idx="230">
                  <c:v>44256</c:v>
                </c:pt>
                <c:pt idx="231">
                  <c:v>44287</c:v>
                </c:pt>
                <c:pt idx="232">
                  <c:v>44317</c:v>
                </c:pt>
                <c:pt idx="233">
                  <c:v>44348</c:v>
                </c:pt>
                <c:pt idx="234">
                  <c:v>44378</c:v>
                </c:pt>
                <c:pt idx="235">
                  <c:v>44409</c:v>
                </c:pt>
                <c:pt idx="236">
                  <c:v>44440</c:v>
                </c:pt>
                <c:pt idx="237">
                  <c:v>44470</c:v>
                </c:pt>
                <c:pt idx="238">
                  <c:v>44501</c:v>
                </c:pt>
                <c:pt idx="239">
                  <c:v>44531</c:v>
                </c:pt>
              </c:numCache>
            </c:numRef>
          </c:cat>
          <c:val>
            <c:numRef>
              <c:f>'Monthly - Ind Prod'!$B$3:$B$242</c:f>
              <c:numCache>
                <c:formatCode>0.0</c:formatCode>
                <c:ptCount val="240"/>
                <c:pt idx="0">
                  <c:v>72.400000000000006</c:v>
                </c:pt>
                <c:pt idx="1">
                  <c:v>69.7</c:v>
                </c:pt>
                <c:pt idx="2">
                  <c:v>77.400000000000006</c:v>
                </c:pt>
                <c:pt idx="3">
                  <c:v>79.599999999999994</c:v>
                </c:pt>
                <c:pt idx="4">
                  <c:v>80.400000000000006</c:v>
                </c:pt>
                <c:pt idx="5">
                  <c:v>77.5</c:v>
                </c:pt>
                <c:pt idx="6">
                  <c:v>83.3</c:v>
                </c:pt>
                <c:pt idx="7">
                  <c:v>83.6</c:v>
                </c:pt>
                <c:pt idx="8">
                  <c:v>82.1</c:v>
                </c:pt>
                <c:pt idx="9">
                  <c:v>89.2</c:v>
                </c:pt>
                <c:pt idx="10">
                  <c:v>83.9</c:v>
                </c:pt>
                <c:pt idx="11">
                  <c:v>74.599999999999994</c:v>
                </c:pt>
                <c:pt idx="12">
                  <c:v>74</c:v>
                </c:pt>
                <c:pt idx="13">
                  <c:v>71.8</c:v>
                </c:pt>
                <c:pt idx="14">
                  <c:v>77.400000000000006</c:v>
                </c:pt>
                <c:pt idx="15">
                  <c:v>76.5</c:v>
                </c:pt>
                <c:pt idx="16">
                  <c:v>79.7</c:v>
                </c:pt>
                <c:pt idx="17">
                  <c:v>76.3</c:v>
                </c:pt>
                <c:pt idx="18">
                  <c:v>81.3</c:v>
                </c:pt>
                <c:pt idx="19">
                  <c:v>81.599999999999994</c:v>
                </c:pt>
                <c:pt idx="20">
                  <c:v>85.7</c:v>
                </c:pt>
                <c:pt idx="21">
                  <c:v>90</c:v>
                </c:pt>
                <c:pt idx="22">
                  <c:v>84.6</c:v>
                </c:pt>
                <c:pt idx="23">
                  <c:v>77.900000000000006</c:v>
                </c:pt>
                <c:pt idx="24">
                  <c:v>76.8</c:v>
                </c:pt>
                <c:pt idx="25">
                  <c:v>74</c:v>
                </c:pt>
                <c:pt idx="26">
                  <c:v>86.9</c:v>
                </c:pt>
                <c:pt idx="27">
                  <c:v>82.2</c:v>
                </c:pt>
                <c:pt idx="28">
                  <c:v>86.3</c:v>
                </c:pt>
                <c:pt idx="29">
                  <c:v>86.1</c:v>
                </c:pt>
                <c:pt idx="30">
                  <c:v>90.1</c:v>
                </c:pt>
                <c:pt idx="31">
                  <c:v>92.1</c:v>
                </c:pt>
                <c:pt idx="32">
                  <c:v>92.1</c:v>
                </c:pt>
                <c:pt idx="33">
                  <c:v>93.5</c:v>
                </c:pt>
                <c:pt idx="34">
                  <c:v>91.8</c:v>
                </c:pt>
                <c:pt idx="35">
                  <c:v>84.7</c:v>
                </c:pt>
                <c:pt idx="36">
                  <c:v>81</c:v>
                </c:pt>
                <c:pt idx="37">
                  <c:v>76.400000000000006</c:v>
                </c:pt>
                <c:pt idx="38">
                  <c:v>88</c:v>
                </c:pt>
                <c:pt idx="39">
                  <c:v>87</c:v>
                </c:pt>
                <c:pt idx="40">
                  <c:v>91.1</c:v>
                </c:pt>
                <c:pt idx="41">
                  <c:v>91.4</c:v>
                </c:pt>
                <c:pt idx="42">
                  <c:v>90.5</c:v>
                </c:pt>
                <c:pt idx="43">
                  <c:v>95.6</c:v>
                </c:pt>
                <c:pt idx="44">
                  <c:v>92</c:v>
                </c:pt>
                <c:pt idx="45">
                  <c:v>93.7</c:v>
                </c:pt>
                <c:pt idx="46">
                  <c:v>92.4</c:v>
                </c:pt>
                <c:pt idx="47">
                  <c:v>86.6</c:v>
                </c:pt>
                <c:pt idx="48">
                  <c:v>83.7</c:v>
                </c:pt>
                <c:pt idx="49">
                  <c:v>80.2</c:v>
                </c:pt>
                <c:pt idx="50">
                  <c:v>92.4</c:v>
                </c:pt>
                <c:pt idx="51">
                  <c:v>85.7</c:v>
                </c:pt>
                <c:pt idx="52">
                  <c:v>95.4</c:v>
                </c:pt>
                <c:pt idx="53">
                  <c:v>91.1</c:v>
                </c:pt>
                <c:pt idx="54">
                  <c:v>93.8</c:v>
                </c:pt>
                <c:pt idx="55">
                  <c:v>98.6</c:v>
                </c:pt>
                <c:pt idx="56">
                  <c:v>93.2</c:v>
                </c:pt>
                <c:pt idx="57">
                  <c:v>97.5</c:v>
                </c:pt>
                <c:pt idx="58">
                  <c:v>95.9</c:v>
                </c:pt>
                <c:pt idx="59">
                  <c:v>87</c:v>
                </c:pt>
                <c:pt idx="60">
                  <c:v>87</c:v>
                </c:pt>
                <c:pt idx="61">
                  <c:v>82.6</c:v>
                </c:pt>
                <c:pt idx="62">
                  <c:v>96.4</c:v>
                </c:pt>
                <c:pt idx="63">
                  <c:v>90.6</c:v>
                </c:pt>
                <c:pt idx="64">
                  <c:v>99.9</c:v>
                </c:pt>
                <c:pt idx="65">
                  <c:v>96.9</c:v>
                </c:pt>
                <c:pt idx="66">
                  <c:v>99.8</c:v>
                </c:pt>
                <c:pt idx="67">
                  <c:v>104.9</c:v>
                </c:pt>
                <c:pt idx="68">
                  <c:v>98.4</c:v>
                </c:pt>
                <c:pt idx="69">
                  <c:v>107.8</c:v>
                </c:pt>
                <c:pt idx="70">
                  <c:v>102.4</c:v>
                </c:pt>
                <c:pt idx="71">
                  <c:v>92.6</c:v>
                </c:pt>
                <c:pt idx="72">
                  <c:v>94.8</c:v>
                </c:pt>
                <c:pt idx="73">
                  <c:v>91.1</c:v>
                </c:pt>
                <c:pt idx="74">
                  <c:v>97.7</c:v>
                </c:pt>
                <c:pt idx="75">
                  <c:v>99.2</c:v>
                </c:pt>
                <c:pt idx="76">
                  <c:v>102.5</c:v>
                </c:pt>
                <c:pt idx="77">
                  <c:v>103.3</c:v>
                </c:pt>
                <c:pt idx="78">
                  <c:v>108.5</c:v>
                </c:pt>
                <c:pt idx="79">
                  <c:v>106.9</c:v>
                </c:pt>
                <c:pt idx="80">
                  <c:v>107.3</c:v>
                </c:pt>
                <c:pt idx="81">
                  <c:v>108.4</c:v>
                </c:pt>
                <c:pt idx="82">
                  <c:v>96.2</c:v>
                </c:pt>
                <c:pt idx="83">
                  <c:v>79.099999999999994</c:v>
                </c:pt>
                <c:pt idx="84">
                  <c:v>78.7</c:v>
                </c:pt>
                <c:pt idx="85">
                  <c:v>76.099999999999994</c:v>
                </c:pt>
                <c:pt idx="86">
                  <c:v>88.6</c:v>
                </c:pt>
                <c:pt idx="87">
                  <c:v>85.2</c:v>
                </c:pt>
                <c:pt idx="88">
                  <c:v>91.3</c:v>
                </c:pt>
                <c:pt idx="89">
                  <c:v>92.2</c:v>
                </c:pt>
                <c:pt idx="90">
                  <c:v>97.7</c:v>
                </c:pt>
                <c:pt idx="91">
                  <c:v>99.6</c:v>
                </c:pt>
                <c:pt idx="92">
                  <c:v>99.4</c:v>
                </c:pt>
                <c:pt idx="93">
                  <c:v>105.6</c:v>
                </c:pt>
                <c:pt idx="94">
                  <c:v>101.4</c:v>
                </c:pt>
                <c:pt idx="95">
                  <c:v>94.1</c:v>
                </c:pt>
                <c:pt idx="96">
                  <c:v>91.2</c:v>
                </c:pt>
                <c:pt idx="97">
                  <c:v>89</c:v>
                </c:pt>
                <c:pt idx="98">
                  <c:v>105.1</c:v>
                </c:pt>
                <c:pt idx="99">
                  <c:v>99.3</c:v>
                </c:pt>
                <c:pt idx="100">
                  <c:v>104.3</c:v>
                </c:pt>
                <c:pt idx="101">
                  <c:v>102.5</c:v>
                </c:pt>
                <c:pt idx="102">
                  <c:v>106.9</c:v>
                </c:pt>
                <c:pt idx="103">
                  <c:v>108.1</c:v>
                </c:pt>
                <c:pt idx="104">
                  <c:v>105.8</c:v>
                </c:pt>
                <c:pt idx="105">
                  <c:v>107.7</c:v>
                </c:pt>
                <c:pt idx="106">
                  <c:v>106.8</c:v>
                </c:pt>
                <c:pt idx="107">
                  <c:v>96.6</c:v>
                </c:pt>
                <c:pt idx="108">
                  <c:v>93.2</c:v>
                </c:pt>
                <c:pt idx="109">
                  <c:v>95.4</c:v>
                </c:pt>
                <c:pt idx="110">
                  <c:v>104.4</c:v>
                </c:pt>
                <c:pt idx="111">
                  <c:v>97.5</c:v>
                </c:pt>
                <c:pt idx="112">
                  <c:v>107.1</c:v>
                </c:pt>
                <c:pt idx="113">
                  <c:v>102.8</c:v>
                </c:pt>
                <c:pt idx="114">
                  <c:v>106.1</c:v>
                </c:pt>
                <c:pt idx="115">
                  <c:v>110.8</c:v>
                </c:pt>
                <c:pt idx="116">
                  <c:v>104.8</c:v>
                </c:pt>
                <c:pt idx="117">
                  <c:v>106.3</c:v>
                </c:pt>
                <c:pt idx="118">
                  <c:v>104.2</c:v>
                </c:pt>
                <c:pt idx="119">
                  <c:v>95.7</c:v>
                </c:pt>
                <c:pt idx="120">
                  <c:v>88.7</c:v>
                </c:pt>
                <c:pt idx="121">
                  <c:v>89.8</c:v>
                </c:pt>
                <c:pt idx="122">
                  <c:v>99.7</c:v>
                </c:pt>
                <c:pt idx="123">
                  <c:v>92.8</c:v>
                </c:pt>
                <c:pt idx="124">
                  <c:v>102.5</c:v>
                </c:pt>
                <c:pt idx="125">
                  <c:v>98.3</c:v>
                </c:pt>
                <c:pt idx="126">
                  <c:v>104.5</c:v>
                </c:pt>
                <c:pt idx="127">
                  <c:v>111.5</c:v>
                </c:pt>
                <c:pt idx="128">
                  <c:v>103.4</c:v>
                </c:pt>
                <c:pt idx="129">
                  <c:v>111.8</c:v>
                </c:pt>
                <c:pt idx="130">
                  <c:v>104.8</c:v>
                </c:pt>
                <c:pt idx="131">
                  <c:v>92.2</c:v>
                </c:pt>
                <c:pt idx="132">
                  <c:v>94.5</c:v>
                </c:pt>
                <c:pt idx="133">
                  <c:v>88.1</c:v>
                </c:pt>
                <c:pt idx="134">
                  <c:v>97.7</c:v>
                </c:pt>
                <c:pt idx="135">
                  <c:v>101.8</c:v>
                </c:pt>
                <c:pt idx="136">
                  <c:v>105</c:v>
                </c:pt>
                <c:pt idx="137">
                  <c:v>101.7</c:v>
                </c:pt>
                <c:pt idx="138">
                  <c:v>108</c:v>
                </c:pt>
                <c:pt idx="139">
                  <c:v>112</c:v>
                </c:pt>
                <c:pt idx="140">
                  <c:v>107.3</c:v>
                </c:pt>
                <c:pt idx="141">
                  <c:v>112.6</c:v>
                </c:pt>
                <c:pt idx="142">
                  <c:v>106.1</c:v>
                </c:pt>
                <c:pt idx="143">
                  <c:v>90.1</c:v>
                </c:pt>
                <c:pt idx="144">
                  <c:v>92.6</c:v>
                </c:pt>
                <c:pt idx="145">
                  <c:v>92.3</c:v>
                </c:pt>
                <c:pt idx="146">
                  <c:v>97.3</c:v>
                </c:pt>
                <c:pt idx="147">
                  <c:v>96</c:v>
                </c:pt>
                <c:pt idx="148">
                  <c:v>101.7</c:v>
                </c:pt>
                <c:pt idx="149">
                  <c:v>94.9</c:v>
                </c:pt>
                <c:pt idx="150">
                  <c:v>104.4</c:v>
                </c:pt>
                <c:pt idx="151">
                  <c:v>106.3</c:v>
                </c:pt>
                <c:pt idx="152">
                  <c:v>105.6</c:v>
                </c:pt>
                <c:pt idx="153">
                  <c:v>109.3</c:v>
                </c:pt>
                <c:pt idx="154">
                  <c:v>99.8</c:v>
                </c:pt>
                <c:pt idx="155">
                  <c:v>87.7</c:v>
                </c:pt>
                <c:pt idx="156">
                  <c:v>88.1</c:v>
                </c:pt>
                <c:pt idx="157">
                  <c:v>83.7</c:v>
                </c:pt>
                <c:pt idx="158">
                  <c:v>94.3</c:v>
                </c:pt>
                <c:pt idx="159">
                  <c:v>88.8</c:v>
                </c:pt>
                <c:pt idx="160">
                  <c:v>93.1</c:v>
                </c:pt>
                <c:pt idx="161">
                  <c:v>92.5</c:v>
                </c:pt>
                <c:pt idx="162">
                  <c:v>95.5</c:v>
                </c:pt>
                <c:pt idx="163">
                  <c:v>97.6</c:v>
                </c:pt>
                <c:pt idx="164">
                  <c:v>94.3</c:v>
                </c:pt>
                <c:pt idx="165">
                  <c:v>97.2</c:v>
                </c:pt>
                <c:pt idx="166">
                  <c:v>87.6</c:v>
                </c:pt>
                <c:pt idx="167">
                  <c:v>77.2</c:v>
                </c:pt>
                <c:pt idx="168">
                  <c:v>76.3</c:v>
                </c:pt>
                <c:pt idx="169">
                  <c:v>75.8</c:v>
                </c:pt>
                <c:pt idx="170">
                  <c:v>83.7</c:v>
                </c:pt>
                <c:pt idx="171">
                  <c:v>83</c:v>
                </c:pt>
                <c:pt idx="172">
                  <c:v>86.3</c:v>
                </c:pt>
                <c:pt idx="173">
                  <c:v>87.7</c:v>
                </c:pt>
                <c:pt idx="174">
                  <c:v>89.6</c:v>
                </c:pt>
                <c:pt idx="175">
                  <c:v>93</c:v>
                </c:pt>
                <c:pt idx="176">
                  <c:v>90.7</c:v>
                </c:pt>
                <c:pt idx="177">
                  <c:v>90.2</c:v>
                </c:pt>
                <c:pt idx="178">
                  <c:v>86.5</c:v>
                </c:pt>
                <c:pt idx="179">
                  <c:v>77.2</c:v>
                </c:pt>
                <c:pt idx="180">
                  <c:v>77.900000000000006</c:v>
                </c:pt>
                <c:pt idx="181">
                  <c:v>75.900000000000006</c:v>
                </c:pt>
                <c:pt idx="182">
                  <c:v>85.4</c:v>
                </c:pt>
                <c:pt idx="183">
                  <c:v>79.3</c:v>
                </c:pt>
                <c:pt idx="184">
                  <c:v>90.1</c:v>
                </c:pt>
                <c:pt idx="185">
                  <c:v>88.4</c:v>
                </c:pt>
                <c:pt idx="186">
                  <c:v>92.1</c:v>
                </c:pt>
                <c:pt idx="187">
                  <c:v>96.7</c:v>
                </c:pt>
                <c:pt idx="188">
                  <c:v>93</c:v>
                </c:pt>
                <c:pt idx="189">
                  <c:v>95.1</c:v>
                </c:pt>
                <c:pt idx="190">
                  <c:v>90.6</c:v>
                </c:pt>
                <c:pt idx="191">
                  <c:v>81</c:v>
                </c:pt>
                <c:pt idx="192">
                  <c:v>82.3</c:v>
                </c:pt>
                <c:pt idx="193">
                  <c:v>77.3</c:v>
                </c:pt>
                <c:pt idx="194">
                  <c:v>86.2</c:v>
                </c:pt>
                <c:pt idx="195">
                  <c:v>86.5</c:v>
                </c:pt>
                <c:pt idx="196">
                  <c:v>84.4</c:v>
                </c:pt>
                <c:pt idx="197">
                  <c:v>91.1</c:v>
                </c:pt>
                <c:pt idx="198">
                  <c:v>95.8</c:v>
                </c:pt>
                <c:pt idx="199">
                  <c:v>98.2</c:v>
                </c:pt>
                <c:pt idx="200">
                  <c:v>90.7</c:v>
                </c:pt>
                <c:pt idx="201">
                  <c:v>95.8</c:v>
                </c:pt>
                <c:pt idx="202">
                  <c:v>89.5</c:v>
                </c:pt>
                <c:pt idx="203">
                  <c:v>78</c:v>
                </c:pt>
                <c:pt idx="204">
                  <c:v>80.7</c:v>
                </c:pt>
                <c:pt idx="205">
                  <c:v>79.099999999999994</c:v>
                </c:pt>
                <c:pt idx="206">
                  <c:v>81</c:v>
                </c:pt>
                <c:pt idx="207">
                  <c:v>83.3</c:v>
                </c:pt>
                <c:pt idx="208">
                  <c:v>91</c:v>
                </c:pt>
                <c:pt idx="209">
                  <c:v>85.8</c:v>
                </c:pt>
                <c:pt idx="210">
                  <c:v>93.4</c:v>
                </c:pt>
                <c:pt idx="211">
                  <c:v>96.2</c:v>
                </c:pt>
                <c:pt idx="212">
                  <c:v>91.8</c:v>
                </c:pt>
                <c:pt idx="213">
                  <c:v>97</c:v>
                </c:pt>
                <c:pt idx="214">
                  <c:v>88</c:v>
                </c:pt>
                <c:pt idx="215">
                  <c:v>76.900000000000006</c:v>
                </c:pt>
                <c:pt idx="216">
                  <c:v>80</c:v>
                </c:pt>
                <c:pt idx="217">
                  <c:v>78.900000000000006</c:v>
                </c:pt>
                <c:pt idx="218">
                  <c:v>77.900000000000006</c:v>
                </c:pt>
                <c:pt idx="219">
                  <c:v>60.3</c:v>
                </c:pt>
                <c:pt idx="220">
                  <c:v>71.2</c:v>
                </c:pt>
                <c:pt idx="221">
                  <c:v>78.400000000000006</c:v>
                </c:pt>
                <c:pt idx="222">
                  <c:v>91</c:v>
                </c:pt>
                <c:pt idx="223">
                  <c:v>93.9</c:v>
                </c:pt>
                <c:pt idx="224">
                  <c:v>95.4</c:v>
                </c:pt>
                <c:pt idx="225">
                  <c:v>97.3</c:v>
                </c:pt>
                <c:pt idx="226">
                  <c:v>90.2</c:v>
                </c:pt>
                <c:pt idx="227" formatCode="General">
                  <c:v>83.3</c:v>
                </c:pt>
                <c:pt idx="228" formatCode="General">
                  <c:v>81.900000000000006</c:v>
                </c:pt>
                <c:pt idx="229" formatCode="General">
                  <c:v>79.099999999999994</c:v>
                </c:pt>
                <c:pt idx="230" formatCode="General">
                  <c:v>86.1</c:v>
                </c:pt>
                <c:pt idx="231" formatCode="General">
                  <c:v>81.3</c:v>
                </c:pt>
                <c:pt idx="232" formatCode="General">
                  <c:v>88.4</c:v>
                </c:pt>
                <c:pt idx="233" formatCode="General">
                  <c:v>87.9</c:v>
                </c:pt>
                <c:pt idx="234" formatCode="General">
                  <c:v>92.2</c:v>
                </c:pt>
                <c:pt idx="235" formatCode="General">
                  <c:v>93.4</c:v>
                </c:pt>
                <c:pt idx="236" formatCode="General">
                  <c:v>91.5</c:v>
                </c:pt>
                <c:pt idx="237" formatCode="General">
                  <c:v>89.7</c:v>
                </c:pt>
                <c:pt idx="238" formatCode="General">
                  <c:v>86.2</c:v>
                </c:pt>
                <c:pt idx="239" formatCode="General">
                  <c:v>79.2</c:v>
                </c:pt>
              </c:numCache>
            </c:numRef>
          </c:val>
          <c:smooth val="0"/>
          <c:extLst>
            <c:ext xmlns:c16="http://schemas.microsoft.com/office/drawing/2014/chart" uri="{C3380CC4-5D6E-409C-BE32-E72D297353CC}">
              <c16:uniqueId val="{00000000-E16A-46B6-9A8F-11EBD2CED18C}"/>
            </c:ext>
          </c:extLst>
        </c:ser>
        <c:ser>
          <c:idx val="1"/>
          <c:order val="1"/>
          <c:tx>
            <c:strRef>
              <c:f>'Monthly - Ind Prod'!$C$2</c:f>
              <c:strCache>
                <c:ptCount val="1"/>
                <c:pt idx="0">
                  <c:v>Official SA</c:v>
                </c:pt>
              </c:strCache>
            </c:strRef>
          </c:tx>
          <c:spPr>
            <a:ln w="28575" cap="rnd">
              <a:solidFill>
                <a:schemeClr val="accent2"/>
              </a:solidFill>
              <a:round/>
            </a:ln>
            <a:effectLst/>
          </c:spPr>
          <c:marker>
            <c:symbol val="none"/>
          </c:marker>
          <c:cat>
            <c:numRef>
              <c:f>'Monthly - Ind Prod'!$A$3:$A$242</c:f>
              <c:numCache>
                <c:formatCode>[$-416]mmm\-yy;@</c:formatCode>
                <c:ptCount val="240"/>
                <c:pt idx="0">
                  <c:v>37257</c:v>
                </c:pt>
                <c:pt idx="1">
                  <c:v>37288</c:v>
                </c:pt>
                <c:pt idx="2">
                  <c:v>37316</c:v>
                </c:pt>
                <c:pt idx="3">
                  <c:v>37347</c:v>
                </c:pt>
                <c:pt idx="4">
                  <c:v>37377</c:v>
                </c:pt>
                <c:pt idx="5">
                  <c:v>37408</c:v>
                </c:pt>
                <c:pt idx="6">
                  <c:v>37438</c:v>
                </c:pt>
                <c:pt idx="7">
                  <c:v>37469</c:v>
                </c:pt>
                <c:pt idx="8">
                  <c:v>37500</c:v>
                </c:pt>
                <c:pt idx="9">
                  <c:v>37530</c:v>
                </c:pt>
                <c:pt idx="10">
                  <c:v>37561</c:v>
                </c:pt>
                <c:pt idx="11">
                  <c:v>37591</c:v>
                </c:pt>
                <c:pt idx="12">
                  <c:v>37622</c:v>
                </c:pt>
                <c:pt idx="13">
                  <c:v>37653</c:v>
                </c:pt>
                <c:pt idx="14">
                  <c:v>37681</c:v>
                </c:pt>
                <c:pt idx="15">
                  <c:v>37712</c:v>
                </c:pt>
                <c:pt idx="16">
                  <c:v>37742</c:v>
                </c:pt>
                <c:pt idx="17">
                  <c:v>37773</c:v>
                </c:pt>
                <c:pt idx="18">
                  <c:v>37803</c:v>
                </c:pt>
                <c:pt idx="19">
                  <c:v>37834</c:v>
                </c:pt>
                <c:pt idx="20">
                  <c:v>37865</c:v>
                </c:pt>
                <c:pt idx="21">
                  <c:v>37895</c:v>
                </c:pt>
                <c:pt idx="22">
                  <c:v>37926</c:v>
                </c:pt>
                <c:pt idx="23">
                  <c:v>37956</c:v>
                </c:pt>
                <c:pt idx="24">
                  <c:v>37987</c:v>
                </c:pt>
                <c:pt idx="25">
                  <c:v>38018</c:v>
                </c:pt>
                <c:pt idx="26">
                  <c:v>38047</c:v>
                </c:pt>
                <c:pt idx="27">
                  <c:v>38078</c:v>
                </c:pt>
                <c:pt idx="28">
                  <c:v>38108</c:v>
                </c:pt>
                <c:pt idx="29">
                  <c:v>38139</c:v>
                </c:pt>
                <c:pt idx="30">
                  <c:v>38169</c:v>
                </c:pt>
                <c:pt idx="31">
                  <c:v>38200</c:v>
                </c:pt>
                <c:pt idx="32">
                  <c:v>38231</c:v>
                </c:pt>
                <c:pt idx="33">
                  <c:v>38261</c:v>
                </c:pt>
                <c:pt idx="34">
                  <c:v>38292</c:v>
                </c:pt>
                <c:pt idx="35">
                  <c:v>38322</c:v>
                </c:pt>
                <c:pt idx="36">
                  <c:v>38353</c:v>
                </c:pt>
                <c:pt idx="37">
                  <c:v>38384</c:v>
                </c:pt>
                <c:pt idx="38">
                  <c:v>38412</c:v>
                </c:pt>
                <c:pt idx="39">
                  <c:v>38443</c:v>
                </c:pt>
                <c:pt idx="40">
                  <c:v>38473</c:v>
                </c:pt>
                <c:pt idx="41">
                  <c:v>38504</c:v>
                </c:pt>
                <c:pt idx="42">
                  <c:v>38534</c:v>
                </c:pt>
                <c:pt idx="43">
                  <c:v>38565</c:v>
                </c:pt>
                <c:pt idx="44">
                  <c:v>38596</c:v>
                </c:pt>
                <c:pt idx="45">
                  <c:v>38626</c:v>
                </c:pt>
                <c:pt idx="46">
                  <c:v>38657</c:v>
                </c:pt>
                <c:pt idx="47">
                  <c:v>38687</c:v>
                </c:pt>
                <c:pt idx="48">
                  <c:v>38718</c:v>
                </c:pt>
                <c:pt idx="49">
                  <c:v>38749</c:v>
                </c:pt>
                <c:pt idx="50">
                  <c:v>38777</c:v>
                </c:pt>
                <c:pt idx="51">
                  <c:v>38808</c:v>
                </c:pt>
                <c:pt idx="52">
                  <c:v>38838</c:v>
                </c:pt>
                <c:pt idx="53">
                  <c:v>38869</c:v>
                </c:pt>
                <c:pt idx="54">
                  <c:v>38899</c:v>
                </c:pt>
                <c:pt idx="55">
                  <c:v>38930</c:v>
                </c:pt>
                <c:pt idx="56">
                  <c:v>38961</c:v>
                </c:pt>
                <c:pt idx="57">
                  <c:v>38991</c:v>
                </c:pt>
                <c:pt idx="58">
                  <c:v>39022</c:v>
                </c:pt>
                <c:pt idx="59">
                  <c:v>39052</c:v>
                </c:pt>
                <c:pt idx="60">
                  <c:v>39083</c:v>
                </c:pt>
                <c:pt idx="61">
                  <c:v>39114</c:v>
                </c:pt>
                <c:pt idx="62">
                  <c:v>39142</c:v>
                </c:pt>
                <c:pt idx="63">
                  <c:v>39173</c:v>
                </c:pt>
                <c:pt idx="64">
                  <c:v>39203</c:v>
                </c:pt>
                <c:pt idx="65">
                  <c:v>39234</c:v>
                </c:pt>
                <c:pt idx="66">
                  <c:v>39264</c:v>
                </c:pt>
                <c:pt idx="67">
                  <c:v>39295</c:v>
                </c:pt>
                <c:pt idx="68">
                  <c:v>39326</c:v>
                </c:pt>
                <c:pt idx="69">
                  <c:v>39356</c:v>
                </c:pt>
                <c:pt idx="70">
                  <c:v>39387</c:v>
                </c:pt>
                <c:pt idx="71">
                  <c:v>39417</c:v>
                </c:pt>
                <c:pt idx="72">
                  <c:v>39448</c:v>
                </c:pt>
                <c:pt idx="73">
                  <c:v>39479</c:v>
                </c:pt>
                <c:pt idx="74">
                  <c:v>39508</c:v>
                </c:pt>
                <c:pt idx="75">
                  <c:v>39539</c:v>
                </c:pt>
                <c:pt idx="76">
                  <c:v>39569</c:v>
                </c:pt>
                <c:pt idx="77">
                  <c:v>39600</c:v>
                </c:pt>
                <c:pt idx="78">
                  <c:v>39630</c:v>
                </c:pt>
                <c:pt idx="79">
                  <c:v>39661</c:v>
                </c:pt>
                <c:pt idx="80">
                  <c:v>39692</c:v>
                </c:pt>
                <c:pt idx="81">
                  <c:v>39722</c:v>
                </c:pt>
                <c:pt idx="82">
                  <c:v>39753</c:v>
                </c:pt>
                <c:pt idx="83">
                  <c:v>39783</c:v>
                </c:pt>
                <c:pt idx="84">
                  <c:v>39814</c:v>
                </c:pt>
                <c:pt idx="85">
                  <c:v>39845</c:v>
                </c:pt>
                <c:pt idx="86">
                  <c:v>39873</c:v>
                </c:pt>
                <c:pt idx="87">
                  <c:v>39904</c:v>
                </c:pt>
                <c:pt idx="88">
                  <c:v>39934</c:v>
                </c:pt>
                <c:pt idx="89">
                  <c:v>39965</c:v>
                </c:pt>
                <c:pt idx="90">
                  <c:v>39995</c:v>
                </c:pt>
                <c:pt idx="91">
                  <c:v>40026</c:v>
                </c:pt>
                <c:pt idx="92">
                  <c:v>40057</c:v>
                </c:pt>
                <c:pt idx="93">
                  <c:v>40087</c:v>
                </c:pt>
                <c:pt idx="94">
                  <c:v>40118</c:v>
                </c:pt>
                <c:pt idx="95">
                  <c:v>40148</c:v>
                </c:pt>
                <c:pt idx="96">
                  <c:v>40179</c:v>
                </c:pt>
                <c:pt idx="97">
                  <c:v>40210</c:v>
                </c:pt>
                <c:pt idx="98">
                  <c:v>40238</c:v>
                </c:pt>
                <c:pt idx="99">
                  <c:v>40269</c:v>
                </c:pt>
                <c:pt idx="100">
                  <c:v>40299</c:v>
                </c:pt>
                <c:pt idx="101">
                  <c:v>40330</c:v>
                </c:pt>
                <c:pt idx="102">
                  <c:v>40360</c:v>
                </c:pt>
                <c:pt idx="103">
                  <c:v>40391</c:v>
                </c:pt>
                <c:pt idx="104">
                  <c:v>40422</c:v>
                </c:pt>
                <c:pt idx="105">
                  <c:v>40452</c:v>
                </c:pt>
                <c:pt idx="106">
                  <c:v>40483</c:v>
                </c:pt>
                <c:pt idx="107">
                  <c:v>40513</c:v>
                </c:pt>
                <c:pt idx="108">
                  <c:v>40544</c:v>
                </c:pt>
                <c:pt idx="109">
                  <c:v>40575</c:v>
                </c:pt>
                <c:pt idx="110">
                  <c:v>40603</c:v>
                </c:pt>
                <c:pt idx="111">
                  <c:v>40634</c:v>
                </c:pt>
                <c:pt idx="112">
                  <c:v>40664</c:v>
                </c:pt>
                <c:pt idx="113">
                  <c:v>40695</c:v>
                </c:pt>
                <c:pt idx="114">
                  <c:v>40725</c:v>
                </c:pt>
                <c:pt idx="115">
                  <c:v>40756</c:v>
                </c:pt>
                <c:pt idx="116">
                  <c:v>40787</c:v>
                </c:pt>
                <c:pt idx="117">
                  <c:v>40817</c:v>
                </c:pt>
                <c:pt idx="118">
                  <c:v>40848</c:v>
                </c:pt>
                <c:pt idx="119">
                  <c:v>40878</c:v>
                </c:pt>
                <c:pt idx="120">
                  <c:v>40909</c:v>
                </c:pt>
                <c:pt idx="121">
                  <c:v>40940</c:v>
                </c:pt>
                <c:pt idx="122">
                  <c:v>40969</c:v>
                </c:pt>
                <c:pt idx="123">
                  <c:v>41000</c:v>
                </c:pt>
                <c:pt idx="124">
                  <c:v>41030</c:v>
                </c:pt>
                <c:pt idx="125">
                  <c:v>41061</c:v>
                </c:pt>
                <c:pt idx="126">
                  <c:v>41091</c:v>
                </c:pt>
                <c:pt idx="127">
                  <c:v>41122</c:v>
                </c:pt>
                <c:pt idx="128">
                  <c:v>41153</c:v>
                </c:pt>
                <c:pt idx="129">
                  <c:v>41183</c:v>
                </c:pt>
                <c:pt idx="130">
                  <c:v>41214</c:v>
                </c:pt>
                <c:pt idx="131">
                  <c:v>41244</c:v>
                </c:pt>
                <c:pt idx="132">
                  <c:v>41275</c:v>
                </c:pt>
                <c:pt idx="133">
                  <c:v>41306</c:v>
                </c:pt>
                <c:pt idx="134">
                  <c:v>41334</c:v>
                </c:pt>
                <c:pt idx="135">
                  <c:v>41365</c:v>
                </c:pt>
                <c:pt idx="136">
                  <c:v>41395</c:v>
                </c:pt>
                <c:pt idx="137">
                  <c:v>41426</c:v>
                </c:pt>
                <c:pt idx="138">
                  <c:v>41456</c:v>
                </c:pt>
                <c:pt idx="139">
                  <c:v>41487</c:v>
                </c:pt>
                <c:pt idx="140">
                  <c:v>41518</c:v>
                </c:pt>
                <c:pt idx="141">
                  <c:v>41548</c:v>
                </c:pt>
                <c:pt idx="142">
                  <c:v>41579</c:v>
                </c:pt>
                <c:pt idx="143">
                  <c:v>41609</c:v>
                </c:pt>
                <c:pt idx="144">
                  <c:v>41640</c:v>
                </c:pt>
                <c:pt idx="145">
                  <c:v>41671</c:v>
                </c:pt>
                <c:pt idx="146">
                  <c:v>41699</c:v>
                </c:pt>
                <c:pt idx="147">
                  <c:v>41730</c:v>
                </c:pt>
                <c:pt idx="148">
                  <c:v>41760</c:v>
                </c:pt>
                <c:pt idx="149">
                  <c:v>41791</c:v>
                </c:pt>
                <c:pt idx="150">
                  <c:v>41821</c:v>
                </c:pt>
                <c:pt idx="151">
                  <c:v>41852</c:v>
                </c:pt>
                <c:pt idx="152">
                  <c:v>41883</c:v>
                </c:pt>
                <c:pt idx="153">
                  <c:v>41913</c:v>
                </c:pt>
                <c:pt idx="154">
                  <c:v>41944</c:v>
                </c:pt>
                <c:pt idx="155">
                  <c:v>41974</c:v>
                </c:pt>
                <c:pt idx="156">
                  <c:v>42005</c:v>
                </c:pt>
                <c:pt idx="157">
                  <c:v>42036</c:v>
                </c:pt>
                <c:pt idx="158">
                  <c:v>42064</c:v>
                </c:pt>
                <c:pt idx="159">
                  <c:v>42095</c:v>
                </c:pt>
                <c:pt idx="160">
                  <c:v>42125</c:v>
                </c:pt>
                <c:pt idx="161">
                  <c:v>42156</c:v>
                </c:pt>
                <c:pt idx="162">
                  <c:v>42186</c:v>
                </c:pt>
                <c:pt idx="163">
                  <c:v>42217</c:v>
                </c:pt>
                <c:pt idx="164">
                  <c:v>42248</c:v>
                </c:pt>
                <c:pt idx="165">
                  <c:v>42278</c:v>
                </c:pt>
                <c:pt idx="166">
                  <c:v>42309</c:v>
                </c:pt>
                <c:pt idx="167">
                  <c:v>42339</c:v>
                </c:pt>
                <c:pt idx="168">
                  <c:v>42370</c:v>
                </c:pt>
                <c:pt idx="169">
                  <c:v>42401</c:v>
                </c:pt>
                <c:pt idx="170">
                  <c:v>42430</c:v>
                </c:pt>
                <c:pt idx="171">
                  <c:v>42461</c:v>
                </c:pt>
                <c:pt idx="172">
                  <c:v>42491</c:v>
                </c:pt>
                <c:pt idx="173">
                  <c:v>42522</c:v>
                </c:pt>
                <c:pt idx="174">
                  <c:v>42552</c:v>
                </c:pt>
                <c:pt idx="175">
                  <c:v>42583</c:v>
                </c:pt>
                <c:pt idx="176">
                  <c:v>42614</c:v>
                </c:pt>
                <c:pt idx="177">
                  <c:v>42644</c:v>
                </c:pt>
                <c:pt idx="178">
                  <c:v>42675</c:v>
                </c:pt>
                <c:pt idx="179">
                  <c:v>42705</c:v>
                </c:pt>
                <c:pt idx="180">
                  <c:v>42736</c:v>
                </c:pt>
                <c:pt idx="181">
                  <c:v>42767</c:v>
                </c:pt>
                <c:pt idx="182">
                  <c:v>42795</c:v>
                </c:pt>
                <c:pt idx="183">
                  <c:v>42826</c:v>
                </c:pt>
                <c:pt idx="184">
                  <c:v>42856</c:v>
                </c:pt>
                <c:pt idx="185">
                  <c:v>42887</c:v>
                </c:pt>
                <c:pt idx="186">
                  <c:v>42917</c:v>
                </c:pt>
                <c:pt idx="187">
                  <c:v>42948</c:v>
                </c:pt>
                <c:pt idx="188">
                  <c:v>42979</c:v>
                </c:pt>
                <c:pt idx="189">
                  <c:v>43009</c:v>
                </c:pt>
                <c:pt idx="190">
                  <c:v>43040</c:v>
                </c:pt>
                <c:pt idx="191">
                  <c:v>43070</c:v>
                </c:pt>
                <c:pt idx="192">
                  <c:v>43101</c:v>
                </c:pt>
                <c:pt idx="193">
                  <c:v>43132</c:v>
                </c:pt>
                <c:pt idx="194">
                  <c:v>43160</c:v>
                </c:pt>
                <c:pt idx="195">
                  <c:v>43191</c:v>
                </c:pt>
                <c:pt idx="196">
                  <c:v>43221</c:v>
                </c:pt>
                <c:pt idx="197">
                  <c:v>43252</c:v>
                </c:pt>
                <c:pt idx="198">
                  <c:v>43282</c:v>
                </c:pt>
                <c:pt idx="199">
                  <c:v>43313</c:v>
                </c:pt>
                <c:pt idx="200">
                  <c:v>43344</c:v>
                </c:pt>
                <c:pt idx="201">
                  <c:v>43374</c:v>
                </c:pt>
                <c:pt idx="202">
                  <c:v>43405</c:v>
                </c:pt>
                <c:pt idx="203">
                  <c:v>43435</c:v>
                </c:pt>
                <c:pt idx="204">
                  <c:v>43466</c:v>
                </c:pt>
                <c:pt idx="205">
                  <c:v>43497</c:v>
                </c:pt>
                <c:pt idx="206">
                  <c:v>43525</c:v>
                </c:pt>
                <c:pt idx="207">
                  <c:v>43556</c:v>
                </c:pt>
                <c:pt idx="208">
                  <c:v>43586</c:v>
                </c:pt>
                <c:pt idx="209">
                  <c:v>43617</c:v>
                </c:pt>
                <c:pt idx="210">
                  <c:v>43647</c:v>
                </c:pt>
                <c:pt idx="211">
                  <c:v>43678</c:v>
                </c:pt>
                <c:pt idx="212">
                  <c:v>43709</c:v>
                </c:pt>
                <c:pt idx="213">
                  <c:v>43739</c:v>
                </c:pt>
                <c:pt idx="214">
                  <c:v>43770</c:v>
                </c:pt>
                <c:pt idx="215">
                  <c:v>43800</c:v>
                </c:pt>
                <c:pt idx="216">
                  <c:v>43831</c:v>
                </c:pt>
                <c:pt idx="217">
                  <c:v>43862</c:v>
                </c:pt>
                <c:pt idx="218">
                  <c:v>43891</c:v>
                </c:pt>
                <c:pt idx="219">
                  <c:v>43922</c:v>
                </c:pt>
                <c:pt idx="220">
                  <c:v>43952</c:v>
                </c:pt>
                <c:pt idx="221">
                  <c:v>43983</c:v>
                </c:pt>
                <c:pt idx="222">
                  <c:v>44013</c:v>
                </c:pt>
                <c:pt idx="223">
                  <c:v>44044</c:v>
                </c:pt>
                <c:pt idx="224">
                  <c:v>44075</c:v>
                </c:pt>
                <c:pt idx="225">
                  <c:v>44105</c:v>
                </c:pt>
                <c:pt idx="226">
                  <c:v>44136</c:v>
                </c:pt>
                <c:pt idx="227">
                  <c:v>44166</c:v>
                </c:pt>
                <c:pt idx="228">
                  <c:v>44197</c:v>
                </c:pt>
                <c:pt idx="229">
                  <c:v>44228</c:v>
                </c:pt>
                <c:pt idx="230">
                  <c:v>44256</c:v>
                </c:pt>
                <c:pt idx="231">
                  <c:v>44287</c:v>
                </c:pt>
                <c:pt idx="232">
                  <c:v>44317</c:v>
                </c:pt>
                <c:pt idx="233">
                  <c:v>44348</c:v>
                </c:pt>
                <c:pt idx="234">
                  <c:v>44378</c:v>
                </c:pt>
                <c:pt idx="235">
                  <c:v>44409</c:v>
                </c:pt>
                <c:pt idx="236">
                  <c:v>44440</c:v>
                </c:pt>
                <c:pt idx="237">
                  <c:v>44470</c:v>
                </c:pt>
                <c:pt idx="238">
                  <c:v>44501</c:v>
                </c:pt>
                <c:pt idx="239">
                  <c:v>44531</c:v>
                </c:pt>
              </c:numCache>
            </c:numRef>
          </c:cat>
          <c:val>
            <c:numRef>
              <c:f>'Monthly - Ind Prod'!$C$3:$C$242</c:f>
              <c:numCache>
                <c:formatCode>0.0</c:formatCode>
                <c:ptCount val="240"/>
                <c:pt idx="0">
                  <c:v>77.7</c:v>
                </c:pt>
                <c:pt idx="1">
                  <c:v>80.2</c:v>
                </c:pt>
                <c:pt idx="2">
                  <c:v>79.8</c:v>
                </c:pt>
                <c:pt idx="3">
                  <c:v>79.599999999999994</c:v>
                </c:pt>
                <c:pt idx="4">
                  <c:v>79.099999999999994</c:v>
                </c:pt>
                <c:pt idx="5">
                  <c:v>79.400000000000006</c:v>
                </c:pt>
                <c:pt idx="6">
                  <c:v>79.7</c:v>
                </c:pt>
                <c:pt idx="7">
                  <c:v>78.599999999999994</c:v>
                </c:pt>
                <c:pt idx="8">
                  <c:v>79.599999999999994</c:v>
                </c:pt>
                <c:pt idx="9">
                  <c:v>80.099999999999994</c:v>
                </c:pt>
                <c:pt idx="10">
                  <c:v>80.3</c:v>
                </c:pt>
                <c:pt idx="11">
                  <c:v>79.599999999999994</c:v>
                </c:pt>
                <c:pt idx="12">
                  <c:v>79.7</c:v>
                </c:pt>
                <c:pt idx="13">
                  <c:v>79.7</c:v>
                </c:pt>
                <c:pt idx="14">
                  <c:v>79.8</c:v>
                </c:pt>
                <c:pt idx="15">
                  <c:v>79.400000000000006</c:v>
                </c:pt>
                <c:pt idx="16">
                  <c:v>77.8</c:v>
                </c:pt>
                <c:pt idx="17">
                  <c:v>78.2</c:v>
                </c:pt>
                <c:pt idx="18">
                  <c:v>77.400000000000006</c:v>
                </c:pt>
                <c:pt idx="19">
                  <c:v>78.5</c:v>
                </c:pt>
                <c:pt idx="20">
                  <c:v>81.3</c:v>
                </c:pt>
                <c:pt idx="21">
                  <c:v>81.599999999999994</c:v>
                </c:pt>
                <c:pt idx="22">
                  <c:v>82.6</c:v>
                </c:pt>
                <c:pt idx="23">
                  <c:v>81.2</c:v>
                </c:pt>
                <c:pt idx="24">
                  <c:v>82.7</c:v>
                </c:pt>
                <c:pt idx="25">
                  <c:v>84</c:v>
                </c:pt>
                <c:pt idx="26">
                  <c:v>84.5</c:v>
                </c:pt>
                <c:pt idx="27">
                  <c:v>85.1</c:v>
                </c:pt>
                <c:pt idx="28">
                  <c:v>85.9</c:v>
                </c:pt>
                <c:pt idx="29">
                  <c:v>86.1</c:v>
                </c:pt>
                <c:pt idx="30">
                  <c:v>86.7</c:v>
                </c:pt>
                <c:pt idx="31">
                  <c:v>87.6</c:v>
                </c:pt>
                <c:pt idx="32">
                  <c:v>88.2</c:v>
                </c:pt>
                <c:pt idx="33">
                  <c:v>87.5</c:v>
                </c:pt>
                <c:pt idx="34">
                  <c:v>87.5</c:v>
                </c:pt>
                <c:pt idx="35">
                  <c:v>88.3</c:v>
                </c:pt>
                <c:pt idx="36">
                  <c:v>88.7</c:v>
                </c:pt>
                <c:pt idx="37">
                  <c:v>87.4</c:v>
                </c:pt>
                <c:pt idx="38">
                  <c:v>88.2</c:v>
                </c:pt>
                <c:pt idx="39">
                  <c:v>88.3</c:v>
                </c:pt>
                <c:pt idx="40">
                  <c:v>91.3</c:v>
                </c:pt>
                <c:pt idx="41">
                  <c:v>89.5</c:v>
                </c:pt>
                <c:pt idx="42">
                  <c:v>88.9</c:v>
                </c:pt>
                <c:pt idx="43">
                  <c:v>89.1</c:v>
                </c:pt>
                <c:pt idx="44">
                  <c:v>88.3</c:v>
                </c:pt>
                <c:pt idx="45">
                  <c:v>87.6</c:v>
                </c:pt>
                <c:pt idx="46">
                  <c:v>88.6</c:v>
                </c:pt>
                <c:pt idx="47">
                  <c:v>90.5</c:v>
                </c:pt>
                <c:pt idx="48">
                  <c:v>90.8</c:v>
                </c:pt>
                <c:pt idx="49">
                  <c:v>91.4</c:v>
                </c:pt>
                <c:pt idx="50">
                  <c:v>90.7</c:v>
                </c:pt>
                <c:pt idx="51">
                  <c:v>91.4</c:v>
                </c:pt>
                <c:pt idx="52">
                  <c:v>92.2</c:v>
                </c:pt>
                <c:pt idx="53">
                  <c:v>90.6</c:v>
                </c:pt>
                <c:pt idx="54">
                  <c:v>91.6</c:v>
                </c:pt>
                <c:pt idx="55">
                  <c:v>91.4</c:v>
                </c:pt>
                <c:pt idx="56">
                  <c:v>90.4</c:v>
                </c:pt>
                <c:pt idx="57">
                  <c:v>90.7</c:v>
                </c:pt>
                <c:pt idx="58">
                  <c:v>92.1</c:v>
                </c:pt>
                <c:pt idx="59">
                  <c:v>93.3</c:v>
                </c:pt>
                <c:pt idx="60">
                  <c:v>92.7</c:v>
                </c:pt>
                <c:pt idx="61">
                  <c:v>93.9</c:v>
                </c:pt>
                <c:pt idx="62">
                  <c:v>94.9</c:v>
                </c:pt>
                <c:pt idx="63">
                  <c:v>96</c:v>
                </c:pt>
                <c:pt idx="64">
                  <c:v>96.3</c:v>
                </c:pt>
                <c:pt idx="65">
                  <c:v>97</c:v>
                </c:pt>
                <c:pt idx="66">
                  <c:v>96.5</c:v>
                </c:pt>
                <c:pt idx="67">
                  <c:v>97.9</c:v>
                </c:pt>
                <c:pt idx="68">
                  <c:v>97.1</c:v>
                </c:pt>
                <c:pt idx="69">
                  <c:v>99.5</c:v>
                </c:pt>
                <c:pt idx="70">
                  <c:v>98.5</c:v>
                </c:pt>
                <c:pt idx="71">
                  <c:v>98.9</c:v>
                </c:pt>
                <c:pt idx="72">
                  <c:v>100.6</c:v>
                </c:pt>
                <c:pt idx="73">
                  <c:v>100.2</c:v>
                </c:pt>
                <c:pt idx="74">
                  <c:v>100.5</c:v>
                </c:pt>
                <c:pt idx="75">
                  <c:v>100.4</c:v>
                </c:pt>
                <c:pt idx="76">
                  <c:v>101.1</c:v>
                </c:pt>
                <c:pt idx="77">
                  <c:v>102.9</c:v>
                </c:pt>
                <c:pt idx="78">
                  <c:v>103.2</c:v>
                </c:pt>
                <c:pt idx="79">
                  <c:v>101.9</c:v>
                </c:pt>
                <c:pt idx="80">
                  <c:v>103.4</c:v>
                </c:pt>
                <c:pt idx="81">
                  <c:v>100.2</c:v>
                </c:pt>
                <c:pt idx="82">
                  <c:v>94.4</c:v>
                </c:pt>
                <c:pt idx="83">
                  <c:v>83.8</c:v>
                </c:pt>
                <c:pt idx="84">
                  <c:v>85.6</c:v>
                </c:pt>
                <c:pt idx="85">
                  <c:v>87.6</c:v>
                </c:pt>
                <c:pt idx="86">
                  <c:v>88</c:v>
                </c:pt>
                <c:pt idx="87">
                  <c:v>89</c:v>
                </c:pt>
                <c:pt idx="88">
                  <c:v>90.4</c:v>
                </c:pt>
                <c:pt idx="89">
                  <c:v>91.6</c:v>
                </c:pt>
                <c:pt idx="90">
                  <c:v>92.6</c:v>
                </c:pt>
                <c:pt idx="91">
                  <c:v>94</c:v>
                </c:pt>
                <c:pt idx="92">
                  <c:v>95.6</c:v>
                </c:pt>
                <c:pt idx="93">
                  <c:v>97.3</c:v>
                </c:pt>
                <c:pt idx="94">
                  <c:v>98.9</c:v>
                </c:pt>
                <c:pt idx="95">
                  <c:v>99.1</c:v>
                </c:pt>
                <c:pt idx="96">
                  <c:v>100.7</c:v>
                </c:pt>
                <c:pt idx="97">
                  <c:v>100.5</c:v>
                </c:pt>
                <c:pt idx="98">
                  <c:v>103</c:v>
                </c:pt>
                <c:pt idx="99">
                  <c:v>103.2</c:v>
                </c:pt>
                <c:pt idx="100">
                  <c:v>103</c:v>
                </c:pt>
                <c:pt idx="101">
                  <c:v>102.3</c:v>
                </c:pt>
                <c:pt idx="102">
                  <c:v>101.8</c:v>
                </c:pt>
                <c:pt idx="103">
                  <c:v>101.4</c:v>
                </c:pt>
                <c:pt idx="104">
                  <c:v>101.6</c:v>
                </c:pt>
                <c:pt idx="105">
                  <c:v>101.3</c:v>
                </c:pt>
                <c:pt idx="106">
                  <c:v>102.2</c:v>
                </c:pt>
                <c:pt idx="107">
                  <c:v>102.7</c:v>
                </c:pt>
                <c:pt idx="108">
                  <c:v>102.8</c:v>
                </c:pt>
                <c:pt idx="109">
                  <c:v>104.2</c:v>
                </c:pt>
                <c:pt idx="110">
                  <c:v>104.8</c:v>
                </c:pt>
                <c:pt idx="111">
                  <c:v>102.1</c:v>
                </c:pt>
                <c:pt idx="112">
                  <c:v>105.2</c:v>
                </c:pt>
                <c:pt idx="113">
                  <c:v>102.7</c:v>
                </c:pt>
                <c:pt idx="114">
                  <c:v>103.1</c:v>
                </c:pt>
                <c:pt idx="115">
                  <c:v>102.1</c:v>
                </c:pt>
                <c:pt idx="116">
                  <c:v>100.2</c:v>
                </c:pt>
                <c:pt idx="117">
                  <c:v>99.2</c:v>
                </c:pt>
                <c:pt idx="118">
                  <c:v>99.9</c:v>
                </c:pt>
                <c:pt idx="119">
                  <c:v>102.5</c:v>
                </c:pt>
                <c:pt idx="120">
                  <c:v>98</c:v>
                </c:pt>
                <c:pt idx="121">
                  <c:v>99</c:v>
                </c:pt>
                <c:pt idx="122">
                  <c:v>98.3</c:v>
                </c:pt>
                <c:pt idx="123">
                  <c:v>98.5</c:v>
                </c:pt>
                <c:pt idx="124">
                  <c:v>98.9</c:v>
                </c:pt>
                <c:pt idx="125">
                  <c:v>99</c:v>
                </c:pt>
                <c:pt idx="126">
                  <c:v>100.5</c:v>
                </c:pt>
                <c:pt idx="127">
                  <c:v>102.5</c:v>
                </c:pt>
                <c:pt idx="128">
                  <c:v>100.6</c:v>
                </c:pt>
                <c:pt idx="129">
                  <c:v>102.1</c:v>
                </c:pt>
                <c:pt idx="130">
                  <c:v>100.6</c:v>
                </c:pt>
                <c:pt idx="131">
                  <c:v>101.3</c:v>
                </c:pt>
                <c:pt idx="132">
                  <c:v>102.1</c:v>
                </c:pt>
                <c:pt idx="133">
                  <c:v>99.7</c:v>
                </c:pt>
                <c:pt idx="134">
                  <c:v>101.2</c:v>
                </c:pt>
                <c:pt idx="135">
                  <c:v>103</c:v>
                </c:pt>
                <c:pt idx="136">
                  <c:v>102.5</c:v>
                </c:pt>
                <c:pt idx="137">
                  <c:v>103.2</c:v>
                </c:pt>
                <c:pt idx="138">
                  <c:v>102.4</c:v>
                </c:pt>
                <c:pt idx="139">
                  <c:v>102.9</c:v>
                </c:pt>
                <c:pt idx="140">
                  <c:v>103.5</c:v>
                </c:pt>
                <c:pt idx="141">
                  <c:v>102.5</c:v>
                </c:pt>
                <c:pt idx="142">
                  <c:v>103</c:v>
                </c:pt>
                <c:pt idx="143">
                  <c:v>99</c:v>
                </c:pt>
                <c:pt idx="144">
                  <c:v>100.6</c:v>
                </c:pt>
                <c:pt idx="145">
                  <c:v>101.2</c:v>
                </c:pt>
                <c:pt idx="146">
                  <c:v>101</c:v>
                </c:pt>
                <c:pt idx="147">
                  <c:v>100.2</c:v>
                </c:pt>
                <c:pt idx="148">
                  <c:v>98.8</c:v>
                </c:pt>
                <c:pt idx="149">
                  <c:v>96.1</c:v>
                </c:pt>
                <c:pt idx="150">
                  <c:v>98.3</c:v>
                </c:pt>
                <c:pt idx="151">
                  <c:v>99.2</c:v>
                </c:pt>
                <c:pt idx="152">
                  <c:v>99.4</c:v>
                </c:pt>
                <c:pt idx="153">
                  <c:v>99.7</c:v>
                </c:pt>
                <c:pt idx="154">
                  <c:v>98.6</c:v>
                </c:pt>
                <c:pt idx="155">
                  <c:v>95.4</c:v>
                </c:pt>
                <c:pt idx="156">
                  <c:v>96</c:v>
                </c:pt>
                <c:pt idx="157">
                  <c:v>95.4</c:v>
                </c:pt>
                <c:pt idx="158">
                  <c:v>95</c:v>
                </c:pt>
                <c:pt idx="159">
                  <c:v>93</c:v>
                </c:pt>
                <c:pt idx="160">
                  <c:v>92.2</c:v>
                </c:pt>
                <c:pt idx="161">
                  <c:v>91.3</c:v>
                </c:pt>
                <c:pt idx="162">
                  <c:v>89.5</c:v>
                </c:pt>
                <c:pt idx="163">
                  <c:v>90.3</c:v>
                </c:pt>
                <c:pt idx="164">
                  <c:v>88.2</c:v>
                </c:pt>
                <c:pt idx="165">
                  <c:v>88.1</c:v>
                </c:pt>
                <c:pt idx="166">
                  <c:v>86.4</c:v>
                </c:pt>
                <c:pt idx="167">
                  <c:v>84.8</c:v>
                </c:pt>
                <c:pt idx="168">
                  <c:v>86.1</c:v>
                </c:pt>
                <c:pt idx="169">
                  <c:v>84.8</c:v>
                </c:pt>
                <c:pt idx="170">
                  <c:v>85.6</c:v>
                </c:pt>
                <c:pt idx="171">
                  <c:v>85.4</c:v>
                </c:pt>
                <c:pt idx="172">
                  <c:v>85.8</c:v>
                </c:pt>
                <c:pt idx="173">
                  <c:v>84.8</c:v>
                </c:pt>
                <c:pt idx="174">
                  <c:v>85.5</c:v>
                </c:pt>
                <c:pt idx="175">
                  <c:v>83.5</c:v>
                </c:pt>
                <c:pt idx="176">
                  <c:v>84.4</c:v>
                </c:pt>
                <c:pt idx="177">
                  <c:v>83.4</c:v>
                </c:pt>
                <c:pt idx="178">
                  <c:v>84</c:v>
                </c:pt>
                <c:pt idx="179">
                  <c:v>85.5</c:v>
                </c:pt>
                <c:pt idx="180">
                  <c:v>86.4</c:v>
                </c:pt>
                <c:pt idx="181">
                  <c:v>87.4</c:v>
                </c:pt>
                <c:pt idx="182">
                  <c:v>85.6</c:v>
                </c:pt>
                <c:pt idx="183">
                  <c:v>85.9</c:v>
                </c:pt>
                <c:pt idx="184">
                  <c:v>86.2</c:v>
                </c:pt>
                <c:pt idx="185">
                  <c:v>87</c:v>
                </c:pt>
                <c:pt idx="186">
                  <c:v>87.3</c:v>
                </c:pt>
                <c:pt idx="187">
                  <c:v>87</c:v>
                </c:pt>
                <c:pt idx="188">
                  <c:v>87.4</c:v>
                </c:pt>
                <c:pt idx="189">
                  <c:v>88.1</c:v>
                </c:pt>
                <c:pt idx="190">
                  <c:v>88.4</c:v>
                </c:pt>
                <c:pt idx="191">
                  <c:v>91.3</c:v>
                </c:pt>
                <c:pt idx="192">
                  <c:v>88.9</c:v>
                </c:pt>
                <c:pt idx="193">
                  <c:v>88.5</c:v>
                </c:pt>
                <c:pt idx="194">
                  <c:v>89.7</c:v>
                </c:pt>
                <c:pt idx="195">
                  <c:v>90.1</c:v>
                </c:pt>
                <c:pt idx="196">
                  <c:v>80.2</c:v>
                </c:pt>
                <c:pt idx="197">
                  <c:v>90.3</c:v>
                </c:pt>
                <c:pt idx="198">
                  <c:v>90.1</c:v>
                </c:pt>
                <c:pt idx="199">
                  <c:v>88.9</c:v>
                </c:pt>
                <c:pt idx="200">
                  <c:v>86.5</c:v>
                </c:pt>
                <c:pt idx="201">
                  <c:v>87.5</c:v>
                </c:pt>
                <c:pt idx="202">
                  <c:v>87.5</c:v>
                </c:pt>
                <c:pt idx="203">
                  <c:v>87.8</c:v>
                </c:pt>
                <c:pt idx="204">
                  <c:v>86.8</c:v>
                </c:pt>
                <c:pt idx="205">
                  <c:v>87.3</c:v>
                </c:pt>
                <c:pt idx="206">
                  <c:v>87.1</c:v>
                </c:pt>
                <c:pt idx="207">
                  <c:v>87.5</c:v>
                </c:pt>
                <c:pt idx="208">
                  <c:v>87.4</c:v>
                </c:pt>
                <c:pt idx="209">
                  <c:v>86.6</c:v>
                </c:pt>
                <c:pt idx="210">
                  <c:v>86</c:v>
                </c:pt>
                <c:pt idx="211">
                  <c:v>87</c:v>
                </c:pt>
                <c:pt idx="212">
                  <c:v>86.9</c:v>
                </c:pt>
                <c:pt idx="213">
                  <c:v>88.7</c:v>
                </c:pt>
                <c:pt idx="214">
                  <c:v>86.9</c:v>
                </c:pt>
                <c:pt idx="215">
                  <c:v>85.8</c:v>
                </c:pt>
                <c:pt idx="216">
                  <c:v>86.4</c:v>
                </c:pt>
                <c:pt idx="217">
                  <c:v>87.4</c:v>
                </c:pt>
                <c:pt idx="218">
                  <c:v>80.7</c:v>
                </c:pt>
                <c:pt idx="219">
                  <c:v>64.900000000000006</c:v>
                </c:pt>
                <c:pt idx="220">
                  <c:v>70.099999999999994</c:v>
                </c:pt>
                <c:pt idx="221">
                  <c:v>76.8</c:v>
                </c:pt>
                <c:pt idx="222">
                  <c:v>83.9</c:v>
                </c:pt>
                <c:pt idx="223">
                  <c:v>86.3</c:v>
                </c:pt>
                <c:pt idx="224">
                  <c:v>88.7</c:v>
                </c:pt>
                <c:pt idx="225">
                  <c:v>89.7</c:v>
                </c:pt>
                <c:pt idx="226">
                  <c:v>90.2</c:v>
                </c:pt>
                <c:pt idx="227">
                  <c:v>90.3</c:v>
                </c:pt>
                <c:pt idx="228">
                  <c:v>90.5</c:v>
                </c:pt>
                <c:pt idx="229">
                  <c:v>89.6</c:v>
                </c:pt>
                <c:pt idx="230">
                  <c:v>87.5</c:v>
                </c:pt>
                <c:pt idx="231">
                  <c:v>86.1</c:v>
                </c:pt>
                <c:pt idx="232">
                  <c:v>87.1</c:v>
                </c:pt>
                <c:pt idx="233">
                  <c:v>86.7</c:v>
                </c:pt>
                <c:pt idx="234">
                  <c:v>85.3</c:v>
                </c:pt>
                <c:pt idx="235">
                  <c:v>85.1</c:v>
                </c:pt>
                <c:pt idx="236">
                  <c:v>84.6</c:v>
                </c:pt>
                <c:pt idx="237">
                  <c:v>84.2</c:v>
                </c:pt>
                <c:pt idx="238">
                  <c:v>84.2</c:v>
                </c:pt>
                <c:pt idx="239">
                  <c:v>86.6</c:v>
                </c:pt>
              </c:numCache>
            </c:numRef>
          </c:val>
          <c:smooth val="0"/>
          <c:extLst>
            <c:ext xmlns:c16="http://schemas.microsoft.com/office/drawing/2014/chart" uri="{C3380CC4-5D6E-409C-BE32-E72D297353CC}">
              <c16:uniqueId val="{00000001-E16A-46B6-9A8F-11EBD2CED18C}"/>
            </c:ext>
          </c:extLst>
        </c:ser>
        <c:dLbls>
          <c:showLegendKey val="0"/>
          <c:showVal val="0"/>
          <c:showCatName val="0"/>
          <c:showSerName val="0"/>
          <c:showPercent val="0"/>
          <c:showBubbleSize val="0"/>
        </c:dLbls>
        <c:smooth val="0"/>
        <c:axId val="780837056"/>
        <c:axId val="780837888"/>
      </c:lineChart>
      <c:dateAx>
        <c:axId val="780837056"/>
        <c:scaling>
          <c:orientation val="minMax"/>
        </c:scaling>
        <c:delete val="0"/>
        <c:axPos val="b"/>
        <c:numFmt formatCode="[$-416]mmm\-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780837888"/>
        <c:crosses val="autoZero"/>
        <c:auto val="1"/>
        <c:lblOffset val="100"/>
        <c:baseTimeUnit val="months"/>
      </c:dateAx>
      <c:valAx>
        <c:axId val="780837888"/>
        <c:scaling>
          <c:orientation val="minMax"/>
          <c:min val="60"/>
        </c:scaling>
        <c:delete val="0"/>
        <c:axPos val="l"/>
        <c:majorGridlines>
          <c:spPr>
            <a:ln w="9525" cap="flat" cmpd="sng" algn="ctr">
              <a:solidFill>
                <a:schemeClr val="tx1">
                  <a:lumMod val="15000"/>
                  <a:lumOff val="85000"/>
                </a:schemeClr>
              </a:solidFill>
              <a:round/>
            </a:ln>
            <a:effectLst/>
          </c:spPr>
        </c:majorGridlines>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780837056"/>
        <c:crosses val="autoZero"/>
        <c:crossBetween val="between"/>
      </c:valAx>
      <c:spPr>
        <a:noFill/>
        <a:ln>
          <a:noFill/>
        </a:ln>
        <a:effectLst/>
      </c:spPr>
    </c:plotArea>
    <c:legend>
      <c:legendPos val="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pt-BR"/>
              <a:t>Industrial</a:t>
            </a:r>
            <a:r>
              <a:rPr lang="pt-BR" baseline="0"/>
              <a:t> Production</a:t>
            </a:r>
            <a:endParaRPr lang="pt-B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pt-BR"/>
        </a:p>
      </c:txPr>
    </c:title>
    <c:autoTitleDeleted val="0"/>
    <c:plotArea>
      <c:layout/>
      <c:lineChart>
        <c:grouping val="standard"/>
        <c:varyColors val="0"/>
        <c:ser>
          <c:idx val="0"/>
          <c:order val="0"/>
          <c:tx>
            <c:strRef>
              <c:f>'Monthly - Ind Prod'!$B$2</c:f>
              <c:strCache>
                <c:ptCount val="1"/>
                <c:pt idx="0">
                  <c:v>Industrial Production</c:v>
                </c:pt>
              </c:strCache>
            </c:strRef>
          </c:tx>
          <c:spPr>
            <a:ln w="28575" cap="rnd">
              <a:solidFill>
                <a:schemeClr val="accent1"/>
              </a:solidFill>
              <a:round/>
            </a:ln>
            <a:effectLst/>
          </c:spPr>
          <c:marker>
            <c:symbol val="none"/>
          </c:marker>
          <c:cat>
            <c:numRef>
              <c:f>'Monthly - Ind Prod'!$A$3:$A$242</c:f>
              <c:numCache>
                <c:formatCode>[$-416]mmm\-yy;@</c:formatCode>
                <c:ptCount val="240"/>
                <c:pt idx="0">
                  <c:v>37257</c:v>
                </c:pt>
                <c:pt idx="1">
                  <c:v>37288</c:v>
                </c:pt>
                <c:pt idx="2">
                  <c:v>37316</c:v>
                </c:pt>
                <c:pt idx="3">
                  <c:v>37347</c:v>
                </c:pt>
                <c:pt idx="4">
                  <c:v>37377</c:v>
                </c:pt>
                <c:pt idx="5">
                  <c:v>37408</c:v>
                </c:pt>
                <c:pt idx="6">
                  <c:v>37438</c:v>
                </c:pt>
                <c:pt idx="7">
                  <c:v>37469</c:v>
                </c:pt>
                <c:pt idx="8">
                  <c:v>37500</c:v>
                </c:pt>
                <c:pt idx="9">
                  <c:v>37530</c:v>
                </c:pt>
                <c:pt idx="10">
                  <c:v>37561</c:v>
                </c:pt>
                <c:pt idx="11">
                  <c:v>37591</c:v>
                </c:pt>
                <c:pt idx="12">
                  <c:v>37622</c:v>
                </c:pt>
                <c:pt idx="13">
                  <c:v>37653</c:v>
                </c:pt>
                <c:pt idx="14">
                  <c:v>37681</c:v>
                </c:pt>
                <c:pt idx="15">
                  <c:v>37712</c:v>
                </c:pt>
                <c:pt idx="16">
                  <c:v>37742</c:v>
                </c:pt>
                <c:pt idx="17">
                  <c:v>37773</c:v>
                </c:pt>
                <c:pt idx="18">
                  <c:v>37803</c:v>
                </c:pt>
                <c:pt idx="19">
                  <c:v>37834</c:v>
                </c:pt>
                <c:pt idx="20">
                  <c:v>37865</c:v>
                </c:pt>
                <c:pt idx="21">
                  <c:v>37895</c:v>
                </c:pt>
                <c:pt idx="22">
                  <c:v>37926</c:v>
                </c:pt>
                <c:pt idx="23">
                  <c:v>37956</c:v>
                </c:pt>
                <c:pt idx="24">
                  <c:v>37987</c:v>
                </c:pt>
                <c:pt idx="25">
                  <c:v>38018</c:v>
                </c:pt>
                <c:pt idx="26">
                  <c:v>38047</c:v>
                </c:pt>
                <c:pt idx="27">
                  <c:v>38078</c:v>
                </c:pt>
                <c:pt idx="28">
                  <c:v>38108</c:v>
                </c:pt>
                <c:pt idx="29">
                  <c:v>38139</c:v>
                </c:pt>
                <c:pt idx="30">
                  <c:v>38169</c:v>
                </c:pt>
                <c:pt idx="31">
                  <c:v>38200</c:v>
                </c:pt>
                <c:pt idx="32">
                  <c:v>38231</c:v>
                </c:pt>
                <c:pt idx="33">
                  <c:v>38261</c:v>
                </c:pt>
                <c:pt idx="34">
                  <c:v>38292</c:v>
                </c:pt>
                <c:pt idx="35">
                  <c:v>38322</c:v>
                </c:pt>
                <c:pt idx="36">
                  <c:v>38353</c:v>
                </c:pt>
                <c:pt idx="37">
                  <c:v>38384</c:v>
                </c:pt>
                <c:pt idx="38">
                  <c:v>38412</c:v>
                </c:pt>
                <c:pt idx="39">
                  <c:v>38443</c:v>
                </c:pt>
                <c:pt idx="40">
                  <c:v>38473</c:v>
                </c:pt>
                <c:pt idx="41">
                  <c:v>38504</c:v>
                </c:pt>
                <c:pt idx="42">
                  <c:v>38534</c:v>
                </c:pt>
                <c:pt idx="43">
                  <c:v>38565</c:v>
                </c:pt>
                <c:pt idx="44">
                  <c:v>38596</c:v>
                </c:pt>
                <c:pt idx="45">
                  <c:v>38626</c:v>
                </c:pt>
                <c:pt idx="46">
                  <c:v>38657</c:v>
                </c:pt>
                <c:pt idx="47">
                  <c:v>38687</c:v>
                </c:pt>
                <c:pt idx="48">
                  <c:v>38718</c:v>
                </c:pt>
                <c:pt idx="49">
                  <c:v>38749</c:v>
                </c:pt>
                <c:pt idx="50">
                  <c:v>38777</c:v>
                </c:pt>
                <c:pt idx="51">
                  <c:v>38808</c:v>
                </c:pt>
                <c:pt idx="52">
                  <c:v>38838</c:v>
                </c:pt>
                <c:pt idx="53">
                  <c:v>38869</c:v>
                </c:pt>
                <c:pt idx="54">
                  <c:v>38899</c:v>
                </c:pt>
                <c:pt idx="55">
                  <c:v>38930</c:v>
                </c:pt>
                <c:pt idx="56">
                  <c:v>38961</c:v>
                </c:pt>
                <c:pt idx="57">
                  <c:v>38991</c:v>
                </c:pt>
                <c:pt idx="58">
                  <c:v>39022</c:v>
                </c:pt>
                <c:pt idx="59">
                  <c:v>39052</c:v>
                </c:pt>
                <c:pt idx="60">
                  <c:v>39083</c:v>
                </c:pt>
                <c:pt idx="61">
                  <c:v>39114</c:v>
                </c:pt>
                <c:pt idx="62">
                  <c:v>39142</c:v>
                </c:pt>
                <c:pt idx="63">
                  <c:v>39173</c:v>
                </c:pt>
                <c:pt idx="64">
                  <c:v>39203</c:v>
                </c:pt>
                <c:pt idx="65">
                  <c:v>39234</c:v>
                </c:pt>
                <c:pt idx="66">
                  <c:v>39264</c:v>
                </c:pt>
                <c:pt idx="67">
                  <c:v>39295</c:v>
                </c:pt>
                <c:pt idx="68">
                  <c:v>39326</c:v>
                </c:pt>
                <c:pt idx="69">
                  <c:v>39356</c:v>
                </c:pt>
                <c:pt idx="70">
                  <c:v>39387</c:v>
                </c:pt>
                <c:pt idx="71">
                  <c:v>39417</c:v>
                </c:pt>
                <c:pt idx="72">
                  <c:v>39448</c:v>
                </c:pt>
                <c:pt idx="73">
                  <c:v>39479</c:v>
                </c:pt>
                <c:pt idx="74">
                  <c:v>39508</c:v>
                </c:pt>
                <c:pt idx="75">
                  <c:v>39539</c:v>
                </c:pt>
                <c:pt idx="76">
                  <c:v>39569</c:v>
                </c:pt>
                <c:pt idx="77">
                  <c:v>39600</c:v>
                </c:pt>
                <c:pt idx="78">
                  <c:v>39630</c:v>
                </c:pt>
                <c:pt idx="79">
                  <c:v>39661</c:v>
                </c:pt>
                <c:pt idx="80">
                  <c:v>39692</c:v>
                </c:pt>
                <c:pt idx="81">
                  <c:v>39722</c:v>
                </c:pt>
                <c:pt idx="82">
                  <c:v>39753</c:v>
                </c:pt>
                <c:pt idx="83">
                  <c:v>39783</c:v>
                </c:pt>
                <c:pt idx="84">
                  <c:v>39814</c:v>
                </c:pt>
                <c:pt idx="85">
                  <c:v>39845</c:v>
                </c:pt>
                <c:pt idx="86">
                  <c:v>39873</c:v>
                </c:pt>
                <c:pt idx="87">
                  <c:v>39904</c:v>
                </c:pt>
                <c:pt idx="88">
                  <c:v>39934</c:v>
                </c:pt>
                <c:pt idx="89">
                  <c:v>39965</c:v>
                </c:pt>
                <c:pt idx="90">
                  <c:v>39995</c:v>
                </c:pt>
                <c:pt idx="91">
                  <c:v>40026</c:v>
                </c:pt>
                <c:pt idx="92">
                  <c:v>40057</c:v>
                </c:pt>
                <c:pt idx="93">
                  <c:v>40087</c:v>
                </c:pt>
                <c:pt idx="94">
                  <c:v>40118</c:v>
                </c:pt>
                <c:pt idx="95">
                  <c:v>40148</c:v>
                </c:pt>
                <c:pt idx="96">
                  <c:v>40179</c:v>
                </c:pt>
                <c:pt idx="97">
                  <c:v>40210</c:v>
                </c:pt>
                <c:pt idx="98">
                  <c:v>40238</c:v>
                </c:pt>
                <c:pt idx="99">
                  <c:v>40269</c:v>
                </c:pt>
                <c:pt idx="100">
                  <c:v>40299</c:v>
                </c:pt>
                <c:pt idx="101">
                  <c:v>40330</c:v>
                </c:pt>
                <c:pt idx="102">
                  <c:v>40360</c:v>
                </c:pt>
                <c:pt idx="103">
                  <c:v>40391</c:v>
                </c:pt>
                <c:pt idx="104">
                  <c:v>40422</c:v>
                </c:pt>
                <c:pt idx="105">
                  <c:v>40452</c:v>
                </c:pt>
                <c:pt idx="106">
                  <c:v>40483</c:v>
                </c:pt>
                <c:pt idx="107">
                  <c:v>40513</c:v>
                </c:pt>
                <c:pt idx="108">
                  <c:v>40544</c:v>
                </c:pt>
                <c:pt idx="109">
                  <c:v>40575</c:v>
                </c:pt>
                <c:pt idx="110">
                  <c:v>40603</c:v>
                </c:pt>
                <c:pt idx="111">
                  <c:v>40634</c:v>
                </c:pt>
                <c:pt idx="112">
                  <c:v>40664</c:v>
                </c:pt>
                <c:pt idx="113">
                  <c:v>40695</c:v>
                </c:pt>
                <c:pt idx="114">
                  <c:v>40725</c:v>
                </c:pt>
                <c:pt idx="115">
                  <c:v>40756</c:v>
                </c:pt>
                <c:pt idx="116">
                  <c:v>40787</c:v>
                </c:pt>
                <c:pt idx="117">
                  <c:v>40817</c:v>
                </c:pt>
                <c:pt idx="118">
                  <c:v>40848</c:v>
                </c:pt>
                <c:pt idx="119">
                  <c:v>40878</c:v>
                </c:pt>
                <c:pt idx="120">
                  <c:v>40909</c:v>
                </c:pt>
                <c:pt idx="121">
                  <c:v>40940</c:v>
                </c:pt>
                <c:pt idx="122">
                  <c:v>40969</c:v>
                </c:pt>
                <c:pt idx="123">
                  <c:v>41000</c:v>
                </c:pt>
                <c:pt idx="124">
                  <c:v>41030</c:v>
                </c:pt>
                <c:pt idx="125">
                  <c:v>41061</c:v>
                </c:pt>
                <c:pt idx="126">
                  <c:v>41091</c:v>
                </c:pt>
                <c:pt idx="127">
                  <c:v>41122</c:v>
                </c:pt>
                <c:pt idx="128">
                  <c:v>41153</c:v>
                </c:pt>
                <c:pt idx="129">
                  <c:v>41183</c:v>
                </c:pt>
                <c:pt idx="130">
                  <c:v>41214</c:v>
                </c:pt>
                <c:pt idx="131">
                  <c:v>41244</c:v>
                </c:pt>
                <c:pt idx="132">
                  <c:v>41275</c:v>
                </c:pt>
                <c:pt idx="133">
                  <c:v>41306</c:v>
                </c:pt>
                <c:pt idx="134">
                  <c:v>41334</c:v>
                </c:pt>
                <c:pt idx="135">
                  <c:v>41365</c:v>
                </c:pt>
                <c:pt idx="136">
                  <c:v>41395</c:v>
                </c:pt>
                <c:pt idx="137">
                  <c:v>41426</c:v>
                </c:pt>
                <c:pt idx="138">
                  <c:v>41456</c:v>
                </c:pt>
                <c:pt idx="139">
                  <c:v>41487</c:v>
                </c:pt>
                <c:pt idx="140">
                  <c:v>41518</c:v>
                </c:pt>
                <c:pt idx="141">
                  <c:v>41548</c:v>
                </c:pt>
                <c:pt idx="142">
                  <c:v>41579</c:v>
                </c:pt>
                <c:pt idx="143">
                  <c:v>41609</c:v>
                </c:pt>
                <c:pt idx="144">
                  <c:v>41640</c:v>
                </c:pt>
                <c:pt idx="145">
                  <c:v>41671</c:v>
                </c:pt>
                <c:pt idx="146">
                  <c:v>41699</c:v>
                </c:pt>
                <c:pt idx="147">
                  <c:v>41730</c:v>
                </c:pt>
                <c:pt idx="148">
                  <c:v>41760</c:v>
                </c:pt>
                <c:pt idx="149">
                  <c:v>41791</c:v>
                </c:pt>
                <c:pt idx="150">
                  <c:v>41821</c:v>
                </c:pt>
                <c:pt idx="151">
                  <c:v>41852</c:v>
                </c:pt>
                <c:pt idx="152">
                  <c:v>41883</c:v>
                </c:pt>
                <c:pt idx="153">
                  <c:v>41913</c:v>
                </c:pt>
                <c:pt idx="154">
                  <c:v>41944</c:v>
                </c:pt>
                <c:pt idx="155">
                  <c:v>41974</c:v>
                </c:pt>
                <c:pt idx="156">
                  <c:v>42005</c:v>
                </c:pt>
                <c:pt idx="157">
                  <c:v>42036</c:v>
                </c:pt>
                <c:pt idx="158">
                  <c:v>42064</c:v>
                </c:pt>
                <c:pt idx="159">
                  <c:v>42095</c:v>
                </c:pt>
                <c:pt idx="160">
                  <c:v>42125</c:v>
                </c:pt>
                <c:pt idx="161">
                  <c:v>42156</c:v>
                </c:pt>
                <c:pt idx="162">
                  <c:v>42186</c:v>
                </c:pt>
                <c:pt idx="163">
                  <c:v>42217</c:v>
                </c:pt>
                <c:pt idx="164">
                  <c:v>42248</c:v>
                </c:pt>
                <c:pt idx="165">
                  <c:v>42278</c:v>
                </c:pt>
                <c:pt idx="166">
                  <c:v>42309</c:v>
                </c:pt>
                <c:pt idx="167">
                  <c:v>42339</c:v>
                </c:pt>
                <c:pt idx="168">
                  <c:v>42370</c:v>
                </c:pt>
                <c:pt idx="169">
                  <c:v>42401</c:v>
                </c:pt>
                <c:pt idx="170">
                  <c:v>42430</c:v>
                </c:pt>
                <c:pt idx="171">
                  <c:v>42461</c:v>
                </c:pt>
                <c:pt idx="172">
                  <c:v>42491</c:v>
                </c:pt>
                <c:pt idx="173">
                  <c:v>42522</c:v>
                </c:pt>
                <c:pt idx="174">
                  <c:v>42552</c:v>
                </c:pt>
                <c:pt idx="175">
                  <c:v>42583</c:v>
                </c:pt>
                <c:pt idx="176">
                  <c:v>42614</c:v>
                </c:pt>
                <c:pt idx="177">
                  <c:v>42644</c:v>
                </c:pt>
                <c:pt idx="178">
                  <c:v>42675</c:v>
                </c:pt>
                <c:pt idx="179">
                  <c:v>42705</c:v>
                </c:pt>
                <c:pt idx="180">
                  <c:v>42736</c:v>
                </c:pt>
                <c:pt idx="181">
                  <c:v>42767</c:v>
                </c:pt>
                <c:pt idx="182">
                  <c:v>42795</c:v>
                </c:pt>
                <c:pt idx="183">
                  <c:v>42826</c:v>
                </c:pt>
                <c:pt idx="184">
                  <c:v>42856</c:v>
                </c:pt>
                <c:pt idx="185">
                  <c:v>42887</c:v>
                </c:pt>
                <c:pt idx="186">
                  <c:v>42917</c:v>
                </c:pt>
                <c:pt idx="187">
                  <c:v>42948</c:v>
                </c:pt>
                <c:pt idx="188">
                  <c:v>42979</c:v>
                </c:pt>
                <c:pt idx="189">
                  <c:v>43009</c:v>
                </c:pt>
                <c:pt idx="190">
                  <c:v>43040</c:v>
                </c:pt>
                <c:pt idx="191">
                  <c:v>43070</c:v>
                </c:pt>
                <c:pt idx="192">
                  <c:v>43101</c:v>
                </c:pt>
                <c:pt idx="193">
                  <c:v>43132</c:v>
                </c:pt>
                <c:pt idx="194">
                  <c:v>43160</c:v>
                </c:pt>
                <c:pt idx="195">
                  <c:v>43191</c:v>
                </c:pt>
                <c:pt idx="196">
                  <c:v>43221</c:v>
                </c:pt>
                <c:pt idx="197">
                  <c:v>43252</c:v>
                </c:pt>
                <c:pt idx="198">
                  <c:v>43282</c:v>
                </c:pt>
                <c:pt idx="199">
                  <c:v>43313</c:v>
                </c:pt>
                <c:pt idx="200">
                  <c:v>43344</c:v>
                </c:pt>
                <c:pt idx="201">
                  <c:v>43374</c:v>
                </c:pt>
                <c:pt idx="202">
                  <c:v>43405</c:v>
                </c:pt>
                <c:pt idx="203">
                  <c:v>43435</c:v>
                </c:pt>
                <c:pt idx="204">
                  <c:v>43466</c:v>
                </c:pt>
                <c:pt idx="205">
                  <c:v>43497</c:v>
                </c:pt>
                <c:pt idx="206">
                  <c:v>43525</c:v>
                </c:pt>
                <c:pt idx="207">
                  <c:v>43556</c:v>
                </c:pt>
                <c:pt idx="208">
                  <c:v>43586</c:v>
                </c:pt>
                <c:pt idx="209">
                  <c:v>43617</c:v>
                </c:pt>
                <c:pt idx="210">
                  <c:v>43647</c:v>
                </c:pt>
                <c:pt idx="211">
                  <c:v>43678</c:v>
                </c:pt>
                <c:pt idx="212">
                  <c:v>43709</c:v>
                </c:pt>
                <c:pt idx="213">
                  <c:v>43739</c:v>
                </c:pt>
                <c:pt idx="214">
                  <c:v>43770</c:v>
                </c:pt>
                <c:pt idx="215">
                  <c:v>43800</c:v>
                </c:pt>
                <c:pt idx="216">
                  <c:v>43831</c:v>
                </c:pt>
                <c:pt idx="217">
                  <c:v>43862</c:v>
                </c:pt>
                <c:pt idx="218">
                  <c:v>43891</c:v>
                </c:pt>
                <c:pt idx="219">
                  <c:v>43922</c:v>
                </c:pt>
                <c:pt idx="220">
                  <c:v>43952</c:v>
                </c:pt>
                <c:pt idx="221">
                  <c:v>43983</c:v>
                </c:pt>
                <c:pt idx="222">
                  <c:v>44013</c:v>
                </c:pt>
                <c:pt idx="223">
                  <c:v>44044</c:v>
                </c:pt>
                <c:pt idx="224">
                  <c:v>44075</c:v>
                </c:pt>
                <c:pt idx="225">
                  <c:v>44105</c:v>
                </c:pt>
                <c:pt idx="226">
                  <c:v>44136</c:v>
                </c:pt>
                <c:pt idx="227">
                  <c:v>44166</c:v>
                </c:pt>
                <c:pt idx="228">
                  <c:v>44197</c:v>
                </c:pt>
                <c:pt idx="229">
                  <c:v>44228</c:v>
                </c:pt>
                <c:pt idx="230">
                  <c:v>44256</c:v>
                </c:pt>
                <c:pt idx="231">
                  <c:v>44287</c:v>
                </c:pt>
                <c:pt idx="232">
                  <c:v>44317</c:v>
                </c:pt>
                <c:pt idx="233">
                  <c:v>44348</c:v>
                </c:pt>
                <c:pt idx="234">
                  <c:v>44378</c:v>
                </c:pt>
                <c:pt idx="235">
                  <c:v>44409</c:v>
                </c:pt>
                <c:pt idx="236">
                  <c:v>44440</c:v>
                </c:pt>
                <c:pt idx="237">
                  <c:v>44470</c:v>
                </c:pt>
                <c:pt idx="238">
                  <c:v>44501</c:v>
                </c:pt>
                <c:pt idx="239">
                  <c:v>44531</c:v>
                </c:pt>
              </c:numCache>
            </c:numRef>
          </c:cat>
          <c:val>
            <c:numRef>
              <c:f>'Monthly - Ind Prod'!$B$3:$B$242</c:f>
              <c:numCache>
                <c:formatCode>0.0</c:formatCode>
                <c:ptCount val="240"/>
                <c:pt idx="0">
                  <c:v>72.400000000000006</c:v>
                </c:pt>
                <c:pt idx="1">
                  <c:v>69.7</c:v>
                </c:pt>
                <c:pt idx="2">
                  <c:v>77.400000000000006</c:v>
                </c:pt>
                <c:pt idx="3">
                  <c:v>79.599999999999994</c:v>
                </c:pt>
                <c:pt idx="4">
                  <c:v>80.400000000000006</c:v>
                </c:pt>
                <c:pt idx="5">
                  <c:v>77.5</c:v>
                </c:pt>
                <c:pt idx="6">
                  <c:v>83.3</c:v>
                </c:pt>
                <c:pt idx="7">
                  <c:v>83.6</c:v>
                </c:pt>
                <c:pt idx="8">
                  <c:v>82.1</c:v>
                </c:pt>
                <c:pt idx="9">
                  <c:v>89.2</c:v>
                </c:pt>
                <c:pt idx="10">
                  <c:v>83.9</c:v>
                </c:pt>
                <c:pt idx="11">
                  <c:v>74.599999999999994</c:v>
                </c:pt>
                <c:pt idx="12">
                  <c:v>74</c:v>
                </c:pt>
                <c:pt idx="13">
                  <c:v>71.8</c:v>
                </c:pt>
                <c:pt idx="14">
                  <c:v>77.400000000000006</c:v>
                </c:pt>
                <c:pt idx="15">
                  <c:v>76.5</c:v>
                </c:pt>
                <c:pt idx="16">
                  <c:v>79.7</c:v>
                </c:pt>
                <c:pt idx="17">
                  <c:v>76.3</c:v>
                </c:pt>
                <c:pt idx="18">
                  <c:v>81.3</c:v>
                </c:pt>
                <c:pt idx="19">
                  <c:v>81.599999999999994</c:v>
                </c:pt>
                <c:pt idx="20">
                  <c:v>85.7</c:v>
                </c:pt>
                <c:pt idx="21">
                  <c:v>90</c:v>
                </c:pt>
                <c:pt idx="22">
                  <c:v>84.6</c:v>
                </c:pt>
                <c:pt idx="23">
                  <c:v>77.900000000000006</c:v>
                </c:pt>
                <c:pt idx="24">
                  <c:v>76.8</c:v>
                </c:pt>
                <c:pt idx="25">
                  <c:v>74</c:v>
                </c:pt>
                <c:pt idx="26">
                  <c:v>86.9</c:v>
                </c:pt>
                <c:pt idx="27">
                  <c:v>82.2</c:v>
                </c:pt>
                <c:pt idx="28">
                  <c:v>86.3</c:v>
                </c:pt>
                <c:pt idx="29">
                  <c:v>86.1</c:v>
                </c:pt>
                <c:pt idx="30">
                  <c:v>90.1</c:v>
                </c:pt>
                <c:pt idx="31">
                  <c:v>92.1</c:v>
                </c:pt>
                <c:pt idx="32">
                  <c:v>92.1</c:v>
                </c:pt>
                <c:pt idx="33">
                  <c:v>93.5</c:v>
                </c:pt>
                <c:pt idx="34">
                  <c:v>91.8</c:v>
                </c:pt>
                <c:pt idx="35">
                  <c:v>84.7</c:v>
                </c:pt>
                <c:pt idx="36">
                  <c:v>81</c:v>
                </c:pt>
                <c:pt idx="37">
                  <c:v>76.400000000000006</c:v>
                </c:pt>
                <c:pt idx="38">
                  <c:v>88</c:v>
                </c:pt>
                <c:pt idx="39">
                  <c:v>87</c:v>
                </c:pt>
                <c:pt idx="40">
                  <c:v>91.1</c:v>
                </c:pt>
                <c:pt idx="41">
                  <c:v>91.4</c:v>
                </c:pt>
                <c:pt idx="42">
                  <c:v>90.5</c:v>
                </c:pt>
                <c:pt idx="43">
                  <c:v>95.6</c:v>
                </c:pt>
                <c:pt idx="44">
                  <c:v>92</c:v>
                </c:pt>
                <c:pt idx="45">
                  <c:v>93.7</c:v>
                </c:pt>
                <c:pt idx="46">
                  <c:v>92.4</c:v>
                </c:pt>
                <c:pt idx="47">
                  <c:v>86.6</c:v>
                </c:pt>
                <c:pt idx="48">
                  <c:v>83.7</c:v>
                </c:pt>
                <c:pt idx="49">
                  <c:v>80.2</c:v>
                </c:pt>
                <c:pt idx="50">
                  <c:v>92.4</c:v>
                </c:pt>
                <c:pt idx="51">
                  <c:v>85.7</c:v>
                </c:pt>
                <c:pt idx="52">
                  <c:v>95.4</c:v>
                </c:pt>
                <c:pt idx="53">
                  <c:v>91.1</c:v>
                </c:pt>
                <c:pt idx="54">
                  <c:v>93.8</c:v>
                </c:pt>
                <c:pt idx="55">
                  <c:v>98.6</c:v>
                </c:pt>
                <c:pt idx="56">
                  <c:v>93.2</c:v>
                </c:pt>
                <c:pt idx="57">
                  <c:v>97.5</c:v>
                </c:pt>
                <c:pt idx="58">
                  <c:v>95.9</c:v>
                </c:pt>
                <c:pt idx="59">
                  <c:v>87</c:v>
                </c:pt>
                <c:pt idx="60">
                  <c:v>87</c:v>
                </c:pt>
                <c:pt idx="61">
                  <c:v>82.6</c:v>
                </c:pt>
                <c:pt idx="62">
                  <c:v>96.4</c:v>
                </c:pt>
                <c:pt idx="63">
                  <c:v>90.6</c:v>
                </c:pt>
                <c:pt idx="64">
                  <c:v>99.9</c:v>
                </c:pt>
                <c:pt idx="65">
                  <c:v>96.9</c:v>
                </c:pt>
                <c:pt idx="66">
                  <c:v>99.8</c:v>
                </c:pt>
                <c:pt idx="67">
                  <c:v>104.9</c:v>
                </c:pt>
                <c:pt idx="68">
                  <c:v>98.4</c:v>
                </c:pt>
                <c:pt idx="69">
                  <c:v>107.8</c:v>
                </c:pt>
                <c:pt idx="70">
                  <c:v>102.4</c:v>
                </c:pt>
                <c:pt idx="71">
                  <c:v>92.6</c:v>
                </c:pt>
                <c:pt idx="72">
                  <c:v>94.8</c:v>
                </c:pt>
                <c:pt idx="73">
                  <c:v>91.1</c:v>
                </c:pt>
                <c:pt idx="74">
                  <c:v>97.7</c:v>
                </c:pt>
                <c:pt idx="75">
                  <c:v>99.2</c:v>
                </c:pt>
                <c:pt idx="76">
                  <c:v>102.5</c:v>
                </c:pt>
                <c:pt idx="77">
                  <c:v>103.3</c:v>
                </c:pt>
                <c:pt idx="78">
                  <c:v>108.5</c:v>
                </c:pt>
                <c:pt idx="79">
                  <c:v>106.9</c:v>
                </c:pt>
                <c:pt idx="80">
                  <c:v>107.3</c:v>
                </c:pt>
                <c:pt idx="81">
                  <c:v>108.4</c:v>
                </c:pt>
                <c:pt idx="82">
                  <c:v>96.2</c:v>
                </c:pt>
                <c:pt idx="83">
                  <c:v>79.099999999999994</c:v>
                </c:pt>
                <c:pt idx="84">
                  <c:v>78.7</c:v>
                </c:pt>
                <c:pt idx="85">
                  <c:v>76.099999999999994</c:v>
                </c:pt>
                <c:pt idx="86">
                  <c:v>88.6</c:v>
                </c:pt>
                <c:pt idx="87">
                  <c:v>85.2</c:v>
                </c:pt>
                <c:pt idx="88">
                  <c:v>91.3</c:v>
                </c:pt>
                <c:pt idx="89">
                  <c:v>92.2</c:v>
                </c:pt>
                <c:pt idx="90">
                  <c:v>97.7</c:v>
                </c:pt>
                <c:pt idx="91">
                  <c:v>99.6</c:v>
                </c:pt>
                <c:pt idx="92">
                  <c:v>99.4</c:v>
                </c:pt>
                <c:pt idx="93">
                  <c:v>105.6</c:v>
                </c:pt>
                <c:pt idx="94">
                  <c:v>101.4</c:v>
                </c:pt>
                <c:pt idx="95">
                  <c:v>94.1</c:v>
                </c:pt>
                <c:pt idx="96">
                  <c:v>91.2</c:v>
                </c:pt>
                <c:pt idx="97">
                  <c:v>89</c:v>
                </c:pt>
                <c:pt idx="98">
                  <c:v>105.1</c:v>
                </c:pt>
                <c:pt idx="99">
                  <c:v>99.3</c:v>
                </c:pt>
                <c:pt idx="100">
                  <c:v>104.3</c:v>
                </c:pt>
                <c:pt idx="101">
                  <c:v>102.5</c:v>
                </c:pt>
                <c:pt idx="102">
                  <c:v>106.9</c:v>
                </c:pt>
                <c:pt idx="103">
                  <c:v>108.1</c:v>
                </c:pt>
                <c:pt idx="104">
                  <c:v>105.8</c:v>
                </c:pt>
                <c:pt idx="105">
                  <c:v>107.7</c:v>
                </c:pt>
                <c:pt idx="106">
                  <c:v>106.8</c:v>
                </c:pt>
                <c:pt idx="107">
                  <c:v>96.6</c:v>
                </c:pt>
                <c:pt idx="108">
                  <c:v>93.2</c:v>
                </c:pt>
                <c:pt idx="109">
                  <c:v>95.4</c:v>
                </c:pt>
                <c:pt idx="110">
                  <c:v>104.4</c:v>
                </c:pt>
                <c:pt idx="111">
                  <c:v>97.5</c:v>
                </c:pt>
                <c:pt idx="112">
                  <c:v>107.1</c:v>
                </c:pt>
                <c:pt idx="113">
                  <c:v>102.8</c:v>
                </c:pt>
                <c:pt idx="114">
                  <c:v>106.1</c:v>
                </c:pt>
                <c:pt idx="115">
                  <c:v>110.8</c:v>
                </c:pt>
                <c:pt idx="116">
                  <c:v>104.8</c:v>
                </c:pt>
                <c:pt idx="117">
                  <c:v>106.3</c:v>
                </c:pt>
                <c:pt idx="118">
                  <c:v>104.2</c:v>
                </c:pt>
                <c:pt idx="119">
                  <c:v>95.7</c:v>
                </c:pt>
                <c:pt idx="120">
                  <c:v>88.7</c:v>
                </c:pt>
                <c:pt idx="121">
                  <c:v>89.8</c:v>
                </c:pt>
                <c:pt idx="122">
                  <c:v>99.7</c:v>
                </c:pt>
                <c:pt idx="123">
                  <c:v>92.8</c:v>
                </c:pt>
                <c:pt idx="124">
                  <c:v>102.5</c:v>
                </c:pt>
                <c:pt idx="125">
                  <c:v>98.3</c:v>
                </c:pt>
                <c:pt idx="126">
                  <c:v>104.5</c:v>
                </c:pt>
                <c:pt idx="127">
                  <c:v>111.5</c:v>
                </c:pt>
                <c:pt idx="128">
                  <c:v>103.4</c:v>
                </c:pt>
                <c:pt idx="129">
                  <c:v>111.8</c:v>
                </c:pt>
                <c:pt idx="130">
                  <c:v>104.8</c:v>
                </c:pt>
                <c:pt idx="131">
                  <c:v>92.2</c:v>
                </c:pt>
                <c:pt idx="132">
                  <c:v>94.5</c:v>
                </c:pt>
                <c:pt idx="133">
                  <c:v>88.1</c:v>
                </c:pt>
                <c:pt idx="134">
                  <c:v>97.7</c:v>
                </c:pt>
                <c:pt idx="135">
                  <c:v>101.8</c:v>
                </c:pt>
                <c:pt idx="136">
                  <c:v>105</c:v>
                </c:pt>
                <c:pt idx="137">
                  <c:v>101.7</c:v>
                </c:pt>
                <c:pt idx="138">
                  <c:v>108</c:v>
                </c:pt>
                <c:pt idx="139">
                  <c:v>112</c:v>
                </c:pt>
                <c:pt idx="140">
                  <c:v>107.3</c:v>
                </c:pt>
                <c:pt idx="141">
                  <c:v>112.6</c:v>
                </c:pt>
                <c:pt idx="142">
                  <c:v>106.1</c:v>
                </c:pt>
                <c:pt idx="143">
                  <c:v>90.1</c:v>
                </c:pt>
                <c:pt idx="144">
                  <c:v>92.6</c:v>
                </c:pt>
                <c:pt idx="145">
                  <c:v>92.3</c:v>
                </c:pt>
                <c:pt idx="146">
                  <c:v>97.3</c:v>
                </c:pt>
                <c:pt idx="147">
                  <c:v>96</c:v>
                </c:pt>
                <c:pt idx="148">
                  <c:v>101.7</c:v>
                </c:pt>
                <c:pt idx="149">
                  <c:v>94.9</c:v>
                </c:pt>
                <c:pt idx="150">
                  <c:v>104.4</c:v>
                </c:pt>
                <c:pt idx="151">
                  <c:v>106.3</c:v>
                </c:pt>
                <c:pt idx="152">
                  <c:v>105.6</c:v>
                </c:pt>
                <c:pt idx="153">
                  <c:v>109.3</c:v>
                </c:pt>
                <c:pt idx="154">
                  <c:v>99.8</c:v>
                </c:pt>
                <c:pt idx="155">
                  <c:v>87.7</c:v>
                </c:pt>
                <c:pt idx="156">
                  <c:v>88.1</c:v>
                </c:pt>
                <c:pt idx="157">
                  <c:v>83.7</c:v>
                </c:pt>
                <c:pt idx="158">
                  <c:v>94.3</c:v>
                </c:pt>
                <c:pt idx="159">
                  <c:v>88.8</c:v>
                </c:pt>
                <c:pt idx="160">
                  <c:v>93.1</c:v>
                </c:pt>
                <c:pt idx="161">
                  <c:v>92.5</c:v>
                </c:pt>
                <c:pt idx="162">
                  <c:v>95.5</c:v>
                </c:pt>
                <c:pt idx="163">
                  <c:v>97.6</c:v>
                </c:pt>
                <c:pt idx="164">
                  <c:v>94.3</c:v>
                </c:pt>
                <c:pt idx="165">
                  <c:v>97.2</c:v>
                </c:pt>
                <c:pt idx="166">
                  <c:v>87.6</c:v>
                </c:pt>
                <c:pt idx="167">
                  <c:v>77.2</c:v>
                </c:pt>
                <c:pt idx="168">
                  <c:v>76.3</c:v>
                </c:pt>
                <c:pt idx="169">
                  <c:v>75.8</c:v>
                </c:pt>
                <c:pt idx="170">
                  <c:v>83.7</c:v>
                </c:pt>
                <c:pt idx="171">
                  <c:v>83</c:v>
                </c:pt>
                <c:pt idx="172">
                  <c:v>86.3</c:v>
                </c:pt>
                <c:pt idx="173">
                  <c:v>87.7</c:v>
                </c:pt>
                <c:pt idx="174">
                  <c:v>89.6</c:v>
                </c:pt>
                <c:pt idx="175">
                  <c:v>93</c:v>
                </c:pt>
                <c:pt idx="176">
                  <c:v>90.7</c:v>
                </c:pt>
                <c:pt idx="177">
                  <c:v>90.2</c:v>
                </c:pt>
                <c:pt idx="178">
                  <c:v>86.5</c:v>
                </c:pt>
                <c:pt idx="179">
                  <c:v>77.2</c:v>
                </c:pt>
                <c:pt idx="180">
                  <c:v>77.900000000000006</c:v>
                </c:pt>
                <c:pt idx="181">
                  <c:v>75.900000000000006</c:v>
                </c:pt>
                <c:pt idx="182">
                  <c:v>85.4</c:v>
                </c:pt>
                <c:pt idx="183">
                  <c:v>79.3</c:v>
                </c:pt>
                <c:pt idx="184">
                  <c:v>90.1</c:v>
                </c:pt>
                <c:pt idx="185">
                  <c:v>88.4</c:v>
                </c:pt>
                <c:pt idx="186">
                  <c:v>92.1</c:v>
                </c:pt>
                <c:pt idx="187">
                  <c:v>96.7</c:v>
                </c:pt>
                <c:pt idx="188">
                  <c:v>93</c:v>
                </c:pt>
                <c:pt idx="189">
                  <c:v>95.1</c:v>
                </c:pt>
                <c:pt idx="190">
                  <c:v>90.6</c:v>
                </c:pt>
                <c:pt idx="191">
                  <c:v>81</c:v>
                </c:pt>
                <c:pt idx="192">
                  <c:v>82.3</c:v>
                </c:pt>
                <c:pt idx="193">
                  <c:v>77.3</c:v>
                </c:pt>
                <c:pt idx="194">
                  <c:v>86.2</c:v>
                </c:pt>
                <c:pt idx="195">
                  <c:v>86.5</c:v>
                </c:pt>
                <c:pt idx="196">
                  <c:v>84.4</c:v>
                </c:pt>
                <c:pt idx="197">
                  <c:v>91.1</c:v>
                </c:pt>
                <c:pt idx="198">
                  <c:v>95.8</c:v>
                </c:pt>
                <c:pt idx="199">
                  <c:v>98.2</c:v>
                </c:pt>
                <c:pt idx="200">
                  <c:v>90.7</c:v>
                </c:pt>
                <c:pt idx="201">
                  <c:v>95.8</c:v>
                </c:pt>
                <c:pt idx="202">
                  <c:v>89.5</c:v>
                </c:pt>
                <c:pt idx="203">
                  <c:v>78</c:v>
                </c:pt>
                <c:pt idx="204">
                  <c:v>80.7</c:v>
                </c:pt>
                <c:pt idx="205">
                  <c:v>79.099999999999994</c:v>
                </c:pt>
                <c:pt idx="206">
                  <c:v>81</c:v>
                </c:pt>
                <c:pt idx="207">
                  <c:v>83.3</c:v>
                </c:pt>
                <c:pt idx="208">
                  <c:v>91</c:v>
                </c:pt>
                <c:pt idx="209">
                  <c:v>85.8</c:v>
                </c:pt>
                <c:pt idx="210">
                  <c:v>93.4</c:v>
                </c:pt>
                <c:pt idx="211">
                  <c:v>96.2</c:v>
                </c:pt>
                <c:pt idx="212">
                  <c:v>91.8</c:v>
                </c:pt>
                <c:pt idx="213">
                  <c:v>97</c:v>
                </c:pt>
                <c:pt idx="214">
                  <c:v>88</c:v>
                </c:pt>
                <c:pt idx="215">
                  <c:v>76.900000000000006</c:v>
                </c:pt>
                <c:pt idx="216">
                  <c:v>80</c:v>
                </c:pt>
                <c:pt idx="217">
                  <c:v>78.900000000000006</c:v>
                </c:pt>
                <c:pt idx="218">
                  <c:v>77.900000000000006</c:v>
                </c:pt>
                <c:pt idx="219">
                  <c:v>60.3</c:v>
                </c:pt>
                <c:pt idx="220">
                  <c:v>71.2</c:v>
                </c:pt>
                <c:pt idx="221">
                  <c:v>78.400000000000006</c:v>
                </c:pt>
                <c:pt idx="222">
                  <c:v>91</c:v>
                </c:pt>
                <c:pt idx="223">
                  <c:v>93.9</c:v>
                </c:pt>
                <c:pt idx="224">
                  <c:v>95.4</c:v>
                </c:pt>
                <c:pt idx="225">
                  <c:v>97.3</c:v>
                </c:pt>
                <c:pt idx="226">
                  <c:v>90.2</c:v>
                </c:pt>
                <c:pt idx="227" formatCode="General">
                  <c:v>83.3</c:v>
                </c:pt>
                <c:pt idx="228" formatCode="General">
                  <c:v>81.900000000000006</c:v>
                </c:pt>
                <c:pt idx="229" formatCode="General">
                  <c:v>79.099999999999994</c:v>
                </c:pt>
                <c:pt idx="230" formatCode="General">
                  <c:v>86.1</c:v>
                </c:pt>
                <c:pt idx="231" formatCode="General">
                  <c:v>81.3</c:v>
                </c:pt>
                <c:pt idx="232" formatCode="General">
                  <c:v>88.4</c:v>
                </c:pt>
                <c:pt idx="233" formatCode="General">
                  <c:v>87.9</c:v>
                </c:pt>
                <c:pt idx="234" formatCode="General">
                  <c:v>92.2</c:v>
                </c:pt>
                <c:pt idx="235" formatCode="General">
                  <c:v>93.4</c:v>
                </c:pt>
                <c:pt idx="236" formatCode="General">
                  <c:v>91.5</c:v>
                </c:pt>
                <c:pt idx="237" formatCode="General">
                  <c:v>89.7</c:v>
                </c:pt>
                <c:pt idx="238" formatCode="General">
                  <c:v>86.2</c:v>
                </c:pt>
                <c:pt idx="239" formatCode="General">
                  <c:v>79.2</c:v>
                </c:pt>
              </c:numCache>
            </c:numRef>
          </c:val>
          <c:smooth val="0"/>
          <c:extLst>
            <c:ext xmlns:c16="http://schemas.microsoft.com/office/drawing/2014/chart" uri="{C3380CC4-5D6E-409C-BE32-E72D297353CC}">
              <c16:uniqueId val="{00000000-8AE4-4579-8A9B-1AB58D06C53B}"/>
            </c:ext>
          </c:extLst>
        </c:ser>
        <c:ser>
          <c:idx val="1"/>
          <c:order val="1"/>
          <c:tx>
            <c:v>xlDESSAZ SA</c:v>
          </c:tx>
          <c:spPr>
            <a:ln w="28575" cap="rnd">
              <a:solidFill>
                <a:schemeClr val="accent2"/>
              </a:solidFill>
              <a:round/>
            </a:ln>
            <a:effectLst/>
          </c:spPr>
          <c:marker>
            <c:symbol val="none"/>
          </c:marker>
          <c:cat>
            <c:numRef>
              <c:f>'Monthly - Ind Prod'!$A$3:$A$242</c:f>
              <c:numCache>
                <c:formatCode>[$-416]mmm\-yy;@</c:formatCode>
                <c:ptCount val="240"/>
                <c:pt idx="0">
                  <c:v>37257</c:v>
                </c:pt>
                <c:pt idx="1">
                  <c:v>37288</c:v>
                </c:pt>
                <c:pt idx="2">
                  <c:v>37316</c:v>
                </c:pt>
                <c:pt idx="3">
                  <c:v>37347</c:v>
                </c:pt>
                <c:pt idx="4">
                  <c:v>37377</c:v>
                </c:pt>
                <c:pt idx="5">
                  <c:v>37408</c:v>
                </c:pt>
                <c:pt idx="6">
                  <c:v>37438</c:v>
                </c:pt>
                <c:pt idx="7">
                  <c:v>37469</c:v>
                </c:pt>
                <c:pt idx="8">
                  <c:v>37500</c:v>
                </c:pt>
                <c:pt idx="9">
                  <c:v>37530</c:v>
                </c:pt>
                <c:pt idx="10">
                  <c:v>37561</c:v>
                </c:pt>
                <c:pt idx="11">
                  <c:v>37591</c:v>
                </c:pt>
                <c:pt idx="12">
                  <c:v>37622</c:v>
                </c:pt>
                <c:pt idx="13">
                  <c:v>37653</c:v>
                </c:pt>
                <c:pt idx="14">
                  <c:v>37681</c:v>
                </c:pt>
                <c:pt idx="15">
                  <c:v>37712</c:v>
                </c:pt>
                <c:pt idx="16">
                  <c:v>37742</c:v>
                </c:pt>
                <c:pt idx="17">
                  <c:v>37773</c:v>
                </c:pt>
                <c:pt idx="18">
                  <c:v>37803</c:v>
                </c:pt>
                <c:pt idx="19">
                  <c:v>37834</c:v>
                </c:pt>
                <c:pt idx="20">
                  <c:v>37865</c:v>
                </c:pt>
                <c:pt idx="21">
                  <c:v>37895</c:v>
                </c:pt>
                <c:pt idx="22">
                  <c:v>37926</c:v>
                </c:pt>
                <c:pt idx="23">
                  <c:v>37956</c:v>
                </c:pt>
                <c:pt idx="24">
                  <c:v>37987</c:v>
                </c:pt>
                <c:pt idx="25">
                  <c:v>38018</c:v>
                </c:pt>
                <c:pt idx="26">
                  <c:v>38047</c:v>
                </c:pt>
                <c:pt idx="27">
                  <c:v>38078</c:v>
                </c:pt>
                <c:pt idx="28">
                  <c:v>38108</c:v>
                </c:pt>
                <c:pt idx="29">
                  <c:v>38139</c:v>
                </c:pt>
                <c:pt idx="30">
                  <c:v>38169</c:v>
                </c:pt>
                <c:pt idx="31">
                  <c:v>38200</c:v>
                </c:pt>
                <c:pt idx="32">
                  <c:v>38231</c:v>
                </c:pt>
                <c:pt idx="33">
                  <c:v>38261</c:v>
                </c:pt>
                <c:pt idx="34">
                  <c:v>38292</c:v>
                </c:pt>
                <c:pt idx="35">
                  <c:v>38322</c:v>
                </c:pt>
                <c:pt idx="36">
                  <c:v>38353</c:v>
                </c:pt>
                <c:pt idx="37">
                  <c:v>38384</c:v>
                </c:pt>
                <c:pt idx="38">
                  <c:v>38412</c:v>
                </c:pt>
                <c:pt idx="39">
                  <c:v>38443</c:v>
                </c:pt>
                <c:pt idx="40">
                  <c:v>38473</c:v>
                </c:pt>
                <c:pt idx="41">
                  <c:v>38504</c:v>
                </c:pt>
                <c:pt idx="42">
                  <c:v>38534</c:v>
                </c:pt>
                <c:pt idx="43">
                  <c:v>38565</c:v>
                </c:pt>
                <c:pt idx="44">
                  <c:v>38596</c:v>
                </c:pt>
                <c:pt idx="45">
                  <c:v>38626</c:v>
                </c:pt>
                <c:pt idx="46">
                  <c:v>38657</c:v>
                </c:pt>
                <c:pt idx="47">
                  <c:v>38687</c:v>
                </c:pt>
                <c:pt idx="48">
                  <c:v>38718</c:v>
                </c:pt>
                <c:pt idx="49">
                  <c:v>38749</c:v>
                </c:pt>
                <c:pt idx="50">
                  <c:v>38777</c:v>
                </c:pt>
                <c:pt idx="51">
                  <c:v>38808</c:v>
                </c:pt>
                <c:pt idx="52">
                  <c:v>38838</c:v>
                </c:pt>
                <c:pt idx="53">
                  <c:v>38869</c:v>
                </c:pt>
                <c:pt idx="54">
                  <c:v>38899</c:v>
                </c:pt>
                <c:pt idx="55">
                  <c:v>38930</c:v>
                </c:pt>
                <c:pt idx="56">
                  <c:v>38961</c:v>
                </c:pt>
                <c:pt idx="57">
                  <c:v>38991</c:v>
                </c:pt>
                <c:pt idx="58">
                  <c:v>39022</c:v>
                </c:pt>
                <c:pt idx="59">
                  <c:v>39052</c:v>
                </c:pt>
                <c:pt idx="60">
                  <c:v>39083</c:v>
                </c:pt>
                <c:pt idx="61">
                  <c:v>39114</c:v>
                </c:pt>
                <c:pt idx="62">
                  <c:v>39142</c:v>
                </c:pt>
                <c:pt idx="63">
                  <c:v>39173</c:v>
                </c:pt>
                <c:pt idx="64">
                  <c:v>39203</c:v>
                </c:pt>
                <c:pt idx="65">
                  <c:v>39234</c:v>
                </c:pt>
                <c:pt idx="66">
                  <c:v>39264</c:v>
                </c:pt>
                <c:pt idx="67">
                  <c:v>39295</c:v>
                </c:pt>
                <c:pt idx="68">
                  <c:v>39326</c:v>
                </c:pt>
                <c:pt idx="69">
                  <c:v>39356</c:v>
                </c:pt>
                <c:pt idx="70">
                  <c:v>39387</c:v>
                </c:pt>
                <c:pt idx="71">
                  <c:v>39417</c:v>
                </c:pt>
                <c:pt idx="72">
                  <c:v>39448</c:v>
                </c:pt>
                <c:pt idx="73">
                  <c:v>39479</c:v>
                </c:pt>
                <c:pt idx="74">
                  <c:v>39508</c:v>
                </c:pt>
                <c:pt idx="75">
                  <c:v>39539</c:v>
                </c:pt>
                <c:pt idx="76">
                  <c:v>39569</c:v>
                </c:pt>
                <c:pt idx="77">
                  <c:v>39600</c:v>
                </c:pt>
                <c:pt idx="78">
                  <c:v>39630</c:v>
                </c:pt>
                <c:pt idx="79">
                  <c:v>39661</c:v>
                </c:pt>
                <c:pt idx="80">
                  <c:v>39692</c:v>
                </c:pt>
                <c:pt idx="81">
                  <c:v>39722</c:v>
                </c:pt>
                <c:pt idx="82">
                  <c:v>39753</c:v>
                </c:pt>
                <c:pt idx="83">
                  <c:v>39783</c:v>
                </c:pt>
                <c:pt idx="84">
                  <c:v>39814</c:v>
                </c:pt>
                <c:pt idx="85">
                  <c:v>39845</c:v>
                </c:pt>
                <c:pt idx="86">
                  <c:v>39873</c:v>
                </c:pt>
                <c:pt idx="87">
                  <c:v>39904</c:v>
                </c:pt>
                <c:pt idx="88">
                  <c:v>39934</c:v>
                </c:pt>
                <c:pt idx="89">
                  <c:v>39965</c:v>
                </c:pt>
                <c:pt idx="90">
                  <c:v>39995</c:v>
                </c:pt>
                <c:pt idx="91">
                  <c:v>40026</c:v>
                </c:pt>
                <c:pt idx="92">
                  <c:v>40057</c:v>
                </c:pt>
                <c:pt idx="93">
                  <c:v>40087</c:v>
                </c:pt>
                <c:pt idx="94">
                  <c:v>40118</c:v>
                </c:pt>
                <c:pt idx="95">
                  <c:v>40148</c:v>
                </c:pt>
                <c:pt idx="96">
                  <c:v>40179</c:v>
                </c:pt>
                <c:pt idx="97">
                  <c:v>40210</c:v>
                </c:pt>
                <c:pt idx="98">
                  <c:v>40238</c:v>
                </c:pt>
                <c:pt idx="99">
                  <c:v>40269</c:v>
                </c:pt>
                <c:pt idx="100">
                  <c:v>40299</c:v>
                </c:pt>
                <c:pt idx="101">
                  <c:v>40330</c:v>
                </c:pt>
                <c:pt idx="102">
                  <c:v>40360</c:v>
                </c:pt>
                <c:pt idx="103">
                  <c:v>40391</c:v>
                </c:pt>
                <c:pt idx="104">
                  <c:v>40422</c:v>
                </c:pt>
                <c:pt idx="105">
                  <c:v>40452</c:v>
                </c:pt>
                <c:pt idx="106">
                  <c:v>40483</c:v>
                </c:pt>
                <c:pt idx="107">
                  <c:v>40513</c:v>
                </c:pt>
                <c:pt idx="108">
                  <c:v>40544</c:v>
                </c:pt>
                <c:pt idx="109">
                  <c:v>40575</c:v>
                </c:pt>
                <c:pt idx="110">
                  <c:v>40603</c:v>
                </c:pt>
                <c:pt idx="111">
                  <c:v>40634</c:v>
                </c:pt>
                <c:pt idx="112">
                  <c:v>40664</c:v>
                </c:pt>
                <c:pt idx="113">
                  <c:v>40695</c:v>
                </c:pt>
                <c:pt idx="114">
                  <c:v>40725</c:v>
                </c:pt>
                <c:pt idx="115">
                  <c:v>40756</c:v>
                </c:pt>
                <c:pt idx="116">
                  <c:v>40787</c:v>
                </c:pt>
                <c:pt idx="117">
                  <c:v>40817</c:v>
                </c:pt>
                <c:pt idx="118">
                  <c:v>40848</c:v>
                </c:pt>
                <c:pt idx="119">
                  <c:v>40878</c:v>
                </c:pt>
                <c:pt idx="120">
                  <c:v>40909</c:v>
                </c:pt>
                <c:pt idx="121">
                  <c:v>40940</c:v>
                </c:pt>
                <c:pt idx="122">
                  <c:v>40969</c:v>
                </c:pt>
                <c:pt idx="123">
                  <c:v>41000</c:v>
                </c:pt>
                <c:pt idx="124">
                  <c:v>41030</c:v>
                </c:pt>
                <c:pt idx="125">
                  <c:v>41061</c:v>
                </c:pt>
                <c:pt idx="126">
                  <c:v>41091</c:v>
                </c:pt>
                <c:pt idx="127">
                  <c:v>41122</c:v>
                </c:pt>
                <c:pt idx="128">
                  <c:v>41153</c:v>
                </c:pt>
                <c:pt idx="129">
                  <c:v>41183</c:v>
                </c:pt>
                <c:pt idx="130">
                  <c:v>41214</c:v>
                </c:pt>
                <c:pt idx="131">
                  <c:v>41244</c:v>
                </c:pt>
                <c:pt idx="132">
                  <c:v>41275</c:v>
                </c:pt>
                <c:pt idx="133">
                  <c:v>41306</c:v>
                </c:pt>
                <c:pt idx="134">
                  <c:v>41334</c:v>
                </c:pt>
                <c:pt idx="135">
                  <c:v>41365</c:v>
                </c:pt>
                <c:pt idx="136">
                  <c:v>41395</c:v>
                </c:pt>
                <c:pt idx="137">
                  <c:v>41426</c:v>
                </c:pt>
                <c:pt idx="138">
                  <c:v>41456</c:v>
                </c:pt>
                <c:pt idx="139">
                  <c:v>41487</c:v>
                </c:pt>
                <c:pt idx="140">
                  <c:v>41518</c:v>
                </c:pt>
                <c:pt idx="141">
                  <c:v>41548</c:v>
                </c:pt>
                <c:pt idx="142">
                  <c:v>41579</c:v>
                </c:pt>
                <c:pt idx="143">
                  <c:v>41609</c:v>
                </c:pt>
                <c:pt idx="144">
                  <c:v>41640</c:v>
                </c:pt>
                <c:pt idx="145">
                  <c:v>41671</c:v>
                </c:pt>
                <c:pt idx="146">
                  <c:v>41699</c:v>
                </c:pt>
                <c:pt idx="147">
                  <c:v>41730</c:v>
                </c:pt>
                <c:pt idx="148">
                  <c:v>41760</c:v>
                </c:pt>
                <c:pt idx="149">
                  <c:v>41791</c:v>
                </c:pt>
                <c:pt idx="150">
                  <c:v>41821</c:v>
                </c:pt>
                <c:pt idx="151">
                  <c:v>41852</c:v>
                </c:pt>
                <c:pt idx="152">
                  <c:v>41883</c:v>
                </c:pt>
                <c:pt idx="153">
                  <c:v>41913</c:v>
                </c:pt>
                <c:pt idx="154">
                  <c:v>41944</c:v>
                </c:pt>
                <c:pt idx="155">
                  <c:v>41974</c:v>
                </c:pt>
                <c:pt idx="156">
                  <c:v>42005</c:v>
                </c:pt>
                <c:pt idx="157">
                  <c:v>42036</c:v>
                </c:pt>
                <c:pt idx="158">
                  <c:v>42064</c:v>
                </c:pt>
                <c:pt idx="159">
                  <c:v>42095</c:v>
                </c:pt>
                <c:pt idx="160">
                  <c:v>42125</c:v>
                </c:pt>
                <c:pt idx="161">
                  <c:v>42156</c:v>
                </c:pt>
                <c:pt idx="162">
                  <c:v>42186</c:v>
                </c:pt>
                <c:pt idx="163">
                  <c:v>42217</c:v>
                </c:pt>
                <c:pt idx="164">
                  <c:v>42248</c:v>
                </c:pt>
                <c:pt idx="165">
                  <c:v>42278</c:v>
                </c:pt>
                <c:pt idx="166">
                  <c:v>42309</c:v>
                </c:pt>
                <c:pt idx="167">
                  <c:v>42339</c:v>
                </c:pt>
                <c:pt idx="168">
                  <c:v>42370</c:v>
                </c:pt>
                <c:pt idx="169">
                  <c:v>42401</c:v>
                </c:pt>
                <c:pt idx="170">
                  <c:v>42430</c:v>
                </c:pt>
                <c:pt idx="171">
                  <c:v>42461</c:v>
                </c:pt>
                <c:pt idx="172">
                  <c:v>42491</c:v>
                </c:pt>
                <c:pt idx="173">
                  <c:v>42522</c:v>
                </c:pt>
                <c:pt idx="174">
                  <c:v>42552</c:v>
                </c:pt>
                <c:pt idx="175">
                  <c:v>42583</c:v>
                </c:pt>
                <c:pt idx="176">
                  <c:v>42614</c:v>
                </c:pt>
                <c:pt idx="177">
                  <c:v>42644</c:v>
                </c:pt>
                <c:pt idx="178">
                  <c:v>42675</c:v>
                </c:pt>
                <c:pt idx="179">
                  <c:v>42705</c:v>
                </c:pt>
                <c:pt idx="180">
                  <c:v>42736</c:v>
                </c:pt>
                <c:pt idx="181">
                  <c:v>42767</c:v>
                </c:pt>
                <c:pt idx="182">
                  <c:v>42795</c:v>
                </c:pt>
                <c:pt idx="183">
                  <c:v>42826</c:v>
                </c:pt>
                <c:pt idx="184">
                  <c:v>42856</c:v>
                </c:pt>
                <c:pt idx="185">
                  <c:v>42887</c:v>
                </c:pt>
                <c:pt idx="186">
                  <c:v>42917</c:v>
                </c:pt>
                <c:pt idx="187">
                  <c:v>42948</c:v>
                </c:pt>
                <c:pt idx="188">
                  <c:v>42979</c:v>
                </c:pt>
                <c:pt idx="189">
                  <c:v>43009</c:v>
                </c:pt>
                <c:pt idx="190">
                  <c:v>43040</c:v>
                </c:pt>
                <c:pt idx="191">
                  <c:v>43070</c:v>
                </c:pt>
                <c:pt idx="192">
                  <c:v>43101</c:v>
                </c:pt>
                <c:pt idx="193">
                  <c:v>43132</c:v>
                </c:pt>
                <c:pt idx="194">
                  <c:v>43160</c:v>
                </c:pt>
                <c:pt idx="195">
                  <c:v>43191</c:v>
                </c:pt>
                <c:pt idx="196">
                  <c:v>43221</c:v>
                </c:pt>
                <c:pt idx="197">
                  <c:v>43252</c:v>
                </c:pt>
                <c:pt idx="198">
                  <c:v>43282</c:v>
                </c:pt>
                <c:pt idx="199">
                  <c:v>43313</c:v>
                </c:pt>
                <c:pt idx="200">
                  <c:v>43344</c:v>
                </c:pt>
                <c:pt idx="201">
                  <c:v>43374</c:v>
                </c:pt>
                <c:pt idx="202">
                  <c:v>43405</c:v>
                </c:pt>
                <c:pt idx="203">
                  <c:v>43435</c:v>
                </c:pt>
                <c:pt idx="204">
                  <c:v>43466</c:v>
                </c:pt>
                <c:pt idx="205">
                  <c:v>43497</c:v>
                </c:pt>
                <c:pt idx="206">
                  <c:v>43525</c:v>
                </c:pt>
                <c:pt idx="207">
                  <c:v>43556</c:v>
                </c:pt>
                <c:pt idx="208">
                  <c:v>43586</c:v>
                </c:pt>
                <c:pt idx="209">
                  <c:v>43617</c:v>
                </c:pt>
                <c:pt idx="210">
                  <c:v>43647</c:v>
                </c:pt>
                <c:pt idx="211">
                  <c:v>43678</c:v>
                </c:pt>
                <c:pt idx="212">
                  <c:v>43709</c:v>
                </c:pt>
                <c:pt idx="213">
                  <c:v>43739</c:v>
                </c:pt>
                <c:pt idx="214">
                  <c:v>43770</c:v>
                </c:pt>
                <c:pt idx="215">
                  <c:v>43800</c:v>
                </c:pt>
                <c:pt idx="216">
                  <c:v>43831</c:v>
                </c:pt>
                <c:pt idx="217">
                  <c:v>43862</c:v>
                </c:pt>
                <c:pt idx="218">
                  <c:v>43891</c:v>
                </c:pt>
                <c:pt idx="219">
                  <c:v>43922</c:v>
                </c:pt>
                <c:pt idx="220">
                  <c:v>43952</c:v>
                </c:pt>
                <c:pt idx="221">
                  <c:v>43983</c:v>
                </c:pt>
                <c:pt idx="222">
                  <c:v>44013</c:v>
                </c:pt>
                <c:pt idx="223">
                  <c:v>44044</c:v>
                </c:pt>
                <c:pt idx="224">
                  <c:v>44075</c:v>
                </c:pt>
                <c:pt idx="225">
                  <c:v>44105</c:v>
                </c:pt>
                <c:pt idx="226">
                  <c:v>44136</c:v>
                </c:pt>
                <c:pt idx="227">
                  <c:v>44166</c:v>
                </c:pt>
                <c:pt idx="228">
                  <c:v>44197</c:v>
                </c:pt>
                <c:pt idx="229">
                  <c:v>44228</c:v>
                </c:pt>
                <c:pt idx="230">
                  <c:v>44256</c:v>
                </c:pt>
                <c:pt idx="231">
                  <c:v>44287</c:v>
                </c:pt>
                <c:pt idx="232">
                  <c:v>44317</c:v>
                </c:pt>
                <c:pt idx="233">
                  <c:v>44348</c:v>
                </c:pt>
                <c:pt idx="234">
                  <c:v>44378</c:v>
                </c:pt>
                <c:pt idx="235">
                  <c:v>44409</c:v>
                </c:pt>
                <c:pt idx="236">
                  <c:v>44440</c:v>
                </c:pt>
                <c:pt idx="237">
                  <c:v>44470</c:v>
                </c:pt>
                <c:pt idx="238">
                  <c:v>44501</c:v>
                </c:pt>
                <c:pt idx="239">
                  <c:v>44531</c:v>
                </c:pt>
              </c:numCache>
            </c:numRef>
          </c:cat>
          <c:val>
            <c:numRef>
              <c:f>'Monthly - Ind Prod'!$E$3:$E$242</c:f>
              <c:numCache>
                <c:formatCode>0.0</c:formatCode>
                <c:ptCount val="240"/>
                <c:pt idx="0">
                  <c:v>77.7</c:v>
                </c:pt>
                <c:pt idx="1">
                  <c:v>80.2</c:v>
                </c:pt>
                <c:pt idx="2">
                  <c:v>79.8</c:v>
                </c:pt>
                <c:pt idx="3">
                  <c:v>79.599999999999994</c:v>
                </c:pt>
                <c:pt idx="4">
                  <c:v>79.099999999999994</c:v>
                </c:pt>
                <c:pt idx="5">
                  <c:v>79.400000000000006</c:v>
                </c:pt>
                <c:pt idx="6">
                  <c:v>79.7</c:v>
                </c:pt>
                <c:pt idx="7">
                  <c:v>78.599999999999994</c:v>
                </c:pt>
                <c:pt idx="8">
                  <c:v>79.599999999999994</c:v>
                </c:pt>
                <c:pt idx="9">
                  <c:v>80.099999999999994</c:v>
                </c:pt>
                <c:pt idx="10">
                  <c:v>80.3</c:v>
                </c:pt>
                <c:pt idx="11">
                  <c:v>79.599999999999994</c:v>
                </c:pt>
                <c:pt idx="12">
                  <c:v>79.7</c:v>
                </c:pt>
                <c:pt idx="13">
                  <c:v>79.7</c:v>
                </c:pt>
                <c:pt idx="14">
                  <c:v>79.8</c:v>
                </c:pt>
                <c:pt idx="15">
                  <c:v>79.400000000000006</c:v>
                </c:pt>
                <c:pt idx="16">
                  <c:v>77.8</c:v>
                </c:pt>
                <c:pt idx="17">
                  <c:v>78.2</c:v>
                </c:pt>
                <c:pt idx="18">
                  <c:v>77.400000000000006</c:v>
                </c:pt>
                <c:pt idx="19">
                  <c:v>78.5</c:v>
                </c:pt>
                <c:pt idx="20">
                  <c:v>81.3</c:v>
                </c:pt>
                <c:pt idx="21">
                  <c:v>81.599999999999994</c:v>
                </c:pt>
                <c:pt idx="22">
                  <c:v>82.6</c:v>
                </c:pt>
                <c:pt idx="23">
                  <c:v>81.2</c:v>
                </c:pt>
                <c:pt idx="24">
                  <c:v>82.7</c:v>
                </c:pt>
                <c:pt idx="25">
                  <c:v>84</c:v>
                </c:pt>
                <c:pt idx="26">
                  <c:v>84.5</c:v>
                </c:pt>
                <c:pt idx="27">
                  <c:v>85.1</c:v>
                </c:pt>
                <c:pt idx="28">
                  <c:v>85.9</c:v>
                </c:pt>
                <c:pt idx="29">
                  <c:v>86.1</c:v>
                </c:pt>
                <c:pt idx="30">
                  <c:v>86.7</c:v>
                </c:pt>
                <c:pt idx="31">
                  <c:v>87.6</c:v>
                </c:pt>
                <c:pt idx="32">
                  <c:v>88.2</c:v>
                </c:pt>
                <c:pt idx="33">
                  <c:v>87.5</c:v>
                </c:pt>
                <c:pt idx="34">
                  <c:v>87.5</c:v>
                </c:pt>
                <c:pt idx="35">
                  <c:v>88.3</c:v>
                </c:pt>
                <c:pt idx="36">
                  <c:v>88.7</c:v>
                </c:pt>
                <c:pt idx="37">
                  <c:v>87.4</c:v>
                </c:pt>
                <c:pt idx="38">
                  <c:v>88.2</c:v>
                </c:pt>
                <c:pt idx="39">
                  <c:v>88.3</c:v>
                </c:pt>
                <c:pt idx="40">
                  <c:v>91.3</c:v>
                </c:pt>
                <c:pt idx="41">
                  <c:v>89.5</c:v>
                </c:pt>
                <c:pt idx="42">
                  <c:v>88.9</c:v>
                </c:pt>
                <c:pt idx="43">
                  <c:v>89.1</c:v>
                </c:pt>
                <c:pt idx="44">
                  <c:v>88.3</c:v>
                </c:pt>
                <c:pt idx="45">
                  <c:v>87.6</c:v>
                </c:pt>
                <c:pt idx="46">
                  <c:v>88.6</c:v>
                </c:pt>
                <c:pt idx="47">
                  <c:v>90.5</c:v>
                </c:pt>
                <c:pt idx="48">
                  <c:v>90.8</c:v>
                </c:pt>
                <c:pt idx="49">
                  <c:v>91.4</c:v>
                </c:pt>
                <c:pt idx="50">
                  <c:v>90.7</c:v>
                </c:pt>
                <c:pt idx="51">
                  <c:v>91.4</c:v>
                </c:pt>
                <c:pt idx="52">
                  <c:v>92.2</c:v>
                </c:pt>
                <c:pt idx="53">
                  <c:v>90.6</c:v>
                </c:pt>
                <c:pt idx="54">
                  <c:v>91.6</c:v>
                </c:pt>
                <c:pt idx="55">
                  <c:v>91.4</c:v>
                </c:pt>
                <c:pt idx="56">
                  <c:v>90.4</c:v>
                </c:pt>
                <c:pt idx="57">
                  <c:v>90.7</c:v>
                </c:pt>
                <c:pt idx="58">
                  <c:v>92.1</c:v>
                </c:pt>
                <c:pt idx="59">
                  <c:v>93.3</c:v>
                </c:pt>
                <c:pt idx="60">
                  <c:v>92.7</c:v>
                </c:pt>
                <c:pt idx="61">
                  <c:v>93.9</c:v>
                </c:pt>
                <c:pt idx="62">
                  <c:v>94.9</c:v>
                </c:pt>
                <c:pt idx="63">
                  <c:v>96</c:v>
                </c:pt>
                <c:pt idx="64">
                  <c:v>96.3</c:v>
                </c:pt>
                <c:pt idx="65">
                  <c:v>97</c:v>
                </c:pt>
                <c:pt idx="66">
                  <c:v>96.5</c:v>
                </c:pt>
                <c:pt idx="67">
                  <c:v>97.9</c:v>
                </c:pt>
                <c:pt idx="68">
                  <c:v>97.1</c:v>
                </c:pt>
                <c:pt idx="69">
                  <c:v>99.5</c:v>
                </c:pt>
                <c:pt idx="70">
                  <c:v>98.5</c:v>
                </c:pt>
                <c:pt idx="71">
                  <c:v>98.9</c:v>
                </c:pt>
                <c:pt idx="72">
                  <c:v>100.6</c:v>
                </c:pt>
                <c:pt idx="73">
                  <c:v>100.2</c:v>
                </c:pt>
                <c:pt idx="74">
                  <c:v>100.5</c:v>
                </c:pt>
                <c:pt idx="75">
                  <c:v>100.4</c:v>
                </c:pt>
                <c:pt idx="76">
                  <c:v>101.1</c:v>
                </c:pt>
                <c:pt idx="77">
                  <c:v>102.9</c:v>
                </c:pt>
                <c:pt idx="78">
                  <c:v>103.2</c:v>
                </c:pt>
                <c:pt idx="79">
                  <c:v>101.9</c:v>
                </c:pt>
                <c:pt idx="80">
                  <c:v>103.4</c:v>
                </c:pt>
                <c:pt idx="81">
                  <c:v>100.2</c:v>
                </c:pt>
                <c:pt idx="82">
                  <c:v>94.4</c:v>
                </c:pt>
                <c:pt idx="83">
                  <c:v>83.8</c:v>
                </c:pt>
                <c:pt idx="84">
                  <c:v>85.6</c:v>
                </c:pt>
                <c:pt idx="85">
                  <c:v>87.6</c:v>
                </c:pt>
                <c:pt idx="86">
                  <c:v>88</c:v>
                </c:pt>
                <c:pt idx="87">
                  <c:v>89</c:v>
                </c:pt>
                <c:pt idx="88">
                  <c:v>90.4</c:v>
                </c:pt>
                <c:pt idx="89">
                  <c:v>91.6</c:v>
                </c:pt>
                <c:pt idx="90">
                  <c:v>92.6</c:v>
                </c:pt>
                <c:pt idx="91">
                  <c:v>94</c:v>
                </c:pt>
                <c:pt idx="92">
                  <c:v>95.6</c:v>
                </c:pt>
                <c:pt idx="93">
                  <c:v>97.3</c:v>
                </c:pt>
                <c:pt idx="94">
                  <c:v>98.9</c:v>
                </c:pt>
                <c:pt idx="95">
                  <c:v>99.1</c:v>
                </c:pt>
                <c:pt idx="96">
                  <c:v>100.7</c:v>
                </c:pt>
                <c:pt idx="97">
                  <c:v>100.5</c:v>
                </c:pt>
                <c:pt idx="98">
                  <c:v>103</c:v>
                </c:pt>
                <c:pt idx="99">
                  <c:v>103.2</c:v>
                </c:pt>
                <c:pt idx="100">
                  <c:v>103</c:v>
                </c:pt>
                <c:pt idx="101">
                  <c:v>102.3</c:v>
                </c:pt>
                <c:pt idx="102">
                  <c:v>101.8</c:v>
                </c:pt>
                <c:pt idx="103">
                  <c:v>101.4</c:v>
                </c:pt>
                <c:pt idx="104">
                  <c:v>101.6</c:v>
                </c:pt>
                <c:pt idx="105">
                  <c:v>101.3</c:v>
                </c:pt>
                <c:pt idx="106">
                  <c:v>102.2</c:v>
                </c:pt>
                <c:pt idx="107">
                  <c:v>102.7</c:v>
                </c:pt>
                <c:pt idx="108">
                  <c:v>102.8</c:v>
                </c:pt>
                <c:pt idx="109">
                  <c:v>104.2</c:v>
                </c:pt>
                <c:pt idx="110">
                  <c:v>104.8</c:v>
                </c:pt>
                <c:pt idx="111">
                  <c:v>102.1</c:v>
                </c:pt>
                <c:pt idx="112">
                  <c:v>105.2</c:v>
                </c:pt>
                <c:pt idx="113">
                  <c:v>102.7</c:v>
                </c:pt>
                <c:pt idx="114">
                  <c:v>103.1</c:v>
                </c:pt>
                <c:pt idx="115">
                  <c:v>102.1</c:v>
                </c:pt>
                <c:pt idx="116">
                  <c:v>100.2</c:v>
                </c:pt>
                <c:pt idx="117">
                  <c:v>99.2</c:v>
                </c:pt>
                <c:pt idx="118">
                  <c:v>99.9</c:v>
                </c:pt>
                <c:pt idx="119">
                  <c:v>102.5</c:v>
                </c:pt>
                <c:pt idx="120">
                  <c:v>98</c:v>
                </c:pt>
                <c:pt idx="121">
                  <c:v>99</c:v>
                </c:pt>
                <c:pt idx="122">
                  <c:v>98.3</c:v>
                </c:pt>
                <c:pt idx="123">
                  <c:v>98.5</c:v>
                </c:pt>
                <c:pt idx="124">
                  <c:v>98.9</c:v>
                </c:pt>
                <c:pt idx="125">
                  <c:v>99</c:v>
                </c:pt>
                <c:pt idx="126">
                  <c:v>100.5</c:v>
                </c:pt>
                <c:pt idx="127">
                  <c:v>102.5</c:v>
                </c:pt>
                <c:pt idx="128">
                  <c:v>100.6</c:v>
                </c:pt>
                <c:pt idx="129">
                  <c:v>102.1</c:v>
                </c:pt>
                <c:pt idx="130">
                  <c:v>100.6</c:v>
                </c:pt>
                <c:pt idx="131">
                  <c:v>101.3</c:v>
                </c:pt>
                <c:pt idx="132">
                  <c:v>102.1</c:v>
                </c:pt>
                <c:pt idx="133">
                  <c:v>99.7</c:v>
                </c:pt>
                <c:pt idx="134">
                  <c:v>101.2</c:v>
                </c:pt>
                <c:pt idx="135">
                  <c:v>103</c:v>
                </c:pt>
                <c:pt idx="136">
                  <c:v>102.5</c:v>
                </c:pt>
                <c:pt idx="137">
                  <c:v>103.2</c:v>
                </c:pt>
                <c:pt idx="138">
                  <c:v>102.4</c:v>
                </c:pt>
                <c:pt idx="139">
                  <c:v>102.9</c:v>
                </c:pt>
                <c:pt idx="140">
                  <c:v>103.5</c:v>
                </c:pt>
                <c:pt idx="141">
                  <c:v>102.5</c:v>
                </c:pt>
                <c:pt idx="142">
                  <c:v>103</c:v>
                </c:pt>
                <c:pt idx="143">
                  <c:v>99</c:v>
                </c:pt>
                <c:pt idx="144">
                  <c:v>100.6</c:v>
                </c:pt>
                <c:pt idx="145">
                  <c:v>101.2</c:v>
                </c:pt>
                <c:pt idx="146">
                  <c:v>101</c:v>
                </c:pt>
                <c:pt idx="147">
                  <c:v>100.2</c:v>
                </c:pt>
                <c:pt idx="148">
                  <c:v>98.8</c:v>
                </c:pt>
                <c:pt idx="149">
                  <c:v>96.1</c:v>
                </c:pt>
                <c:pt idx="150">
                  <c:v>98.3</c:v>
                </c:pt>
                <c:pt idx="151">
                  <c:v>99.2</c:v>
                </c:pt>
                <c:pt idx="152">
                  <c:v>99.4</c:v>
                </c:pt>
                <c:pt idx="153">
                  <c:v>99.7</c:v>
                </c:pt>
                <c:pt idx="154">
                  <c:v>98.6</c:v>
                </c:pt>
                <c:pt idx="155">
                  <c:v>95.4</c:v>
                </c:pt>
                <c:pt idx="156">
                  <c:v>96</c:v>
                </c:pt>
                <c:pt idx="157">
                  <c:v>95.4</c:v>
                </c:pt>
                <c:pt idx="158">
                  <c:v>95</c:v>
                </c:pt>
                <c:pt idx="159">
                  <c:v>93</c:v>
                </c:pt>
                <c:pt idx="160">
                  <c:v>92.2</c:v>
                </c:pt>
                <c:pt idx="161">
                  <c:v>91.3</c:v>
                </c:pt>
                <c:pt idx="162">
                  <c:v>89.5</c:v>
                </c:pt>
                <c:pt idx="163">
                  <c:v>90.3</c:v>
                </c:pt>
                <c:pt idx="164">
                  <c:v>88.2</c:v>
                </c:pt>
                <c:pt idx="165">
                  <c:v>88.1</c:v>
                </c:pt>
                <c:pt idx="166">
                  <c:v>86.4</c:v>
                </c:pt>
                <c:pt idx="167">
                  <c:v>84.8</c:v>
                </c:pt>
                <c:pt idx="168">
                  <c:v>86.1</c:v>
                </c:pt>
                <c:pt idx="169">
                  <c:v>84.9</c:v>
                </c:pt>
                <c:pt idx="170">
                  <c:v>85.6</c:v>
                </c:pt>
                <c:pt idx="171">
                  <c:v>85.4</c:v>
                </c:pt>
                <c:pt idx="172">
                  <c:v>85.8</c:v>
                </c:pt>
                <c:pt idx="173">
                  <c:v>84.8</c:v>
                </c:pt>
                <c:pt idx="174">
                  <c:v>85.5</c:v>
                </c:pt>
                <c:pt idx="175">
                  <c:v>83.5</c:v>
                </c:pt>
                <c:pt idx="176">
                  <c:v>84.4</c:v>
                </c:pt>
                <c:pt idx="177">
                  <c:v>83.3</c:v>
                </c:pt>
                <c:pt idx="178">
                  <c:v>84</c:v>
                </c:pt>
                <c:pt idx="179">
                  <c:v>85.5</c:v>
                </c:pt>
                <c:pt idx="180">
                  <c:v>86.4</c:v>
                </c:pt>
                <c:pt idx="181">
                  <c:v>87.5</c:v>
                </c:pt>
                <c:pt idx="182">
                  <c:v>85.6</c:v>
                </c:pt>
                <c:pt idx="183">
                  <c:v>85.9</c:v>
                </c:pt>
                <c:pt idx="184">
                  <c:v>86.2</c:v>
                </c:pt>
                <c:pt idx="185">
                  <c:v>86.9</c:v>
                </c:pt>
                <c:pt idx="186">
                  <c:v>87.2</c:v>
                </c:pt>
                <c:pt idx="187">
                  <c:v>87</c:v>
                </c:pt>
                <c:pt idx="188">
                  <c:v>87.3</c:v>
                </c:pt>
                <c:pt idx="189">
                  <c:v>88</c:v>
                </c:pt>
                <c:pt idx="190">
                  <c:v>88.4</c:v>
                </c:pt>
                <c:pt idx="191">
                  <c:v>91.3</c:v>
                </c:pt>
                <c:pt idx="192">
                  <c:v>88.9</c:v>
                </c:pt>
                <c:pt idx="193">
                  <c:v>88.6</c:v>
                </c:pt>
                <c:pt idx="194">
                  <c:v>89.7</c:v>
                </c:pt>
                <c:pt idx="195">
                  <c:v>90.1</c:v>
                </c:pt>
                <c:pt idx="196">
                  <c:v>80.2</c:v>
                </c:pt>
                <c:pt idx="197">
                  <c:v>90.3</c:v>
                </c:pt>
                <c:pt idx="198">
                  <c:v>90</c:v>
                </c:pt>
                <c:pt idx="199">
                  <c:v>88.9</c:v>
                </c:pt>
                <c:pt idx="200">
                  <c:v>86.4</c:v>
                </c:pt>
                <c:pt idx="201">
                  <c:v>87.5</c:v>
                </c:pt>
                <c:pt idx="202">
                  <c:v>87.5</c:v>
                </c:pt>
                <c:pt idx="203">
                  <c:v>87.9</c:v>
                </c:pt>
                <c:pt idx="204">
                  <c:v>86.9</c:v>
                </c:pt>
                <c:pt idx="205">
                  <c:v>87.4</c:v>
                </c:pt>
                <c:pt idx="206">
                  <c:v>87.2</c:v>
                </c:pt>
                <c:pt idx="207">
                  <c:v>87.6</c:v>
                </c:pt>
                <c:pt idx="208">
                  <c:v>87.4</c:v>
                </c:pt>
                <c:pt idx="209">
                  <c:v>86.5</c:v>
                </c:pt>
                <c:pt idx="210">
                  <c:v>85.9</c:v>
                </c:pt>
                <c:pt idx="211">
                  <c:v>86.9</c:v>
                </c:pt>
                <c:pt idx="212">
                  <c:v>86.8</c:v>
                </c:pt>
                <c:pt idx="213">
                  <c:v>88.7</c:v>
                </c:pt>
                <c:pt idx="214">
                  <c:v>86.9</c:v>
                </c:pt>
                <c:pt idx="215">
                  <c:v>86</c:v>
                </c:pt>
                <c:pt idx="216">
                  <c:v>86.5</c:v>
                </c:pt>
                <c:pt idx="217">
                  <c:v>87.5</c:v>
                </c:pt>
                <c:pt idx="218">
                  <c:v>80.7</c:v>
                </c:pt>
                <c:pt idx="219">
                  <c:v>65</c:v>
                </c:pt>
                <c:pt idx="220">
                  <c:v>70.099999999999994</c:v>
                </c:pt>
                <c:pt idx="221">
                  <c:v>76.599999999999994</c:v>
                </c:pt>
                <c:pt idx="222">
                  <c:v>83.8</c:v>
                </c:pt>
                <c:pt idx="223">
                  <c:v>86.2</c:v>
                </c:pt>
                <c:pt idx="224">
                  <c:v>88.6</c:v>
                </c:pt>
                <c:pt idx="225">
                  <c:v>89.7</c:v>
                </c:pt>
                <c:pt idx="226">
                  <c:v>90.2</c:v>
                </c:pt>
                <c:pt idx="227">
                  <c:v>90.6</c:v>
                </c:pt>
                <c:pt idx="228">
                  <c:v>90.6</c:v>
                </c:pt>
                <c:pt idx="229">
                  <c:v>89.7</c:v>
                </c:pt>
                <c:pt idx="230">
                  <c:v>87.5</c:v>
                </c:pt>
                <c:pt idx="231">
                  <c:v>86.2</c:v>
                </c:pt>
                <c:pt idx="232">
                  <c:v>87.1</c:v>
                </c:pt>
                <c:pt idx="233">
                  <c:v>86.4</c:v>
                </c:pt>
                <c:pt idx="234">
                  <c:v>85.2</c:v>
                </c:pt>
                <c:pt idx="235">
                  <c:v>85</c:v>
                </c:pt>
                <c:pt idx="236">
                  <c:v>84.5</c:v>
                </c:pt>
                <c:pt idx="237">
                  <c:v>84.2</c:v>
                </c:pt>
                <c:pt idx="238">
                  <c:v>84.1</c:v>
                </c:pt>
                <c:pt idx="239">
                  <c:v>87</c:v>
                </c:pt>
              </c:numCache>
            </c:numRef>
          </c:val>
          <c:smooth val="0"/>
          <c:extLst>
            <c:ext xmlns:c16="http://schemas.microsoft.com/office/drawing/2014/chart" uri="{C3380CC4-5D6E-409C-BE32-E72D297353CC}">
              <c16:uniqueId val="{00000001-8AE4-4579-8A9B-1AB58D06C53B}"/>
            </c:ext>
          </c:extLst>
        </c:ser>
        <c:dLbls>
          <c:showLegendKey val="0"/>
          <c:showVal val="0"/>
          <c:showCatName val="0"/>
          <c:showSerName val="0"/>
          <c:showPercent val="0"/>
          <c:showBubbleSize val="0"/>
        </c:dLbls>
        <c:smooth val="0"/>
        <c:axId val="780837056"/>
        <c:axId val="780837888"/>
      </c:lineChart>
      <c:dateAx>
        <c:axId val="780837056"/>
        <c:scaling>
          <c:orientation val="minMax"/>
        </c:scaling>
        <c:delete val="0"/>
        <c:axPos val="b"/>
        <c:numFmt formatCode="[$-416]mmm\-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780837888"/>
        <c:crosses val="autoZero"/>
        <c:auto val="1"/>
        <c:lblOffset val="100"/>
        <c:baseTimeUnit val="months"/>
      </c:dateAx>
      <c:valAx>
        <c:axId val="780837888"/>
        <c:scaling>
          <c:orientation val="minMax"/>
          <c:max val="120"/>
          <c:min val="60"/>
        </c:scaling>
        <c:delete val="0"/>
        <c:axPos val="l"/>
        <c:majorGridlines>
          <c:spPr>
            <a:ln w="9525" cap="flat" cmpd="sng" algn="ctr">
              <a:solidFill>
                <a:schemeClr val="tx1">
                  <a:lumMod val="15000"/>
                  <a:lumOff val="85000"/>
                </a:schemeClr>
              </a:solidFill>
              <a:round/>
            </a:ln>
            <a:effectLst/>
          </c:spPr>
        </c:majorGridlines>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780837056"/>
        <c:crosses val="autoZero"/>
        <c:crossBetween val="between"/>
        <c:majorUnit val="10"/>
      </c:valAx>
      <c:spPr>
        <a:noFill/>
        <a:ln>
          <a:noFill/>
        </a:ln>
        <a:effectLst/>
      </c:spPr>
    </c:plotArea>
    <c:legend>
      <c:legendPos val="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pt-BR"/>
              <a:t>Difference of SAs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pt-BR"/>
        </a:p>
      </c:txPr>
    </c:title>
    <c:autoTitleDeleted val="0"/>
    <c:plotArea>
      <c:layout/>
      <c:barChart>
        <c:barDir val="col"/>
        <c:grouping val="clustered"/>
        <c:varyColors val="0"/>
        <c:ser>
          <c:idx val="0"/>
          <c:order val="0"/>
          <c:tx>
            <c:strRef>
              <c:f>'Monthly - Ind Prod'!$Q$2</c:f>
              <c:strCache>
                <c:ptCount val="1"/>
                <c:pt idx="0">
                  <c:v>Diff of SAs</c:v>
                </c:pt>
              </c:strCache>
            </c:strRef>
          </c:tx>
          <c:spPr>
            <a:solidFill>
              <a:schemeClr val="accent1"/>
            </a:solidFill>
            <a:ln>
              <a:noFill/>
            </a:ln>
            <a:effectLst/>
          </c:spPr>
          <c:invertIfNegative val="0"/>
          <c:cat>
            <c:numRef>
              <c:f>'Monthly - Ind Prod'!$A$3:$A$242</c:f>
              <c:numCache>
                <c:formatCode>[$-416]mmm\-yy;@</c:formatCode>
                <c:ptCount val="240"/>
                <c:pt idx="0">
                  <c:v>37257</c:v>
                </c:pt>
                <c:pt idx="1">
                  <c:v>37288</c:v>
                </c:pt>
                <c:pt idx="2">
                  <c:v>37316</c:v>
                </c:pt>
                <c:pt idx="3">
                  <c:v>37347</c:v>
                </c:pt>
                <c:pt idx="4">
                  <c:v>37377</c:v>
                </c:pt>
                <c:pt idx="5">
                  <c:v>37408</c:v>
                </c:pt>
                <c:pt idx="6">
                  <c:v>37438</c:v>
                </c:pt>
                <c:pt idx="7">
                  <c:v>37469</c:v>
                </c:pt>
                <c:pt idx="8">
                  <c:v>37500</c:v>
                </c:pt>
                <c:pt idx="9">
                  <c:v>37530</c:v>
                </c:pt>
                <c:pt idx="10">
                  <c:v>37561</c:v>
                </c:pt>
                <c:pt idx="11">
                  <c:v>37591</c:v>
                </c:pt>
                <c:pt idx="12">
                  <c:v>37622</c:v>
                </c:pt>
                <c:pt idx="13">
                  <c:v>37653</c:v>
                </c:pt>
                <c:pt idx="14">
                  <c:v>37681</c:v>
                </c:pt>
                <c:pt idx="15">
                  <c:v>37712</c:v>
                </c:pt>
                <c:pt idx="16">
                  <c:v>37742</c:v>
                </c:pt>
                <c:pt idx="17">
                  <c:v>37773</c:v>
                </c:pt>
                <c:pt idx="18">
                  <c:v>37803</c:v>
                </c:pt>
                <c:pt idx="19">
                  <c:v>37834</c:v>
                </c:pt>
                <c:pt idx="20">
                  <c:v>37865</c:v>
                </c:pt>
                <c:pt idx="21">
                  <c:v>37895</c:v>
                </c:pt>
                <c:pt idx="22">
                  <c:v>37926</c:v>
                </c:pt>
                <c:pt idx="23">
                  <c:v>37956</c:v>
                </c:pt>
                <c:pt idx="24">
                  <c:v>37987</c:v>
                </c:pt>
                <c:pt idx="25">
                  <c:v>38018</c:v>
                </c:pt>
                <c:pt idx="26">
                  <c:v>38047</c:v>
                </c:pt>
                <c:pt idx="27">
                  <c:v>38078</c:v>
                </c:pt>
                <c:pt idx="28">
                  <c:v>38108</c:v>
                </c:pt>
                <c:pt idx="29">
                  <c:v>38139</c:v>
                </c:pt>
                <c:pt idx="30">
                  <c:v>38169</c:v>
                </c:pt>
                <c:pt idx="31">
                  <c:v>38200</c:v>
                </c:pt>
                <c:pt idx="32">
                  <c:v>38231</c:v>
                </c:pt>
                <c:pt idx="33">
                  <c:v>38261</c:v>
                </c:pt>
                <c:pt idx="34">
                  <c:v>38292</c:v>
                </c:pt>
                <c:pt idx="35">
                  <c:v>38322</c:v>
                </c:pt>
                <c:pt idx="36">
                  <c:v>38353</c:v>
                </c:pt>
                <c:pt idx="37">
                  <c:v>38384</c:v>
                </c:pt>
                <c:pt idx="38">
                  <c:v>38412</c:v>
                </c:pt>
                <c:pt idx="39">
                  <c:v>38443</c:v>
                </c:pt>
                <c:pt idx="40">
                  <c:v>38473</c:v>
                </c:pt>
                <c:pt idx="41">
                  <c:v>38504</c:v>
                </c:pt>
                <c:pt idx="42">
                  <c:v>38534</c:v>
                </c:pt>
                <c:pt idx="43">
                  <c:v>38565</c:v>
                </c:pt>
                <c:pt idx="44">
                  <c:v>38596</c:v>
                </c:pt>
                <c:pt idx="45">
                  <c:v>38626</c:v>
                </c:pt>
                <c:pt idx="46">
                  <c:v>38657</c:v>
                </c:pt>
                <c:pt idx="47">
                  <c:v>38687</c:v>
                </c:pt>
                <c:pt idx="48">
                  <c:v>38718</c:v>
                </c:pt>
                <c:pt idx="49">
                  <c:v>38749</c:v>
                </c:pt>
                <c:pt idx="50">
                  <c:v>38777</c:v>
                </c:pt>
                <c:pt idx="51">
                  <c:v>38808</c:v>
                </c:pt>
                <c:pt idx="52">
                  <c:v>38838</c:v>
                </c:pt>
                <c:pt idx="53">
                  <c:v>38869</c:v>
                </c:pt>
                <c:pt idx="54">
                  <c:v>38899</c:v>
                </c:pt>
                <c:pt idx="55">
                  <c:v>38930</c:v>
                </c:pt>
                <c:pt idx="56">
                  <c:v>38961</c:v>
                </c:pt>
                <c:pt idx="57">
                  <c:v>38991</c:v>
                </c:pt>
                <c:pt idx="58">
                  <c:v>39022</c:v>
                </c:pt>
                <c:pt idx="59">
                  <c:v>39052</c:v>
                </c:pt>
                <c:pt idx="60">
                  <c:v>39083</c:v>
                </c:pt>
                <c:pt idx="61">
                  <c:v>39114</c:v>
                </c:pt>
                <c:pt idx="62">
                  <c:v>39142</c:v>
                </c:pt>
                <c:pt idx="63">
                  <c:v>39173</c:v>
                </c:pt>
                <c:pt idx="64">
                  <c:v>39203</c:v>
                </c:pt>
                <c:pt idx="65">
                  <c:v>39234</c:v>
                </c:pt>
                <c:pt idx="66">
                  <c:v>39264</c:v>
                </c:pt>
                <c:pt idx="67">
                  <c:v>39295</c:v>
                </c:pt>
                <c:pt idx="68">
                  <c:v>39326</c:v>
                </c:pt>
                <c:pt idx="69">
                  <c:v>39356</c:v>
                </c:pt>
                <c:pt idx="70">
                  <c:v>39387</c:v>
                </c:pt>
                <c:pt idx="71">
                  <c:v>39417</c:v>
                </c:pt>
                <c:pt idx="72">
                  <c:v>39448</c:v>
                </c:pt>
                <c:pt idx="73">
                  <c:v>39479</c:v>
                </c:pt>
                <c:pt idx="74">
                  <c:v>39508</c:v>
                </c:pt>
                <c:pt idx="75">
                  <c:v>39539</c:v>
                </c:pt>
                <c:pt idx="76">
                  <c:v>39569</c:v>
                </c:pt>
                <c:pt idx="77">
                  <c:v>39600</c:v>
                </c:pt>
                <c:pt idx="78">
                  <c:v>39630</c:v>
                </c:pt>
                <c:pt idx="79">
                  <c:v>39661</c:v>
                </c:pt>
                <c:pt idx="80">
                  <c:v>39692</c:v>
                </c:pt>
                <c:pt idx="81">
                  <c:v>39722</c:v>
                </c:pt>
                <c:pt idx="82">
                  <c:v>39753</c:v>
                </c:pt>
                <c:pt idx="83">
                  <c:v>39783</c:v>
                </c:pt>
                <c:pt idx="84">
                  <c:v>39814</c:v>
                </c:pt>
                <c:pt idx="85">
                  <c:v>39845</c:v>
                </c:pt>
                <c:pt idx="86">
                  <c:v>39873</c:v>
                </c:pt>
                <c:pt idx="87">
                  <c:v>39904</c:v>
                </c:pt>
                <c:pt idx="88">
                  <c:v>39934</c:v>
                </c:pt>
                <c:pt idx="89">
                  <c:v>39965</c:v>
                </c:pt>
                <c:pt idx="90">
                  <c:v>39995</c:v>
                </c:pt>
                <c:pt idx="91">
                  <c:v>40026</c:v>
                </c:pt>
                <c:pt idx="92">
                  <c:v>40057</c:v>
                </c:pt>
                <c:pt idx="93">
                  <c:v>40087</c:v>
                </c:pt>
                <c:pt idx="94">
                  <c:v>40118</c:v>
                </c:pt>
                <c:pt idx="95">
                  <c:v>40148</c:v>
                </c:pt>
                <c:pt idx="96">
                  <c:v>40179</c:v>
                </c:pt>
                <c:pt idx="97">
                  <c:v>40210</c:v>
                </c:pt>
                <c:pt idx="98">
                  <c:v>40238</c:v>
                </c:pt>
                <c:pt idx="99">
                  <c:v>40269</c:v>
                </c:pt>
                <c:pt idx="100">
                  <c:v>40299</c:v>
                </c:pt>
                <c:pt idx="101">
                  <c:v>40330</c:v>
                </c:pt>
                <c:pt idx="102">
                  <c:v>40360</c:v>
                </c:pt>
                <c:pt idx="103">
                  <c:v>40391</c:v>
                </c:pt>
                <c:pt idx="104">
                  <c:v>40422</c:v>
                </c:pt>
                <c:pt idx="105">
                  <c:v>40452</c:v>
                </c:pt>
                <c:pt idx="106">
                  <c:v>40483</c:v>
                </c:pt>
                <c:pt idx="107">
                  <c:v>40513</c:v>
                </c:pt>
                <c:pt idx="108">
                  <c:v>40544</c:v>
                </c:pt>
                <c:pt idx="109">
                  <c:v>40575</c:v>
                </c:pt>
                <c:pt idx="110">
                  <c:v>40603</c:v>
                </c:pt>
                <c:pt idx="111">
                  <c:v>40634</c:v>
                </c:pt>
                <c:pt idx="112">
                  <c:v>40664</c:v>
                </c:pt>
                <c:pt idx="113">
                  <c:v>40695</c:v>
                </c:pt>
                <c:pt idx="114">
                  <c:v>40725</c:v>
                </c:pt>
                <c:pt idx="115">
                  <c:v>40756</c:v>
                </c:pt>
                <c:pt idx="116">
                  <c:v>40787</c:v>
                </c:pt>
                <c:pt idx="117">
                  <c:v>40817</c:v>
                </c:pt>
                <c:pt idx="118">
                  <c:v>40848</c:v>
                </c:pt>
                <c:pt idx="119">
                  <c:v>40878</c:v>
                </c:pt>
                <c:pt idx="120">
                  <c:v>40909</c:v>
                </c:pt>
                <c:pt idx="121">
                  <c:v>40940</c:v>
                </c:pt>
                <c:pt idx="122">
                  <c:v>40969</c:v>
                </c:pt>
                <c:pt idx="123">
                  <c:v>41000</c:v>
                </c:pt>
                <c:pt idx="124">
                  <c:v>41030</c:v>
                </c:pt>
                <c:pt idx="125">
                  <c:v>41061</c:v>
                </c:pt>
                <c:pt idx="126">
                  <c:v>41091</c:v>
                </c:pt>
                <c:pt idx="127">
                  <c:v>41122</c:v>
                </c:pt>
                <c:pt idx="128">
                  <c:v>41153</c:v>
                </c:pt>
                <c:pt idx="129">
                  <c:v>41183</c:v>
                </c:pt>
                <c:pt idx="130">
                  <c:v>41214</c:v>
                </c:pt>
                <c:pt idx="131">
                  <c:v>41244</c:v>
                </c:pt>
                <c:pt idx="132">
                  <c:v>41275</c:v>
                </c:pt>
                <c:pt idx="133">
                  <c:v>41306</c:v>
                </c:pt>
                <c:pt idx="134">
                  <c:v>41334</c:v>
                </c:pt>
                <c:pt idx="135">
                  <c:v>41365</c:v>
                </c:pt>
                <c:pt idx="136">
                  <c:v>41395</c:v>
                </c:pt>
                <c:pt idx="137">
                  <c:v>41426</c:v>
                </c:pt>
                <c:pt idx="138">
                  <c:v>41456</c:v>
                </c:pt>
                <c:pt idx="139">
                  <c:v>41487</c:v>
                </c:pt>
                <c:pt idx="140">
                  <c:v>41518</c:v>
                </c:pt>
                <c:pt idx="141">
                  <c:v>41548</c:v>
                </c:pt>
                <c:pt idx="142">
                  <c:v>41579</c:v>
                </c:pt>
                <c:pt idx="143">
                  <c:v>41609</c:v>
                </c:pt>
                <c:pt idx="144">
                  <c:v>41640</c:v>
                </c:pt>
                <c:pt idx="145">
                  <c:v>41671</c:v>
                </c:pt>
                <c:pt idx="146">
                  <c:v>41699</c:v>
                </c:pt>
                <c:pt idx="147">
                  <c:v>41730</c:v>
                </c:pt>
                <c:pt idx="148">
                  <c:v>41760</c:v>
                </c:pt>
                <c:pt idx="149">
                  <c:v>41791</c:v>
                </c:pt>
                <c:pt idx="150">
                  <c:v>41821</c:v>
                </c:pt>
                <c:pt idx="151">
                  <c:v>41852</c:v>
                </c:pt>
                <c:pt idx="152">
                  <c:v>41883</c:v>
                </c:pt>
                <c:pt idx="153">
                  <c:v>41913</c:v>
                </c:pt>
                <c:pt idx="154">
                  <c:v>41944</c:v>
                </c:pt>
                <c:pt idx="155">
                  <c:v>41974</c:v>
                </c:pt>
                <c:pt idx="156">
                  <c:v>42005</c:v>
                </c:pt>
                <c:pt idx="157">
                  <c:v>42036</c:v>
                </c:pt>
                <c:pt idx="158">
                  <c:v>42064</c:v>
                </c:pt>
                <c:pt idx="159">
                  <c:v>42095</c:v>
                </c:pt>
                <c:pt idx="160">
                  <c:v>42125</c:v>
                </c:pt>
                <c:pt idx="161">
                  <c:v>42156</c:v>
                </c:pt>
                <c:pt idx="162">
                  <c:v>42186</c:v>
                </c:pt>
                <c:pt idx="163">
                  <c:v>42217</c:v>
                </c:pt>
                <c:pt idx="164">
                  <c:v>42248</c:v>
                </c:pt>
                <c:pt idx="165">
                  <c:v>42278</c:v>
                </c:pt>
                <c:pt idx="166">
                  <c:v>42309</c:v>
                </c:pt>
                <c:pt idx="167">
                  <c:v>42339</c:v>
                </c:pt>
                <c:pt idx="168">
                  <c:v>42370</c:v>
                </c:pt>
                <c:pt idx="169">
                  <c:v>42401</c:v>
                </c:pt>
                <c:pt idx="170">
                  <c:v>42430</c:v>
                </c:pt>
                <c:pt idx="171">
                  <c:v>42461</c:v>
                </c:pt>
                <c:pt idx="172">
                  <c:v>42491</c:v>
                </c:pt>
                <c:pt idx="173">
                  <c:v>42522</c:v>
                </c:pt>
                <c:pt idx="174">
                  <c:v>42552</c:v>
                </c:pt>
                <c:pt idx="175">
                  <c:v>42583</c:v>
                </c:pt>
                <c:pt idx="176">
                  <c:v>42614</c:v>
                </c:pt>
                <c:pt idx="177">
                  <c:v>42644</c:v>
                </c:pt>
                <c:pt idx="178">
                  <c:v>42675</c:v>
                </c:pt>
                <c:pt idx="179">
                  <c:v>42705</c:v>
                </c:pt>
                <c:pt idx="180">
                  <c:v>42736</c:v>
                </c:pt>
                <c:pt idx="181">
                  <c:v>42767</c:v>
                </c:pt>
                <c:pt idx="182">
                  <c:v>42795</c:v>
                </c:pt>
                <c:pt idx="183">
                  <c:v>42826</c:v>
                </c:pt>
                <c:pt idx="184">
                  <c:v>42856</c:v>
                </c:pt>
                <c:pt idx="185">
                  <c:v>42887</c:v>
                </c:pt>
                <c:pt idx="186">
                  <c:v>42917</c:v>
                </c:pt>
                <c:pt idx="187">
                  <c:v>42948</c:v>
                </c:pt>
                <c:pt idx="188">
                  <c:v>42979</c:v>
                </c:pt>
                <c:pt idx="189">
                  <c:v>43009</c:v>
                </c:pt>
                <c:pt idx="190">
                  <c:v>43040</c:v>
                </c:pt>
                <c:pt idx="191">
                  <c:v>43070</c:v>
                </c:pt>
                <c:pt idx="192">
                  <c:v>43101</c:v>
                </c:pt>
                <c:pt idx="193">
                  <c:v>43132</c:v>
                </c:pt>
                <c:pt idx="194">
                  <c:v>43160</c:v>
                </c:pt>
                <c:pt idx="195">
                  <c:v>43191</c:v>
                </c:pt>
                <c:pt idx="196">
                  <c:v>43221</c:v>
                </c:pt>
                <c:pt idx="197">
                  <c:v>43252</c:v>
                </c:pt>
                <c:pt idx="198">
                  <c:v>43282</c:v>
                </c:pt>
                <c:pt idx="199">
                  <c:v>43313</c:v>
                </c:pt>
                <c:pt idx="200">
                  <c:v>43344</c:v>
                </c:pt>
                <c:pt idx="201">
                  <c:v>43374</c:v>
                </c:pt>
                <c:pt idx="202">
                  <c:v>43405</c:v>
                </c:pt>
                <c:pt idx="203">
                  <c:v>43435</c:v>
                </c:pt>
                <c:pt idx="204">
                  <c:v>43466</c:v>
                </c:pt>
                <c:pt idx="205">
                  <c:v>43497</c:v>
                </c:pt>
                <c:pt idx="206">
                  <c:v>43525</c:v>
                </c:pt>
                <c:pt idx="207">
                  <c:v>43556</c:v>
                </c:pt>
                <c:pt idx="208">
                  <c:v>43586</c:v>
                </c:pt>
                <c:pt idx="209">
                  <c:v>43617</c:v>
                </c:pt>
                <c:pt idx="210">
                  <c:v>43647</c:v>
                </c:pt>
                <c:pt idx="211">
                  <c:v>43678</c:v>
                </c:pt>
                <c:pt idx="212">
                  <c:v>43709</c:v>
                </c:pt>
                <c:pt idx="213">
                  <c:v>43739</c:v>
                </c:pt>
                <c:pt idx="214">
                  <c:v>43770</c:v>
                </c:pt>
                <c:pt idx="215">
                  <c:v>43800</c:v>
                </c:pt>
                <c:pt idx="216">
                  <c:v>43831</c:v>
                </c:pt>
                <c:pt idx="217">
                  <c:v>43862</c:v>
                </c:pt>
                <c:pt idx="218">
                  <c:v>43891</c:v>
                </c:pt>
                <c:pt idx="219">
                  <c:v>43922</c:v>
                </c:pt>
                <c:pt idx="220">
                  <c:v>43952</c:v>
                </c:pt>
                <c:pt idx="221">
                  <c:v>43983</c:v>
                </c:pt>
                <c:pt idx="222">
                  <c:v>44013</c:v>
                </c:pt>
                <c:pt idx="223">
                  <c:v>44044</c:v>
                </c:pt>
                <c:pt idx="224">
                  <c:v>44075</c:v>
                </c:pt>
                <c:pt idx="225">
                  <c:v>44105</c:v>
                </c:pt>
                <c:pt idx="226">
                  <c:v>44136</c:v>
                </c:pt>
                <c:pt idx="227">
                  <c:v>44166</c:v>
                </c:pt>
                <c:pt idx="228">
                  <c:v>44197</c:v>
                </c:pt>
                <c:pt idx="229">
                  <c:v>44228</c:v>
                </c:pt>
                <c:pt idx="230">
                  <c:v>44256</c:v>
                </c:pt>
                <c:pt idx="231">
                  <c:v>44287</c:v>
                </c:pt>
                <c:pt idx="232">
                  <c:v>44317</c:v>
                </c:pt>
                <c:pt idx="233">
                  <c:v>44348</c:v>
                </c:pt>
                <c:pt idx="234">
                  <c:v>44378</c:v>
                </c:pt>
                <c:pt idx="235">
                  <c:v>44409</c:v>
                </c:pt>
                <c:pt idx="236">
                  <c:v>44440</c:v>
                </c:pt>
                <c:pt idx="237">
                  <c:v>44470</c:v>
                </c:pt>
                <c:pt idx="238">
                  <c:v>44501</c:v>
                </c:pt>
                <c:pt idx="239">
                  <c:v>44531</c:v>
                </c:pt>
              </c:numCache>
            </c:numRef>
          </c:cat>
          <c:val>
            <c:numRef>
              <c:f>'Monthly - Ind Prod'!$Q$3:$Q$242</c:f>
              <c:numCache>
                <c:formatCode>0.0%</c:formatCode>
                <c:ptCount val="24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1.1792452830189685E-3</c:v>
                </c:pt>
                <c:pt idx="170">
                  <c:v>0</c:v>
                </c:pt>
                <c:pt idx="171">
                  <c:v>0</c:v>
                </c:pt>
                <c:pt idx="172">
                  <c:v>0</c:v>
                </c:pt>
                <c:pt idx="173">
                  <c:v>0</c:v>
                </c:pt>
                <c:pt idx="174">
                  <c:v>0</c:v>
                </c:pt>
                <c:pt idx="175">
                  <c:v>0</c:v>
                </c:pt>
                <c:pt idx="176">
                  <c:v>0</c:v>
                </c:pt>
                <c:pt idx="177">
                  <c:v>-1.1990407673861932E-3</c:v>
                </c:pt>
                <c:pt idx="178">
                  <c:v>0</c:v>
                </c:pt>
                <c:pt idx="179">
                  <c:v>0</c:v>
                </c:pt>
                <c:pt idx="180">
                  <c:v>0</c:v>
                </c:pt>
                <c:pt idx="181">
                  <c:v>1.1441647597253354E-3</c:v>
                </c:pt>
                <c:pt idx="182">
                  <c:v>0</c:v>
                </c:pt>
                <c:pt idx="183">
                  <c:v>0</c:v>
                </c:pt>
                <c:pt idx="184">
                  <c:v>0</c:v>
                </c:pt>
                <c:pt idx="185">
                  <c:v>-1.1494252873562566E-3</c:v>
                </c:pt>
                <c:pt idx="186">
                  <c:v>-1.145475372279431E-3</c:v>
                </c:pt>
                <c:pt idx="187">
                  <c:v>0</c:v>
                </c:pt>
                <c:pt idx="188">
                  <c:v>-1.144164759725498E-3</c:v>
                </c:pt>
                <c:pt idx="189">
                  <c:v>-1.1350737797956223E-3</c:v>
                </c:pt>
                <c:pt idx="190">
                  <c:v>0</c:v>
                </c:pt>
                <c:pt idx="191">
                  <c:v>0</c:v>
                </c:pt>
                <c:pt idx="192">
                  <c:v>0</c:v>
                </c:pt>
                <c:pt idx="193">
                  <c:v>1.1299435028247946E-3</c:v>
                </c:pt>
                <c:pt idx="194">
                  <c:v>0</c:v>
                </c:pt>
                <c:pt idx="195">
                  <c:v>0</c:v>
                </c:pt>
                <c:pt idx="196">
                  <c:v>0</c:v>
                </c:pt>
                <c:pt idx="197">
                  <c:v>0</c:v>
                </c:pt>
                <c:pt idx="198">
                  <c:v>-1.1098779134294597E-3</c:v>
                </c:pt>
                <c:pt idx="199">
                  <c:v>0</c:v>
                </c:pt>
                <c:pt idx="200">
                  <c:v>-1.1560693641617841E-3</c:v>
                </c:pt>
                <c:pt idx="201">
                  <c:v>0</c:v>
                </c:pt>
                <c:pt idx="202">
                  <c:v>0</c:v>
                </c:pt>
                <c:pt idx="203">
                  <c:v>1.1389521640092087E-3</c:v>
                </c:pt>
                <c:pt idx="204">
                  <c:v>1.1520737327189922E-3</c:v>
                </c:pt>
                <c:pt idx="205">
                  <c:v>1.1454753722795936E-3</c:v>
                </c:pt>
                <c:pt idx="206">
                  <c:v>1.1481056257176641E-3</c:v>
                </c:pt>
                <c:pt idx="207">
                  <c:v>1.1428571428570779E-3</c:v>
                </c:pt>
                <c:pt idx="208">
                  <c:v>0</c:v>
                </c:pt>
                <c:pt idx="209">
                  <c:v>-1.1547344110853848E-3</c:v>
                </c:pt>
                <c:pt idx="210">
                  <c:v>-1.1627906976743525E-3</c:v>
                </c:pt>
                <c:pt idx="211">
                  <c:v>-1.1494252873562566E-3</c:v>
                </c:pt>
                <c:pt idx="212">
                  <c:v>-1.1507479861911222E-3</c:v>
                </c:pt>
                <c:pt idx="213">
                  <c:v>0</c:v>
                </c:pt>
                <c:pt idx="214">
                  <c:v>0</c:v>
                </c:pt>
                <c:pt idx="215">
                  <c:v>2.3310023310023644E-3</c:v>
                </c:pt>
                <c:pt idx="216">
                  <c:v>1.1574074074073416E-3</c:v>
                </c:pt>
                <c:pt idx="217">
                  <c:v>1.1441647597253354E-3</c:v>
                </c:pt>
                <c:pt idx="218">
                  <c:v>0</c:v>
                </c:pt>
                <c:pt idx="219">
                  <c:v>1.5408320493065378E-3</c:v>
                </c:pt>
                <c:pt idx="220">
                  <c:v>0</c:v>
                </c:pt>
                <c:pt idx="221">
                  <c:v>-2.6041666666667038E-3</c:v>
                </c:pt>
                <c:pt idx="222">
                  <c:v>-1.1918951132301374E-3</c:v>
                </c:pt>
                <c:pt idx="223">
                  <c:v>-1.1587485515642446E-3</c:v>
                </c:pt>
                <c:pt idx="224">
                  <c:v>-1.1273957158963756E-3</c:v>
                </c:pt>
                <c:pt idx="225">
                  <c:v>0</c:v>
                </c:pt>
                <c:pt idx="226">
                  <c:v>0</c:v>
                </c:pt>
                <c:pt idx="227">
                  <c:v>3.322259136212593E-3</c:v>
                </c:pt>
                <c:pt idx="228">
                  <c:v>1.1049723756905449E-3</c:v>
                </c:pt>
                <c:pt idx="229">
                  <c:v>1.1160714285715237E-3</c:v>
                </c:pt>
                <c:pt idx="230">
                  <c:v>0</c:v>
                </c:pt>
                <c:pt idx="231">
                  <c:v>1.1614401858305288E-3</c:v>
                </c:pt>
                <c:pt idx="232">
                  <c:v>0</c:v>
                </c:pt>
                <c:pt idx="233">
                  <c:v>-3.4602076124567146E-3</c:v>
                </c:pt>
                <c:pt idx="234">
                  <c:v>-1.1723329425556192E-3</c:v>
                </c:pt>
                <c:pt idx="235">
                  <c:v>-1.1750881316098039E-3</c:v>
                </c:pt>
                <c:pt idx="236">
                  <c:v>-1.1820330969266469E-3</c:v>
                </c:pt>
                <c:pt idx="237">
                  <c:v>0</c:v>
                </c:pt>
                <c:pt idx="238">
                  <c:v>-1.1876484560571084E-3</c:v>
                </c:pt>
                <c:pt idx="239">
                  <c:v>4.6189376443418672E-3</c:v>
                </c:pt>
              </c:numCache>
            </c:numRef>
          </c:val>
          <c:extLst>
            <c:ext xmlns:c16="http://schemas.microsoft.com/office/drawing/2014/chart" uri="{C3380CC4-5D6E-409C-BE32-E72D297353CC}">
              <c16:uniqueId val="{00000000-A09C-4BD1-8763-44784F170773}"/>
            </c:ext>
          </c:extLst>
        </c:ser>
        <c:dLbls>
          <c:showLegendKey val="0"/>
          <c:showVal val="0"/>
          <c:showCatName val="0"/>
          <c:showSerName val="0"/>
          <c:showPercent val="0"/>
          <c:showBubbleSize val="0"/>
        </c:dLbls>
        <c:gapWidth val="0"/>
        <c:axId val="780837056"/>
        <c:axId val="780837888"/>
      </c:barChart>
      <c:dateAx>
        <c:axId val="780837056"/>
        <c:scaling>
          <c:orientation val="minMax"/>
        </c:scaling>
        <c:delete val="0"/>
        <c:axPos val="b"/>
        <c:numFmt formatCode="[$-416]mmm\-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780837888"/>
        <c:crosses val="autoZero"/>
        <c:auto val="1"/>
        <c:lblOffset val="100"/>
        <c:baseTimeUnit val="months"/>
      </c:dateAx>
      <c:valAx>
        <c:axId val="780837888"/>
        <c:scaling>
          <c:orientation val="minMax"/>
          <c:max val="1.0000000000000002E-2"/>
          <c:min val="-1.0000000000000002E-2"/>
        </c:scaling>
        <c:delete val="0"/>
        <c:axPos val="l"/>
        <c:majorGridlines>
          <c:spPr>
            <a:ln w="9525" cap="flat" cmpd="sng" algn="ctr">
              <a:solidFill>
                <a:schemeClr val="tx1">
                  <a:lumMod val="15000"/>
                  <a:lumOff val="85000"/>
                </a:schemeClr>
              </a:solidFill>
              <a:round/>
            </a:ln>
            <a:effectLst/>
          </c:spPr>
        </c:majorGridlines>
        <c:numFmt formatCode="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780837056"/>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pt-BR"/>
              <a:t>Brazil GDP</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pt-BR"/>
        </a:p>
      </c:txPr>
    </c:title>
    <c:autoTitleDeleted val="0"/>
    <c:plotArea>
      <c:layout/>
      <c:lineChart>
        <c:grouping val="standard"/>
        <c:varyColors val="0"/>
        <c:ser>
          <c:idx val="1"/>
          <c:order val="0"/>
          <c:tx>
            <c:strRef>
              <c:f>'Appending Forecasts'!$E$2</c:f>
              <c:strCache>
                <c:ptCount val="1"/>
                <c:pt idx="0">
                  <c:v>Forecast</c:v>
                </c:pt>
              </c:strCache>
            </c:strRef>
          </c:tx>
          <c:spPr>
            <a:ln w="28575" cap="rnd">
              <a:solidFill>
                <a:schemeClr val="accent2"/>
              </a:solidFill>
              <a:round/>
            </a:ln>
            <a:effectLst/>
          </c:spPr>
          <c:marker>
            <c:symbol val="none"/>
          </c:marker>
          <c:cat>
            <c:numRef>
              <c:extLst>
                <c:ext xmlns:c15="http://schemas.microsoft.com/office/drawing/2012/chart" uri="{02D57815-91ED-43cb-92C2-25804820EDAC}">
                  <c15:fullRef>
                    <c15:sqref>'Appending Forecasts'!$A$4:$A$110</c15:sqref>
                  </c15:fullRef>
                </c:ext>
              </c:extLst>
              <c:f>'Appending Forecasts'!$A$94:$A$110</c:f>
              <c:numCache>
                <c:formatCode>[$-416]mmm\-yy;@</c:formatCode>
                <c:ptCount val="17"/>
                <c:pt idx="0">
                  <c:v>43282</c:v>
                </c:pt>
                <c:pt idx="1">
                  <c:v>43374</c:v>
                </c:pt>
                <c:pt idx="2">
                  <c:v>43466</c:v>
                </c:pt>
                <c:pt idx="3">
                  <c:v>43556</c:v>
                </c:pt>
                <c:pt idx="4">
                  <c:v>43647</c:v>
                </c:pt>
                <c:pt idx="5">
                  <c:v>43739</c:v>
                </c:pt>
                <c:pt idx="6">
                  <c:v>43831</c:v>
                </c:pt>
                <c:pt idx="7">
                  <c:v>43922</c:v>
                </c:pt>
                <c:pt idx="8">
                  <c:v>44013</c:v>
                </c:pt>
                <c:pt idx="9">
                  <c:v>44105</c:v>
                </c:pt>
                <c:pt idx="10">
                  <c:v>44197</c:v>
                </c:pt>
                <c:pt idx="11">
                  <c:v>44287</c:v>
                </c:pt>
                <c:pt idx="12">
                  <c:v>44378</c:v>
                </c:pt>
                <c:pt idx="13">
                  <c:v>44470</c:v>
                </c:pt>
                <c:pt idx="14">
                  <c:v>44562</c:v>
                </c:pt>
                <c:pt idx="15">
                  <c:v>44652</c:v>
                </c:pt>
                <c:pt idx="16">
                  <c:v>44743</c:v>
                </c:pt>
              </c:numCache>
            </c:numRef>
          </c:cat>
          <c:val>
            <c:numRef>
              <c:extLst>
                <c:ext xmlns:c15="http://schemas.microsoft.com/office/drawing/2012/chart" uri="{02D57815-91ED-43cb-92C2-25804820EDAC}">
                  <c15:fullRef>
                    <c15:sqref>'Appending Forecasts'!$E$4:$E$110</c15:sqref>
                  </c15:fullRef>
                </c:ext>
              </c:extLst>
              <c:f>'Appending Forecasts'!$E$94:$E$110</c:f>
              <c:numCache>
                <c:formatCode>0.0</c:formatCode>
                <c:ptCount val="17"/>
                <c:pt idx="0">
                  <c:v>171.7</c:v>
                </c:pt>
                <c:pt idx="1">
                  <c:v>169.2</c:v>
                </c:pt>
                <c:pt idx="2">
                  <c:v>167.1</c:v>
                </c:pt>
                <c:pt idx="3">
                  <c:v>169.8</c:v>
                </c:pt>
                <c:pt idx="4">
                  <c:v>173.6</c:v>
                </c:pt>
                <c:pt idx="5">
                  <c:v>171.7</c:v>
                </c:pt>
                <c:pt idx="6">
                  <c:v>166.9</c:v>
                </c:pt>
                <c:pt idx="7">
                  <c:v>151.6</c:v>
                </c:pt>
                <c:pt idx="8">
                  <c:v>167.2</c:v>
                </c:pt>
                <c:pt idx="9">
                  <c:v>170.1</c:v>
                </c:pt>
                <c:pt idx="10">
                  <c:v>169</c:v>
                </c:pt>
                <c:pt idx="11">
                  <c:v>170.3</c:v>
                </c:pt>
                <c:pt idx="12">
                  <c:v>173.9</c:v>
                </c:pt>
                <c:pt idx="13" formatCode="General">
                  <c:v>172</c:v>
                </c:pt>
                <c:pt idx="14" formatCode="General">
                  <c:v>168.9</c:v>
                </c:pt>
                <c:pt idx="15" formatCode="General">
                  <c:v>170.4</c:v>
                </c:pt>
                <c:pt idx="16" formatCode="General">
                  <c:v>174.5</c:v>
                </c:pt>
              </c:numCache>
            </c:numRef>
          </c:val>
          <c:smooth val="0"/>
          <c:extLst>
            <c:ext xmlns:c16="http://schemas.microsoft.com/office/drawing/2014/chart" uri="{C3380CC4-5D6E-409C-BE32-E72D297353CC}">
              <c16:uniqueId val="{00000001-291E-4EF3-92E3-18F7055971B4}"/>
            </c:ext>
          </c:extLst>
        </c:ser>
        <c:ser>
          <c:idx val="0"/>
          <c:order val="1"/>
          <c:tx>
            <c:strRef>
              <c:f>'Appending Forecasts'!$B$2</c:f>
              <c:strCache>
                <c:ptCount val="1"/>
                <c:pt idx="0">
                  <c:v>BR GDP</c:v>
                </c:pt>
              </c:strCache>
            </c:strRef>
          </c:tx>
          <c:spPr>
            <a:ln w="28575" cap="rnd">
              <a:solidFill>
                <a:schemeClr val="accent1"/>
              </a:solidFill>
              <a:round/>
            </a:ln>
            <a:effectLst/>
          </c:spPr>
          <c:marker>
            <c:symbol val="none"/>
          </c:marker>
          <c:cat>
            <c:numRef>
              <c:extLst>
                <c:ext xmlns:c15="http://schemas.microsoft.com/office/drawing/2012/chart" uri="{02D57815-91ED-43cb-92C2-25804820EDAC}">
                  <c15:fullRef>
                    <c15:sqref>'Appending Forecasts'!$A$4:$A$110</c15:sqref>
                  </c15:fullRef>
                </c:ext>
              </c:extLst>
              <c:f>'Appending Forecasts'!$A$94:$A$110</c:f>
              <c:numCache>
                <c:formatCode>[$-416]mmm\-yy;@</c:formatCode>
                <c:ptCount val="17"/>
                <c:pt idx="0">
                  <c:v>43282</c:v>
                </c:pt>
                <c:pt idx="1">
                  <c:v>43374</c:v>
                </c:pt>
                <c:pt idx="2">
                  <c:v>43466</c:v>
                </c:pt>
                <c:pt idx="3">
                  <c:v>43556</c:v>
                </c:pt>
                <c:pt idx="4">
                  <c:v>43647</c:v>
                </c:pt>
                <c:pt idx="5">
                  <c:v>43739</c:v>
                </c:pt>
                <c:pt idx="6">
                  <c:v>43831</c:v>
                </c:pt>
                <c:pt idx="7">
                  <c:v>43922</c:v>
                </c:pt>
                <c:pt idx="8">
                  <c:v>44013</c:v>
                </c:pt>
                <c:pt idx="9">
                  <c:v>44105</c:v>
                </c:pt>
                <c:pt idx="10">
                  <c:v>44197</c:v>
                </c:pt>
                <c:pt idx="11">
                  <c:v>44287</c:v>
                </c:pt>
                <c:pt idx="12">
                  <c:v>44378</c:v>
                </c:pt>
                <c:pt idx="13">
                  <c:v>44470</c:v>
                </c:pt>
                <c:pt idx="14">
                  <c:v>44562</c:v>
                </c:pt>
                <c:pt idx="15">
                  <c:v>44652</c:v>
                </c:pt>
                <c:pt idx="16">
                  <c:v>44743</c:v>
                </c:pt>
              </c:numCache>
            </c:numRef>
          </c:cat>
          <c:val>
            <c:numRef>
              <c:extLst>
                <c:ext xmlns:c15="http://schemas.microsoft.com/office/drawing/2012/chart" uri="{02D57815-91ED-43cb-92C2-25804820EDAC}">
                  <c15:fullRef>
                    <c15:sqref>'Appending Forecasts'!$B$4:$B$110</c15:sqref>
                  </c15:fullRef>
                </c:ext>
              </c:extLst>
              <c:f>'Appending Forecasts'!$B$94:$B$110</c:f>
              <c:numCache>
                <c:formatCode>General</c:formatCode>
                <c:ptCount val="17"/>
                <c:pt idx="0">
                  <c:v>171.7</c:v>
                </c:pt>
                <c:pt idx="1">
                  <c:v>169.2</c:v>
                </c:pt>
                <c:pt idx="2">
                  <c:v>167.1</c:v>
                </c:pt>
                <c:pt idx="3">
                  <c:v>169.8</c:v>
                </c:pt>
                <c:pt idx="4">
                  <c:v>173.6</c:v>
                </c:pt>
                <c:pt idx="5">
                  <c:v>171.7</c:v>
                </c:pt>
                <c:pt idx="6">
                  <c:v>166.9</c:v>
                </c:pt>
                <c:pt idx="7">
                  <c:v>151.6</c:v>
                </c:pt>
                <c:pt idx="8">
                  <c:v>167.2</c:v>
                </c:pt>
                <c:pt idx="9">
                  <c:v>170.1</c:v>
                </c:pt>
                <c:pt idx="10">
                  <c:v>169</c:v>
                </c:pt>
                <c:pt idx="11">
                  <c:v>170.3</c:v>
                </c:pt>
                <c:pt idx="12">
                  <c:v>173.9</c:v>
                </c:pt>
              </c:numCache>
            </c:numRef>
          </c:val>
          <c:smooth val="0"/>
          <c:extLst>
            <c:ext xmlns:c16="http://schemas.microsoft.com/office/drawing/2014/chart" uri="{C3380CC4-5D6E-409C-BE32-E72D297353CC}">
              <c16:uniqueId val="{00000000-291E-4EF3-92E3-18F7055971B4}"/>
            </c:ext>
          </c:extLst>
        </c:ser>
        <c:ser>
          <c:idx val="2"/>
          <c:order val="2"/>
          <c:tx>
            <c:v>Forecast SA</c:v>
          </c:tx>
          <c:spPr>
            <a:ln w="28575" cap="rnd">
              <a:solidFill>
                <a:schemeClr val="accent3"/>
              </a:solidFill>
              <a:round/>
            </a:ln>
            <a:effectLst/>
          </c:spPr>
          <c:marker>
            <c:symbol val="none"/>
          </c:marker>
          <c:cat>
            <c:numRef>
              <c:extLst>
                <c:ext xmlns:c15="http://schemas.microsoft.com/office/drawing/2012/chart" uri="{02D57815-91ED-43cb-92C2-25804820EDAC}">
                  <c15:fullRef>
                    <c15:sqref>'Appending Forecasts'!$A$4:$A$110</c15:sqref>
                  </c15:fullRef>
                </c:ext>
              </c:extLst>
              <c:f>'Appending Forecasts'!$A$94:$A$110</c:f>
              <c:numCache>
                <c:formatCode>[$-416]mmm\-yy;@</c:formatCode>
                <c:ptCount val="17"/>
                <c:pt idx="0">
                  <c:v>43282</c:v>
                </c:pt>
                <c:pt idx="1">
                  <c:v>43374</c:v>
                </c:pt>
                <c:pt idx="2">
                  <c:v>43466</c:v>
                </c:pt>
                <c:pt idx="3">
                  <c:v>43556</c:v>
                </c:pt>
                <c:pt idx="4">
                  <c:v>43647</c:v>
                </c:pt>
                <c:pt idx="5">
                  <c:v>43739</c:v>
                </c:pt>
                <c:pt idx="6">
                  <c:v>43831</c:v>
                </c:pt>
                <c:pt idx="7">
                  <c:v>43922</c:v>
                </c:pt>
                <c:pt idx="8">
                  <c:v>44013</c:v>
                </c:pt>
                <c:pt idx="9">
                  <c:v>44105</c:v>
                </c:pt>
                <c:pt idx="10">
                  <c:v>44197</c:v>
                </c:pt>
                <c:pt idx="11">
                  <c:v>44287</c:v>
                </c:pt>
                <c:pt idx="12">
                  <c:v>44378</c:v>
                </c:pt>
                <c:pt idx="13">
                  <c:v>44470</c:v>
                </c:pt>
                <c:pt idx="14">
                  <c:v>44562</c:v>
                </c:pt>
                <c:pt idx="15">
                  <c:v>44652</c:v>
                </c:pt>
                <c:pt idx="16">
                  <c:v>44743</c:v>
                </c:pt>
              </c:numCache>
            </c:numRef>
          </c:cat>
          <c:val>
            <c:numRef>
              <c:extLst>
                <c:ext xmlns:c15="http://schemas.microsoft.com/office/drawing/2012/chart" uri="{02D57815-91ED-43cb-92C2-25804820EDAC}">
                  <c15:fullRef>
                    <c15:sqref>'Appending Forecasts'!$F$4:$F$110</c15:sqref>
                  </c15:fullRef>
                </c:ext>
              </c:extLst>
              <c:f>'Appending Forecasts'!$F$94:$F$110</c:f>
              <c:numCache>
                <c:formatCode>General</c:formatCode>
                <c:ptCount val="17"/>
                <c:pt idx="0">
                  <c:v>169.5</c:v>
                </c:pt>
                <c:pt idx="1">
                  <c:v>168.9</c:v>
                </c:pt>
                <c:pt idx="2">
                  <c:v>169.7</c:v>
                </c:pt>
                <c:pt idx="3">
                  <c:v>170.7</c:v>
                </c:pt>
                <c:pt idx="4">
                  <c:v>170.7</c:v>
                </c:pt>
                <c:pt idx="5">
                  <c:v>171.3</c:v>
                </c:pt>
                <c:pt idx="6">
                  <c:v>167.4</c:v>
                </c:pt>
                <c:pt idx="7">
                  <c:v>152.5</c:v>
                </c:pt>
                <c:pt idx="8">
                  <c:v>164.5</c:v>
                </c:pt>
                <c:pt idx="9">
                  <c:v>169.5</c:v>
                </c:pt>
                <c:pt idx="10">
                  <c:v>171.6</c:v>
                </c:pt>
                <c:pt idx="11">
                  <c:v>171.4</c:v>
                </c:pt>
                <c:pt idx="12">
                  <c:v>171.1</c:v>
                </c:pt>
                <c:pt idx="13">
                  <c:v>171.3</c:v>
                </c:pt>
                <c:pt idx="14">
                  <c:v>171.5</c:v>
                </c:pt>
                <c:pt idx="15">
                  <c:v>171.6</c:v>
                </c:pt>
                <c:pt idx="16">
                  <c:v>171.7</c:v>
                </c:pt>
              </c:numCache>
            </c:numRef>
          </c:val>
          <c:smooth val="0"/>
          <c:extLst>
            <c:ext xmlns:c16="http://schemas.microsoft.com/office/drawing/2014/chart" uri="{C3380CC4-5D6E-409C-BE32-E72D297353CC}">
              <c16:uniqueId val="{00000001-B68A-457A-9323-E85CFE47EBE4}"/>
            </c:ext>
          </c:extLst>
        </c:ser>
        <c:dLbls>
          <c:showLegendKey val="0"/>
          <c:showVal val="0"/>
          <c:showCatName val="0"/>
          <c:showSerName val="0"/>
          <c:showPercent val="0"/>
          <c:showBubbleSize val="0"/>
        </c:dLbls>
        <c:smooth val="0"/>
        <c:axId val="780837056"/>
        <c:axId val="780837888"/>
      </c:lineChart>
      <c:dateAx>
        <c:axId val="780837056"/>
        <c:scaling>
          <c:orientation val="minMax"/>
        </c:scaling>
        <c:delete val="0"/>
        <c:axPos val="b"/>
        <c:numFmt formatCode="[$-416]mmm\-yy;@" sourceLinked="0"/>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780837888"/>
        <c:crosses val="autoZero"/>
        <c:auto val="1"/>
        <c:lblOffset val="100"/>
        <c:baseTimeUnit val="months"/>
      </c:dateAx>
      <c:valAx>
        <c:axId val="780837888"/>
        <c:scaling>
          <c:orientation val="minMax"/>
          <c:max val="180"/>
          <c:min val="150"/>
        </c:scaling>
        <c:delete val="0"/>
        <c:axPos val="l"/>
        <c:majorGridlines>
          <c:spPr>
            <a:ln w="9525" cap="flat" cmpd="sng" algn="ctr">
              <a:solidFill>
                <a:schemeClr val="tx1">
                  <a:lumMod val="15000"/>
                  <a:lumOff val="85000"/>
                </a:schemeClr>
              </a:solidFill>
              <a:round/>
            </a:ln>
            <a:effectLst/>
          </c:spPr>
        </c:majorGridlines>
        <c:numFmt formatCode="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780837056"/>
        <c:crosses val="autoZero"/>
        <c:crossBetween val="between"/>
      </c:valAx>
      <c:spPr>
        <a:noFill/>
        <a:ln>
          <a:noFill/>
        </a:ln>
        <a:effectLst/>
      </c:spPr>
    </c:plotArea>
    <c:legend>
      <c:legendPos val="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pt-BR"/>
              <a:t>RNDBF</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pt-BR"/>
        </a:p>
      </c:txPr>
    </c:title>
    <c:autoTitleDeleted val="0"/>
    <c:plotArea>
      <c:layout/>
      <c:lineChart>
        <c:grouping val="standard"/>
        <c:varyColors val="0"/>
        <c:ser>
          <c:idx val="0"/>
          <c:order val="0"/>
          <c:tx>
            <c:strRef>
              <c:f>'Mult series same spec'!$B$3</c:f>
              <c:strCache>
                <c:ptCount val="1"/>
                <c:pt idx="0">
                  <c:v>RNDBF</c:v>
                </c:pt>
              </c:strCache>
            </c:strRef>
          </c:tx>
          <c:spPr>
            <a:ln w="28575" cap="rnd">
              <a:solidFill>
                <a:schemeClr val="accent1"/>
              </a:solidFill>
              <a:round/>
            </a:ln>
            <a:effectLst/>
          </c:spPr>
          <c:marker>
            <c:symbol val="none"/>
          </c:marker>
          <c:cat>
            <c:numRef>
              <c:f>'Mult series same spec'!$A$4:$A$106</c:f>
              <c:numCache>
                <c:formatCode>[$-416]mmm\-yy;@</c:formatCode>
                <c:ptCount val="103"/>
                <c:pt idx="0">
                  <c:v>37681</c:v>
                </c:pt>
                <c:pt idx="1">
                  <c:v>37712</c:v>
                </c:pt>
                <c:pt idx="2">
                  <c:v>37742</c:v>
                </c:pt>
                <c:pt idx="3">
                  <c:v>37773</c:v>
                </c:pt>
                <c:pt idx="4">
                  <c:v>37803</c:v>
                </c:pt>
                <c:pt idx="5">
                  <c:v>37834</c:v>
                </c:pt>
                <c:pt idx="6">
                  <c:v>37865</c:v>
                </c:pt>
                <c:pt idx="7">
                  <c:v>37895</c:v>
                </c:pt>
                <c:pt idx="8">
                  <c:v>37926</c:v>
                </c:pt>
                <c:pt idx="9">
                  <c:v>37956</c:v>
                </c:pt>
                <c:pt idx="10">
                  <c:v>37987</c:v>
                </c:pt>
                <c:pt idx="11">
                  <c:v>38018</c:v>
                </c:pt>
                <c:pt idx="12">
                  <c:v>38047</c:v>
                </c:pt>
                <c:pt idx="13">
                  <c:v>38078</c:v>
                </c:pt>
                <c:pt idx="14">
                  <c:v>38108</c:v>
                </c:pt>
                <c:pt idx="15">
                  <c:v>38139</c:v>
                </c:pt>
                <c:pt idx="16">
                  <c:v>38169</c:v>
                </c:pt>
                <c:pt idx="17">
                  <c:v>38200</c:v>
                </c:pt>
                <c:pt idx="18">
                  <c:v>38231</c:v>
                </c:pt>
                <c:pt idx="19">
                  <c:v>38261</c:v>
                </c:pt>
                <c:pt idx="20">
                  <c:v>38292</c:v>
                </c:pt>
                <c:pt idx="21">
                  <c:v>38322</c:v>
                </c:pt>
                <c:pt idx="22">
                  <c:v>38353</c:v>
                </c:pt>
                <c:pt idx="23">
                  <c:v>38384</c:v>
                </c:pt>
                <c:pt idx="24">
                  <c:v>38412</c:v>
                </c:pt>
                <c:pt idx="25">
                  <c:v>38443</c:v>
                </c:pt>
                <c:pt idx="26">
                  <c:v>38473</c:v>
                </c:pt>
                <c:pt idx="27">
                  <c:v>38504</c:v>
                </c:pt>
                <c:pt idx="28">
                  <c:v>38534</c:v>
                </c:pt>
                <c:pt idx="29">
                  <c:v>38565</c:v>
                </c:pt>
                <c:pt idx="30">
                  <c:v>38596</c:v>
                </c:pt>
                <c:pt idx="31">
                  <c:v>38626</c:v>
                </c:pt>
                <c:pt idx="32">
                  <c:v>38657</c:v>
                </c:pt>
                <c:pt idx="33">
                  <c:v>38687</c:v>
                </c:pt>
                <c:pt idx="34">
                  <c:v>38718</c:v>
                </c:pt>
                <c:pt idx="35">
                  <c:v>38749</c:v>
                </c:pt>
                <c:pt idx="36">
                  <c:v>38777</c:v>
                </c:pt>
                <c:pt idx="37">
                  <c:v>38808</c:v>
                </c:pt>
                <c:pt idx="38">
                  <c:v>38838</c:v>
                </c:pt>
                <c:pt idx="39">
                  <c:v>38869</c:v>
                </c:pt>
                <c:pt idx="40">
                  <c:v>38899</c:v>
                </c:pt>
                <c:pt idx="41">
                  <c:v>38930</c:v>
                </c:pt>
                <c:pt idx="42">
                  <c:v>38961</c:v>
                </c:pt>
                <c:pt idx="43">
                  <c:v>38991</c:v>
                </c:pt>
                <c:pt idx="44">
                  <c:v>39022</c:v>
                </c:pt>
                <c:pt idx="45">
                  <c:v>39052</c:v>
                </c:pt>
                <c:pt idx="46">
                  <c:v>39083</c:v>
                </c:pt>
                <c:pt idx="47">
                  <c:v>39114</c:v>
                </c:pt>
                <c:pt idx="48">
                  <c:v>39142</c:v>
                </c:pt>
                <c:pt idx="49">
                  <c:v>39173</c:v>
                </c:pt>
                <c:pt idx="50">
                  <c:v>39203</c:v>
                </c:pt>
                <c:pt idx="51">
                  <c:v>39234</c:v>
                </c:pt>
                <c:pt idx="52">
                  <c:v>39264</c:v>
                </c:pt>
                <c:pt idx="53">
                  <c:v>39295</c:v>
                </c:pt>
                <c:pt idx="54">
                  <c:v>39326</c:v>
                </c:pt>
                <c:pt idx="55">
                  <c:v>39356</c:v>
                </c:pt>
                <c:pt idx="56">
                  <c:v>39387</c:v>
                </c:pt>
                <c:pt idx="57">
                  <c:v>39417</c:v>
                </c:pt>
                <c:pt idx="58">
                  <c:v>39448</c:v>
                </c:pt>
                <c:pt idx="59">
                  <c:v>39479</c:v>
                </c:pt>
                <c:pt idx="60">
                  <c:v>39508</c:v>
                </c:pt>
                <c:pt idx="61">
                  <c:v>39539</c:v>
                </c:pt>
                <c:pt idx="62">
                  <c:v>39569</c:v>
                </c:pt>
                <c:pt idx="63">
                  <c:v>39600</c:v>
                </c:pt>
                <c:pt idx="64">
                  <c:v>39630</c:v>
                </c:pt>
                <c:pt idx="65">
                  <c:v>39661</c:v>
                </c:pt>
                <c:pt idx="66">
                  <c:v>39692</c:v>
                </c:pt>
                <c:pt idx="67">
                  <c:v>39722</c:v>
                </c:pt>
                <c:pt idx="68">
                  <c:v>39753</c:v>
                </c:pt>
                <c:pt idx="69">
                  <c:v>39783</c:v>
                </c:pt>
                <c:pt idx="70">
                  <c:v>39814</c:v>
                </c:pt>
                <c:pt idx="71">
                  <c:v>39845</c:v>
                </c:pt>
                <c:pt idx="72">
                  <c:v>39873</c:v>
                </c:pt>
                <c:pt idx="73">
                  <c:v>39904</c:v>
                </c:pt>
                <c:pt idx="74">
                  <c:v>39934</c:v>
                </c:pt>
                <c:pt idx="75">
                  <c:v>39965</c:v>
                </c:pt>
                <c:pt idx="76">
                  <c:v>39995</c:v>
                </c:pt>
                <c:pt idx="77">
                  <c:v>40026</c:v>
                </c:pt>
                <c:pt idx="78">
                  <c:v>40057</c:v>
                </c:pt>
                <c:pt idx="79">
                  <c:v>40087</c:v>
                </c:pt>
                <c:pt idx="80">
                  <c:v>40118</c:v>
                </c:pt>
                <c:pt idx="81">
                  <c:v>40148</c:v>
                </c:pt>
                <c:pt idx="82">
                  <c:v>40179</c:v>
                </c:pt>
                <c:pt idx="83">
                  <c:v>40210</c:v>
                </c:pt>
                <c:pt idx="84">
                  <c:v>40238</c:v>
                </c:pt>
                <c:pt idx="85">
                  <c:v>40269</c:v>
                </c:pt>
                <c:pt idx="86">
                  <c:v>40299</c:v>
                </c:pt>
                <c:pt idx="87">
                  <c:v>40330</c:v>
                </c:pt>
                <c:pt idx="88">
                  <c:v>40360</c:v>
                </c:pt>
                <c:pt idx="89">
                  <c:v>40391</c:v>
                </c:pt>
                <c:pt idx="90">
                  <c:v>40422</c:v>
                </c:pt>
                <c:pt idx="91">
                  <c:v>40452</c:v>
                </c:pt>
                <c:pt idx="92">
                  <c:v>40483</c:v>
                </c:pt>
                <c:pt idx="93">
                  <c:v>40513</c:v>
                </c:pt>
                <c:pt idx="94">
                  <c:v>40544</c:v>
                </c:pt>
                <c:pt idx="95">
                  <c:v>40575</c:v>
                </c:pt>
                <c:pt idx="96">
                  <c:v>40603</c:v>
                </c:pt>
                <c:pt idx="97">
                  <c:v>40634</c:v>
                </c:pt>
                <c:pt idx="98">
                  <c:v>40664</c:v>
                </c:pt>
                <c:pt idx="99">
                  <c:v>40695</c:v>
                </c:pt>
                <c:pt idx="100">
                  <c:v>40725</c:v>
                </c:pt>
                <c:pt idx="101">
                  <c:v>40756</c:v>
                </c:pt>
                <c:pt idx="102">
                  <c:v>40787</c:v>
                </c:pt>
              </c:numCache>
            </c:numRef>
          </c:cat>
          <c:val>
            <c:numRef>
              <c:f>'Mult series same spec'!$B$4:$B$106</c:f>
              <c:numCache>
                <c:formatCode>_-"R$"\ * #,##0_-;\-"R$"\ * #,##0_-;_-"R$"\ * "-"??_-;_-@_-</c:formatCode>
                <c:ptCount val="103"/>
                <c:pt idx="0">
                  <c:v>262484</c:v>
                </c:pt>
                <c:pt idx="1">
                  <c:v>257147</c:v>
                </c:pt>
                <c:pt idx="2">
                  <c:v>258073</c:v>
                </c:pt>
                <c:pt idx="3">
                  <c:v>264112</c:v>
                </c:pt>
                <c:pt idx="4">
                  <c:v>270529</c:v>
                </c:pt>
                <c:pt idx="5">
                  <c:v>271841</c:v>
                </c:pt>
                <c:pt idx="6">
                  <c:v>265512</c:v>
                </c:pt>
                <c:pt idx="7">
                  <c:v>262726</c:v>
                </c:pt>
                <c:pt idx="8">
                  <c:v>264452</c:v>
                </c:pt>
                <c:pt idx="9">
                  <c:v>272399</c:v>
                </c:pt>
                <c:pt idx="10">
                  <c:v>273273</c:v>
                </c:pt>
                <c:pt idx="11">
                  <c:v>270253</c:v>
                </c:pt>
                <c:pt idx="12">
                  <c:v>263746</c:v>
                </c:pt>
                <c:pt idx="13">
                  <c:v>261988</c:v>
                </c:pt>
                <c:pt idx="14">
                  <c:v>264863</c:v>
                </c:pt>
                <c:pt idx="15">
                  <c:v>272828</c:v>
                </c:pt>
                <c:pt idx="16">
                  <c:v>279906</c:v>
                </c:pt>
                <c:pt idx="17">
                  <c:v>283530</c:v>
                </c:pt>
                <c:pt idx="18">
                  <c:v>279398</c:v>
                </c:pt>
                <c:pt idx="19">
                  <c:v>280402</c:v>
                </c:pt>
                <c:pt idx="20">
                  <c:v>280504</c:v>
                </c:pt>
                <c:pt idx="21">
                  <c:v>288010</c:v>
                </c:pt>
                <c:pt idx="22">
                  <c:v>284842</c:v>
                </c:pt>
                <c:pt idx="23">
                  <c:v>281944</c:v>
                </c:pt>
                <c:pt idx="24">
                  <c:v>273142</c:v>
                </c:pt>
                <c:pt idx="25">
                  <c:v>269774</c:v>
                </c:pt>
                <c:pt idx="26">
                  <c:v>270683</c:v>
                </c:pt>
                <c:pt idx="27">
                  <c:v>279477</c:v>
                </c:pt>
                <c:pt idx="28">
                  <c:v>287871</c:v>
                </c:pt>
                <c:pt idx="29">
                  <c:v>290989</c:v>
                </c:pt>
                <c:pt idx="30">
                  <c:v>287366</c:v>
                </c:pt>
                <c:pt idx="31">
                  <c:v>286907</c:v>
                </c:pt>
                <c:pt idx="32">
                  <c:v>293240</c:v>
                </c:pt>
                <c:pt idx="33">
                  <c:v>298268</c:v>
                </c:pt>
                <c:pt idx="34">
                  <c:v>300675</c:v>
                </c:pt>
                <c:pt idx="35">
                  <c:v>292348</c:v>
                </c:pt>
                <c:pt idx="36">
                  <c:v>285626</c:v>
                </c:pt>
                <c:pt idx="37">
                  <c:v>279303</c:v>
                </c:pt>
                <c:pt idx="38">
                  <c:v>283399</c:v>
                </c:pt>
                <c:pt idx="39">
                  <c:v>292689</c:v>
                </c:pt>
                <c:pt idx="40">
                  <c:v>301748</c:v>
                </c:pt>
                <c:pt idx="41">
                  <c:v>304333</c:v>
                </c:pt>
                <c:pt idx="42">
                  <c:v>306318</c:v>
                </c:pt>
                <c:pt idx="43">
                  <c:v>308073</c:v>
                </c:pt>
                <c:pt idx="44">
                  <c:v>315160</c:v>
                </c:pt>
                <c:pt idx="45">
                  <c:v>316677</c:v>
                </c:pt>
                <c:pt idx="46">
                  <c:v>319326</c:v>
                </c:pt>
                <c:pt idx="47">
                  <c:v>314603</c:v>
                </c:pt>
                <c:pt idx="48">
                  <c:v>311740</c:v>
                </c:pt>
                <c:pt idx="49">
                  <c:v>308309</c:v>
                </c:pt>
                <c:pt idx="50">
                  <c:v>311748</c:v>
                </c:pt>
                <c:pt idx="51">
                  <c:v>317903</c:v>
                </c:pt>
                <c:pt idx="52">
                  <c:v>324368</c:v>
                </c:pt>
                <c:pt idx="53">
                  <c:v>327919</c:v>
                </c:pt>
                <c:pt idx="54">
                  <c:v>328447</c:v>
                </c:pt>
                <c:pt idx="55">
                  <c:v>329735</c:v>
                </c:pt>
                <c:pt idx="56">
                  <c:v>334203</c:v>
                </c:pt>
                <c:pt idx="57">
                  <c:v>344549</c:v>
                </c:pt>
                <c:pt idx="58">
                  <c:v>344289</c:v>
                </c:pt>
                <c:pt idx="59">
                  <c:v>339873</c:v>
                </c:pt>
                <c:pt idx="60">
                  <c:v>328214</c:v>
                </c:pt>
                <c:pt idx="61">
                  <c:v>327351</c:v>
                </c:pt>
                <c:pt idx="62">
                  <c:v>332318</c:v>
                </c:pt>
                <c:pt idx="63">
                  <c:v>341324</c:v>
                </c:pt>
                <c:pt idx="64">
                  <c:v>351534</c:v>
                </c:pt>
                <c:pt idx="65">
                  <c:v>357466</c:v>
                </c:pt>
                <c:pt idx="66">
                  <c:v>358028</c:v>
                </c:pt>
                <c:pt idx="67">
                  <c:v>356414</c:v>
                </c:pt>
                <c:pt idx="68">
                  <c:v>360056</c:v>
                </c:pt>
                <c:pt idx="69">
                  <c:v>368513</c:v>
                </c:pt>
                <c:pt idx="70">
                  <c:v>369967</c:v>
                </c:pt>
                <c:pt idx="71">
                  <c:v>363521</c:v>
                </c:pt>
                <c:pt idx="72">
                  <c:v>356289</c:v>
                </c:pt>
                <c:pt idx="73">
                  <c:v>353349</c:v>
                </c:pt>
                <c:pt idx="74">
                  <c:v>355873</c:v>
                </c:pt>
                <c:pt idx="75">
                  <c:v>361827</c:v>
                </c:pt>
                <c:pt idx="76">
                  <c:v>373485</c:v>
                </c:pt>
                <c:pt idx="77">
                  <c:v>379340</c:v>
                </c:pt>
                <c:pt idx="78">
                  <c:v>379662</c:v>
                </c:pt>
                <c:pt idx="79">
                  <c:v>376596</c:v>
                </c:pt>
                <c:pt idx="80">
                  <c:v>381684</c:v>
                </c:pt>
                <c:pt idx="81">
                  <c:v>391486</c:v>
                </c:pt>
                <c:pt idx="82">
                  <c:v>392271</c:v>
                </c:pt>
                <c:pt idx="83">
                  <c:v>388069</c:v>
                </c:pt>
                <c:pt idx="84">
                  <c:v>381822</c:v>
                </c:pt>
                <c:pt idx="85">
                  <c:v>380022</c:v>
                </c:pt>
                <c:pt idx="86">
                  <c:v>381318</c:v>
                </c:pt>
                <c:pt idx="87">
                  <c:v>386786</c:v>
                </c:pt>
                <c:pt idx="88">
                  <c:v>400730</c:v>
                </c:pt>
                <c:pt idx="89">
                  <c:v>411655</c:v>
                </c:pt>
                <c:pt idx="90">
                  <c:v>415622</c:v>
                </c:pt>
                <c:pt idx="91">
                  <c:v>415262</c:v>
                </c:pt>
                <c:pt idx="92">
                  <c:v>415455</c:v>
                </c:pt>
                <c:pt idx="93">
                  <c:v>420114</c:v>
                </c:pt>
                <c:pt idx="94">
                  <c:v>418208</c:v>
                </c:pt>
                <c:pt idx="95">
                  <c:v>416574</c:v>
                </c:pt>
                <c:pt idx="96">
                  <c:v>407386</c:v>
                </c:pt>
                <c:pt idx="97">
                  <c:v>407516</c:v>
                </c:pt>
                <c:pt idx="98">
                  <c:v>408751</c:v>
                </c:pt>
                <c:pt idx="99">
                  <c:v>420006</c:v>
                </c:pt>
                <c:pt idx="100">
                  <c:v>432904</c:v>
                </c:pt>
                <c:pt idx="101">
                  <c:v>438822</c:v>
                </c:pt>
                <c:pt idx="102">
                  <c:v>436447</c:v>
                </c:pt>
              </c:numCache>
            </c:numRef>
          </c:val>
          <c:smooth val="0"/>
          <c:extLst>
            <c:ext xmlns:c16="http://schemas.microsoft.com/office/drawing/2014/chart" uri="{C3380CC4-5D6E-409C-BE32-E72D297353CC}">
              <c16:uniqueId val="{00000000-AB40-45C8-864B-5F723AC4C5EC}"/>
            </c:ext>
          </c:extLst>
        </c:ser>
        <c:ser>
          <c:idx val="1"/>
          <c:order val="1"/>
          <c:tx>
            <c:strRef>
              <c:f>'Mult series same spec'!$D$3</c:f>
              <c:strCache>
                <c:ptCount val="1"/>
                <c:pt idx="0">
                  <c:v>RNDBF SA</c:v>
                </c:pt>
              </c:strCache>
            </c:strRef>
          </c:tx>
          <c:spPr>
            <a:ln w="28575" cap="rnd">
              <a:solidFill>
                <a:schemeClr val="accent2"/>
              </a:solidFill>
              <a:round/>
            </a:ln>
            <a:effectLst/>
          </c:spPr>
          <c:marker>
            <c:symbol val="none"/>
          </c:marker>
          <c:cat>
            <c:numRef>
              <c:f>'Mult series same spec'!$A$4:$A$106</c:f>
              <c:numCache>
                <c:formatCode>[$-416]mmm\-yy;@</c:formatCode>
                <c:ptCount val="103"/>
                <c:pt idx="0">
                  <c:v>37681</c:v>
                </c:pt>
                <c:pt idx="1">
                  <c:v>37712</c:v>
                </c:pt>
                <c:pt idx="2">
                  <c:v>37742</c:v>
                </c:pt>
                <c:pt idx="3">
                  <c:v>37773</c:v>
                </c:pt>
                <c:pt idx="4">
                  <c:v>37803</c:v>
                </c:pt>
                <c:pt idx="5">
                  <c:v>37834</c:v>
                </c:pt>
                <c:pt idx="6">
                  <c:v>37865</c:v>
                </c:pt>
                <c:pt idx="7">
                  <c:v>37895</c:v>
                </c:pt>
                <c:pt idx="8">
                  <c:v>37926</c:v>
                </c:pt>
                <c:pt idx="9">
                  <c:v>37956</c:v>
                </c:pt>
                <c:pt idx="10">
                  <c:v>37987</c:v>
                </c:pt>
                <c:pt idx="11">
                  <c:v>38018</c:v>
                </c:pt>
                <c:pt idx="12">
                  <c:v>38047</c:v>
                </c:pt>
                <c:pt idx="13">
                  <c:v>38078</c:v>
                </c:pt>
                <c:pt idx="14">
                  <c:v>38108</c:v>
                </c:pt>
                <c:pt idx="15">
                  <c:v>38139</c:v>
                </c:pt>
                <c:pt idx="16">
                  <c:v>38169</c:v>
                </c:pt>
                <c:pt idx="17">
                  <c:v>38200</c:v>
                </c:pt>
                <c:pt idx="18">
                  <c:v>38231</c:v>
                </c:pt>
                <c:pt idx="19">
                  <c:v>38261</c:v>
                </c:pt>
                <c:pt idx="20">
                  <c:v>38292</c:v>
                </c:pt>
                <c:pt idx="21">
                  <c:v>38322</c:v>
                </c:pt>
                <c:pt idx="22">
                  <c:v>38353</c:v>
                </c:pt>
                <c:pt idx="23">
                  <c:v>38384</c:v>
                </c:pt>
                <c:pt idx="24">
                  <c:v>38412</c:v>
                </c:pt>
                <c:pt idx="25">
                  <c:v>38443</c:v>
                </c:pt>
                <c:pt idx="26">
                  <c:v>38473</c:v>
                </c:pt>
                <c:pt idx="27">
                  <c:v>38504</c:v>
                </c:pt>
                <c:pt idx="28">
                  <c:v>38534</c:v>
                </c:pt>
                <c:pt idx="29">
                  <c:v>38565</c:v>
                </c:pt>
                <c:pt idx="30">
                  <c:v>38596</c:v>
                </c:pt>
                <c:pt idx="31">
                  <c:v>38626</c:v>
                </c:pt>
                <c:pt idx="32">
                  <c:v>38657</c:v>
                </c:pt>
                <c:pt idx="33">
                  <c:v>38687</c:v>
                </c:pt>
                <c:pt idx="34">
                  <c:v>38718</c:v>
                </c:pt>
                <c:pt idx="35">
                  <c:v>38749</c:v>
                </c:pt>
                <c:pt idx="36">
                  <c:v>38777</c:v>
                </c:pt>
                <c:pt idx="37">
                  <c:v>38808</c:v>
                </c:pt>
                <c:pt idx="38">
                  <c:v>38838</c:v>
                </c:pt>
                <c:pt idx="39">
                  <c:v>38869</c:v>
                </c:pt>
                <c:pt idx="40">
                  <c:v>38899</c:v>
                </c:pt>
                <c:pt idx="41">
                  <c:v>38930</c:v>
                </c:pt>
                <c:pt idx="42">
                  <c:v>38961</c:v>
                </c:pt>
                <c:pt idx="43">
                  <c:v>38991</c:v>
                </c:pt>
                <c:pt idx="44">
                  <c:v>39022</c:v>
                </c:pt>
                <c:pt idx="45">
                  <c:v>39052</c:v>
                </c:pt>
                <c:pt idx="46">
                  <c:v>39083</c:v>
                </c:pt>
                <c:pt idx="47">
                  <c:v>39114</c:v>
                </c:pt>
                <c:pt idx="48">
                  <c:v>39142</c:v>
                </c:pt>
                <c:pt idx="49">
                  <c:v>39173</c:v>
                </c:pt>
                <c:pt idx="50">
                  <c:v>39203</c:v>
                </c:pt>
                <c:pt idx="51">
                  <c:v>39234</c:v>
                </c:pt>
                <c:pt idx="52">
                  <c:v>39264</c:v>
                </c:pt>
                <c:pt idx="53">
                  <c:v>39295</c:v>
                </c:pt>
                <c:pt idx="54">
                  <c:v>39326</c:v>
                </c:pt>
                <c:pt idx="55">
                  <c:v>39356</c:v>
                </c:pt>
                <c:pt idx="56">
                  <c:v>39387</c:v>
                </c:pt>
                <c:pt idx="57">
                  <c:v>39417</c:v>
                </c:pt>
                <c:pt idx="58">
                  <c:v>39448</c:v>
                </c:pt>
                <c:pt idx="59">
                  <c:v>39479</c:v>
                </c:pt>
                <c:pt idx="60">
                  <c:v>39508</c:v>
                </c:pt>
                <c:pt idx="61">
                  <c:v>39539</c:v>
                </c:pt>
                <c:pt idx="62">
                  <c:v>39569</c:v>
                </c:pt>
                <c:pt idx="63">
                  <c:v>39600</c:v>
                </c:pt>
                <c:pt idx="64">
                  <c:v>39630</c:v>
                </c:pt>
                <c:pt idx="65">
                  <c:v>39661</c:v>
                </c:pt>
                <c:pt idx="66">
                  <c:v>39692</c:v>
                </c:pt>
                <c:pt idx="67">
                  <c:v>39722</c:v>
                </c:pt>
                <c:pt idx="68">
                  <c:v>39753</c:v>
                </c:pt>
                <c:pt idx="69">
                  <c:v>39783</c:v>
                </c:pt>
                <c:pt idx="70">
                  <c:v>39814</c:v>
                </c:pt>
                <c:pt idx="71">
                  <c:v>39845</c:v>
                </c:pt>
                <c:pt idx="72">
                  <c:v>39873</c:v>
                </c:pt>
                <c:pt idx="73">
                  <c:v>39904</c:v>
                </c:pt>
                <c:pt idx="74">
                  <c:v>39934</c:v>
                </c:pt>
                <c:pt idx="75">
                  <c:v>39965</c:v>
                </c:pt>
                <c:pt idx="76">
                  <c:v>39995</c:v>
                </c:pt>
                <c:pt idx="77">
                  <c:v>40026</c:v>
                </c:pt>
                <c:pt idx="78">
                  <c:v>40057</c:v>
                </c:pt>
                <c:pt idx="79">
                  <c:v>40087</c:v>
                </c:pt>
                <c:pt idx="80">
                  <c:v>40118</c:v>
                </c:pt>
                <c:pt idx="81">
                  <c:v>40148</c:v>
                </c:pt>
                <c:pt idx="82">
                  <c:v>40179</c:v>
                </c:pt>
                <c:pt idx="83">
                  <c:v>40210</c:v>
                </c:pt>
                <c:pt idx="84">
                  <c:v>40238</c:v>
                </c:pt>
                <c:pt idx="85">
                  <c:v>40269</c:v>
                </c:pt>
                <c:pt idx="86">
                  <c:v>40299</c:v>
                </c:pt>
                <c:pt idx="87">
                  <c:v>40330</c:v>
                </c:pt>
                <c:pt idx="88">
                  <c:v>40360</c:v>
                </c:pt>
                <c:pt idx="89">
                  <c:v>40391</c:v>
                </c:pt>
                <c:pt idx="90">
                  <c:v>40422</c:v>
                </c:pt>
                <c:pt idx="91">
                  <c:v>40452</c:v>
                </c:pt>
                <c:pt idx="92">
                  <c:v>40483</c:v>
                </c:pt>
                <c:pt idx="93">
                  <c:v>40513</c:v>
                </c:pt>
                <c:pt idx="94">
                  <c:v>40544</c:v>
                </c:pt>
                <c:pt idx="95">
                  <c:v>40575</c:v>
                </c:pt>
                <c:pt idx="96">
                  <c:v>40603</c:v>
                </c:pt>
                <c:pt idx="97">
                  <c:v>40634</c:v>
                </c:pt>
                <c:pt idx="98">
                  <c:v>40664</c:v>
                </c:pt>
                <c:pt idx="99">
                  <c:v>40695</c:v>
                </c:pt>
                <c:pt idx="100">
                  <c:v>40725</c:v>
                </c:pt>
                <c:pt idx="101">
                  <c:v>40756</c:v>
                </c:pt>
                <c:pt idx="102">
                  <c:v>40787</c:v>
                </c:pt>
              </c:numCache>
            </c:numRef>
          </c:cat>
          <c:val>
            <c:numRef>
              <c:f>'Mult series same spec'!$D$4:$D$106</c:f>
              <c:numCache>
                <c:formatCode>_-"R$"\ * #,##0_-;\-"R$"\ * #,##0_-;_-"R$"\ * "-"??_-;_-@_-</c:formatCode>
                <c:ptCount val="103"/>
                <c:pt idx="0">
                  <c:v>268879</c:v>
                </c:pt>
                <c:pt idx="1">
                  <c:v>267570</c:v>
                </c:pt>
                <c:pt idx="2">
                  <c:v>267384</c:v>
                </c:pt>
                <c:pt idx="3">
                  <c:v>266756</c:v>
                </c:pt>
                <c:pt idx="4">
                  <c:v>266652</c:v>
                </c:pt>
                <c:pt idx="5">
                  <c:v>265634</c:v>
                </c:pt>
                <c:pt idx="6">
                  <c:v>264252</c:v>
                </c:pt>
                <c:pt idx="7">
                  <c:v>262570</c:v>
                </c:pt>
                <c:pt idx="8">
                  <c:v>262807</c:v>
                </c:pt>
                <c:pt idx="9">
                  <c:v>264712</c:v>
                </c:pt>
                <c:pt idx="10">
                  <c:v>267284</c:v>
                </c:pt>
                <c:pt idx="11">
                  <c:v>268461</c:v>
                </c:pt>
                <c:pt idx="12">
                  <c:v>270088</c:v>
                </c:pt>
                <c:pt idx="13">
                  <c:v>272510</c:v>
                </c:pt>
                <c:pt idx="14">
                  <c:v>274555</c:v>
                </c:pt>
                <c:pt idx="15">
                  <c:v>275649</c:v>
                </c:pt>
                <c:pt idx="16">
                  <c:v>276101</c:v>
                </c:pt>
                <c:pt idx="17">
                  <c:v>277356</c:v>
                </c:pt>
                <c:pt idx="18">
                  <c:v>277983</c:v>
                </c:pt>
                <c:pt idx="19">
                  <c:v>279960</c:v>
                </c:pt>
                <c:pt idx="20">
                  <c:v>278425</c:v>
                </c:pt>
                <c:pt idx="21">
                  <c:v>279976</c:v>
                </c:pt>
                <c:pt idx="22">
                  <c:v>278471</c:v>
                </c:pt>
                <c:pt idx="23">
                  <c:v>280264</c:v>
                </c:pt>
                <c:pt idx="24">
                  <c:v>279419</c:v>
                </c:pt>
                <c:pt idx="25">
                  <c:v>280476</c:v>
                </c:pt>
                <c:pt idx="26">
                  <c:v>280631</c:v>
                </c:pt>
                <c:pt idx="27">
                  <c:v>282591</c:v>
                </c:pt>
                <c:pt idx="28">
                  <c:v>284407</c:v>
                </c:pt>
                <c:pt idx="29">
                  <c:v>285264</c:v>
                </c:pt>
                <c:pt idx="30">
                  <c:v>285687</c:v>
                </c:pt>
                <c:pt idx="31">
                  <c:v>286193</c:v>
                </c:pt>
                <c:pt idx="32">
                  <c:v>290556</c:v>
                </c:pt>
                <c:pt idx="33">
                  <c:v>290028</c:v>
                </c:pt>
                <c:pt idx="34">
                  <c:v>293621</c:v>
                </c:pt>
                <c:pt idx="35">
                  <c:v>290833</c:v>
                </c:pt>
                <c:pt idx="36">
                  <c:v>291841</c:v>
                </c:pt>
                <c:pt idx="37">
                  <c:v>290370</c:v>
                </c:pt>
                <c:pt idx="38">
                  <c:v>293624</c:v>
                </c:pt>
                <c:pt idx="39">
                  <c:v>296293</c:v>
                </c:pt>
                <c:pt idx="40">
                  <c:v>298836</c:v>
                </c:pt>
                <c:pt idx="41">
                  <c:v>299078</c:v>
                </c:pt>
                <c:pt idx="42">
                  <c:v>304008</c:v>
                </c:pt>
                <c:pt idx="43">
                  <c:v>306810</c:v>
                </c:pt>
                <c:pt idx="44">
                  <c:v>312091</c:v>
                </c:pt>
                <c:pt idx="45">
                  <c:v>308045</c:v>
                </c:pt>
                <c:pt idx="46">
                  <c:v>311531</c:v>
                </c:pt>
                <c:pt idx="47">
                  <c:v>313202</c:v>
                </c:pt>
                <c:pt idx="48">
                  <c:v>318267</c:v>
                </c:pt>
                <c:pt idx="49">
                  <c:v>320377</c:v>
                </c:pt>
                <c:pt idx="50">
                  <c:v>322501</c:v>
                </c:pt>
                <c:pt idx="51">
                  <c:v>322402</c:v>
                </c:pt>
                <c:pt idx="52">
                  <c:v>321878</c:v>
                </c:pt>
                <c:pt idx="53">
                  <c:v>322674</c:v>
                </c:pt>
                <c:pt idx="54">
                  <c:v>325247</c:v>
                </c:pt>
                <c:pt idx="55">
                  <c:v>328428</c:v>
                </c:pt>
                <c:pt idx="56">
                  <c:v>330980</c:v>
                </c:pt>
                <c:pt idx="57">
                  <c:v>335078</c:v>
                </c:pt>
                <c:pt idx="58">
                  <c:v>335784</c:v>
                </c:pt>
                <c:pt idx="59">
                  <c:v>338384</c:v>
                </c:pt>
                <c:pt idx="60">
                  <c:v>335191</c:v>
                </c:pt>
                <c:pt idx="61">
                  <c:v>339858</c:v>
                </c:pt>
                <c:pt idx="62">
                  <c:v>343484</c:v>
                </c:pt>
                <c:pt idx="63">
                  <c:v>346902</c:v>
                </c:pt>
                <c:pt idx="64">
                  <c:v>349304</c:v>
                </c:pt>
                <c:pt idx="65">
                  <c:v>351515</c:v>
                </c:pt>
                <c:pt idx="66">
                  <c:v>353412</c:v>
                </c:pt>
                <c:pt idx="67">
                  <c:v>354902</c:v>
                </c:pt>
                <c:pt idx="68">
                  <c:v>356785</c:v>
                </c:pt>
                <c:pt idx="69">
                  <c:v>358760</c:v>
                </c:pt>
                <c:pt idx="70">
                  <c:v>361282</c:v>
                </c:pt>
                <c:pt idx="71">
                  <c:v>362179</c:v>
                </c:pt>
                <c:pt idx="72">
                  <c:v>364154</c:v>
                </c:pt>
                <c:pt idx="73">
                  <c:v>366013</c:v>
                </c:pt>
                <c:pt idx="74">
                  <c:v>367713</c:v>
                </c:pt>
                <c:pt idx="75">
                  <c:v>368241</c:v>
                </c:pt>
                <c:pt idx="76">
                  <c:v>371308</c:v>
                </c:pt>
                <c:pt idx="77">
                  <c:v>372391</c:v>
                </c:pt>
                <c:pt idx="78">
                  <c:v>373687</c:v>
                </c:pt>
                <c:pt idx="79">
                  <c:v>375186</c:v>
                </c:pt>
                <c:pt idx="80">
                  <c:v>378154</c:v>
                </c:pt>
                <c:pt idx="81">
                  <c:v>381695</c:v>
                </c:pt>
                <c:pt idx="82">
                  <c:v>383990</c:v>
                </c:pt>
                <c:pt idx="83">
                  <c:v>386982</c:v>
                </c:pt>
                <c:pt idx="84">
                  <c:v>390550</c:v>
                </c:pt>
                <c:pt idx="85">
                  <c:v>392665</c:v>
                </c:pt>
                <c:pt idx="86">
                  <c:v>394057</c:v>
                </c:pt>
                <c:pt idx="87">
                  <c:v>393712</c:v>
                </c:pt>
                <c:pt idx="88">
                  <c:v>398597</c:v>
                </c:pt>
                <c:pt idx="89">
                  <c:v>403648</c:v>
                </c:pt>
                <c:pt idx="90">
                  <c:v>408183</c:v>
                </c:pt>
                <c:pt idx="91">
                  <c:v>413292</c:v>
                </c:pt>
                <c:pt idx="92">
                  <c:v>411311</c:v>
                </c:pt>
                <c:pt idx="93">
                  <c:v>410468</c:v>
                </c:pt>
                <c:pt idx="94">
                  <c:v>410397</c:v>
                </c:pt>
                <c:pt idx="95">
                  <c:v>416027</c:v>
                </c:pt>
                <c:pt idx="96">
                  <c:v>416978</c:v>
                </c:pt>
                <c:pt idx="97">
                  <c:v>420233</c:v>
                </c:pt>
                <c:pt idx="98">
                  <c:v>422043</c:v>
                </c:pt>
                <c:pt idx="99">
                  <c:v>427030</c:v>
                </c:pt>
                <c:pt idx="100">
                  <c:v>430855</c:v>
                </c:pt>
                <c:pt idx="101">
                  <c:v>430767</c:v>
                </c:pt>
                <c:pt idx="102">
                  <c:v>428706</c:v>
                </c:pt>
              </c:numCache>
            </c:numRef>
          </c:val>
          <c:smooth val="0"/>
          <c:extLst>
            <c:ext xmlns:c16="http://schemas.microsoft.com/office/drawing/2014/chart" uri="{C3380CC4-5D6E-409C-BE32-E72D297353CC}">
              <c16:uniqueId val="{00000001-AB40-45C8-864B-5F723AC4C5EC}"/>
            </c:ext>
          </c:extLst>
        </c:ser>
        <c:dLbls>
          <c:showLegendKey val="0"/>
          <c:showVal val="0"/>
          <c:showCatName val="0"/>
          <c:showSerName val="0"/>
          <c:showPercent val="0"/>
          <c:showBubbleSize val="0"/>
        </c:dLbls>
        <c:smooth val="0"/>
        <c:axId val="780837056"/>
        <c:axId val="780837888"/>
      </c:lineChart>
      <c:dateAx>
        <c:axId val="780837056"/>
        <c:scaling>
          <c:orientation val="minMax"/>
        </c:scaling>
        <c:delete val="0"/>
        <c:axPos val="b"/>
        <c:numFmt formatCode="[$-416]mmm\-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780837888"/>
        <c:crosses val="autoZero"/>
        <c:auto val="1"/>
        <c:lblOffset val="100"/>
        <c:baseTimeUnit val="months"/>
      </c:dateAx>
      <c:valAx>
        <c:axId val="780837888"/>
        <c:scaling>
          <c:orientation val="minMax"/>
          <c:min val="200000"/>
        </c:scaling>
        <c:delete val="0"/>
        <c:axPos val="l"/>
        <c:majorGridlines>
          <c:spPr>
            <a:ln w="9525" cap="flat" cmpd="sng" algn="ctr">
              <a:solidFill>
                <a:schemeClr val="tx1">
                  <a:lumMod val="15000"/>
                  <a:lumOff val="85000"/>
                </a:schemeClr>
              </a:solidFill>
              <a:round/>
            </a:ln>
            <a:effectLst/>
          </c:spPr>
        </c:majorGridlines>
        <c:numFmt formatCode="_-&quot;R$&quot;\ * #,##0_-;\-&quot;R$&quot;\ * #,##0_-;_-&quot;R$&quot;\ * &quot;-&quot;??_-;_-@_-"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780837056"/>
        <c:crosses val="autoZero"/>
        <c:crossBetween val="between"/>
      </c:valAx>
      <c:spPr>
        <a:noFill/>
        <a:ln>
          <a:noFill/>
        </a:ln>
        <a:effectLst/>
      </c:spPr>
    </c:plotArea>
    <c:legend>
      <c:legendPos val="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pt-BR"/>
              <a:t>RNDBF</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pt-BR"/>
        </a:p>
      </c:txPr>
    </c:title>
    <c:autoTitleDeleted val="0"/>
    <c:plotArea>
      <c:layout/>
      <c:lineChart>
        <c:grouping val="standard"/>
        <c:varyColors val="0"/>
        <c:ser>
          <c:idx val="0"/>
          <c:order val="0"/>
          <c:tx>
            <c:strRef>
              <c:f>'Mult series same spec'!$B$3</c:f>
              <c:strCache>
                <c:ptCount val="1"/>
                <c:pt idx="0">
                  <c:v>RNDBF</c:v>
                </c:pt>
              </c:strCache>
            </c:strRef>
          </c:tx>
          <c:spPr>
            <a:ln w="28575" cap="rnd">
              <a:solidFill>
                <a:schemeClr val="accent1"/>
              </a:solidFill>
              <a:round/>
            </a:ln>
            <a:effectLst/>
          </c:spPr>
          <c:marker>
            <c:symbol val="none"/>
          </c:marker>
          <c:cat>
            <c:numRef>
              <c:f>'Mult series same spec'!$A$4:$A$106</c:f>
              <c:numCache>
                <c:formatCode>[$-416]mmm\-yy;@</c:formatCode>
                <c:ptCount val="103"/>
                <c:pt idx="0">
                  <c:v>37681</c:v>
                </c:pt>
                <c:pt idx="1">
                  <c:v>37712</c:v>
                </c:pt>
                <c:pt idx="2">
                  <c:v>37742</c:v>
                </c:pt>
                <c:pt idx="3">
                  <c:v>37773</c:v>
                </c:pt>
                <c:pt idx="4">
                  <c:v>37803</c:v>
                </c:pt>
                <c:pt idx="5">
                  <c:v>37834</c:v>
                </c:pt>
                <c:pt idx="6">
                  <c:v>37865</c:v>
                </c:pt>
                <c:pt idx="7">
                  <c:v>37895</c:v>
                </c:pt>
                <c:pt idx="8">
                  <c:v>37926</c:v>
                </c:pt>
                <c:pt idx="9">
                  <c:v>37956</c:v>
                </c:pt>
                <c:pt idx="10">
                  <c:v>37987</c:v>
                </c:pt>
                <c:pt idx="11">
                  <c:v>38018</c:v>
                </c:pt>
                <c:pt idx="12">
                  <c:v>38047</c:v>
                </c:pt>
                <c:pt idx="13">
                  <c:v>38078</c:v>
                </c:pt>
                <c:pt idx="14">
                  <c:v>38108</c:v>
                </c:pt>
                <c:pt idx="15">
                  <c:v>38139</c:v>
                </c:pt>
                <c:pt idx="16">
                  <c:v>38169</c:v>
                </c:pt>
                <c:pt idx="17">
                  <c:v>38200</c:v>
                </c:pt>
                <c:pt idx="18">
                  <c:v>38231</c:v>
                </c:pt>
                <c:pt idx="19">
                  <c:v>38261</c:v>
                </c:pt>
                <c:pt idx="20">
                  <c:v>38292</c:v>
                </c:pt>
                <c:pt idx="21">
                  <c:v>38322</c:v>
                </c:pt>
                <c:pt idx="22">
                  <c:v>38353</c:v>
                </c:pt>
                <c:pt idx="23">
                  <c:v>38384</c:v>
                </c:pt>
                <c:pt idx="24">
                  <c:v>38412</c:v>
                </c:pt>
                <c:pt idx="25">
                  <c:v>38443</c:v>
                </c:pt>
                <c:pt idx="26">
                  <c:v>38473</c:v>
                </c:pt>
                <c:pt idx="27">
                  <c:v>38504</c:v>
                </c:pt>
                <c:pt idx="28">
                  <c:v>38534</c:v>
                </c:pt>
                <c:pt idx="29">
                  <c:v>38565</c:v>
                </c:pt>
                <c:pt idx="30">
                  <c:v>38596</c:v>
                </c:pt>
                <c:pt idx="31">
                  <c:v>38626</c:v>
                </c:pt>
                <c:pt idx="32">
                  <c:v>38657</c:v>
                </c:pt>
                <c:pt idx="33">
                  <c:v>38687</c:v>
                </c:pt>
                <c:pt idx="34">
                  <c:v>38718</c:v>
                </c:pt>
                <c:pt idx="35">
                  <c:v>38749</c:v>
                </c:pt>
                <c:pt idx="36">
                  <c:v>38777</c:v>
                </c:pt>
                <c:pt idx="37">
                  <c:v>38808</c:v>
                </c:pt>
                <c:pt idx="38">
                  <c:v>38838</c:v>
                </c:pt>
                <c:pt idx="39">
                  <c:v>38869</c:v>
                </c:pt>
                <c:pt idx="40">
                  <c:v>38899</c:v>
                </c:pt>
                <c:pt idx="41">
                  <c:v>38930</c:v>
                </c:pt>
                <c:pt idx="42">
                  <c:v>38961</c:v>
                </c:pt>
                <c:pt idx="43">
                  <c:v>38991</c:v>
                </c:pt>
                <c:pt idx="44">
                  <c:v>39022</c:v>
                </c:pt>
                <c:pt idx="45">
                  <c:v>39052</c:v>
                </c:pt>
                <c:pt idx="46">
                  <c:v>39083</c:v>
                </c:pt>
                <c:pt idx="47">
                  <c:v>39114</c:v>
                </c:pt>
                <c:pt idx="48">
                  <c:v>39142</c:v>
                </c:pt>
                <c:pt idx="49">
                  <c:v>39173</c:v>
                </c:pt>
                <c:pt idx="50">
                  <c:v>39203</c:v>
                </c:pt>
                <c:pt idx="51">
                  <c:v>39234</c:v>
                </c:pt>
                <c:pt idx="52">
                  <c:v>39264</c:v>
                </c:pt>
                <c:pt idx="53">
                  <c:v>39295</c:v>
                </c:pt>
                <c:pt idx="54">
                  <c:v>39326</c:v>
                </c:pt>
                <c:pt idx="55">
                  <c:v>39356</c:v>
                </c:pt>
                <c:pt idx="56">
                  <c:v>39387</c:v>
                </c:pt>
                <c:pt idx="57">
                  <c:v>39417</c:v>
                </c:pt>
                <c:pt idx="58">
                  <c:v>39448</c:v>
                </c:pt>
                <c:pt idx="59">
                  <c:v>39479</c:v>
                </c:pt>
                <c:pt idx="60">
                  <c:v>39508</c:v>
                </c:pt>
                <c:pt idx="61">
                  <c:v>39539</c:v>
                </c:pt>
                <c:pt idx="62">
                  <c:v>39569</c:v>
                </c:pt>
                <c:pt idx="63">
                  <c:v>39600</c:v>
                </c:pt>
                <c:pt idx="64">
                  <c:v>39630</c:v>
                </c:pt>
                <c:pt idx="65">
                  <c:v>39661</c:v>
                </c:pt>
                <c:pt idx="66">
                  <c:v>39692</c:v>
                </c:pt>
                <c:pt idx="67">
                  <c:v>39722</c:v>
                </c:pt>
                <c:pt idx="68">
                  <c:v>39753</c:v>
                </c:pt>
                <c:pt idx="69">
                  <c:v>39783</c:v>
                </c:pt>
                <c:pt idx="70">
                  <c:v>39814</c:v>
                </c:pt>
                <c:pt idx="71">
                  <c:v>39845</c:v>
                </c:pt>
                <c:pt idx="72">
                  <c:v>39873</c:v>
                </c:pt>
                <c:pt idx="73">
                  <c:v>39904</c:v>
                </c:pt>
                <c:pt idx="74">
                  <c:v>39934</c:v>
                </c:pt>
                <c:pt idx="75">
                  <c:v>39965</c:v>
                </c:pt>
                <c:pt idx="76">
                  <c:v>39995</c:v>
                </c:pt>
                <c:pt idx="77">
                  <c:v>40026</c:v>
                </c:pt>
                <c:pt idx="78">
                  <c:v>40057</c:v>
                </c:pt>
                <c:pt idx="79">
                  <c:v>40087</c:v>
                </c:pt>
                <c:pt idx="80">
                  <c:v>40118</c:v>
                </c:pt>
                <c:pt idx="81">
                  <c:v>40148</c:v>
                </c:pt>
                <c:pt idx="82">
                  <c:v>40179</c:v>
                </c:pt>
                <c:pt idx="83">
                  <c:v>40210</c:v>
                </c:pt>
                <c:pt idx="84">
                  <c:v>40238</c:v>
                </c:pt>
                <c:pt idx="85">
                  <c:v>40269</c:v>
                </c:pt>
                <c:pt idx="86">
                  <c:v>40299</c:v>
                </c:pt>
                <c:pt idx="87">
                  <c:v>40330</c:v>
                </c:pt>
                <c:pt idx="88">
                  <c:v>40360</c:v>
                </c:pt>
                <c:pt idx="89">
                  <c:v>40391</c:v>
                </c:pt>
                <c:pt idx="90">
                  <c:v>40422</c:v>
                </c:pt>
                <c:pt idx="91">
                  <c:v>40452</c:v>
                </c:pt>
                <c:pt idx="92">
                  <c:v>40483</c:v>
                </c:pt>
                <c:pt idx="93">
                  <c:v>40513</c:v>
                </c:pt>
                <c:pt idx="94">
                  <c:v>40544</c:v>
                </c:pt>
                <c:pt idx="95">
                  <c:v>40575</c:v>
                </c:pt>
                <c:pt idx="96">
                  <c:v>40603</c:v>
                </c:pt>
                <c:pt idx="97">
                  <c:v>40634</c:v>
                </c:pt>
                <c:pt idx="98">
                  <c:v>40664</c:v>
                </c:pt>
                <c:pt idx="99">
                  <c:v>40695</c:v>
                </c:pt>
                <c:pt idx="100">
                  <c:v>40725</c:v>
                </c:pt>
                <c:pt idx="101">
                  <c:v>40756</c:v>
                </c:pt>
                <c:pt idx="102">
                  <c:v>40787</c:v>
                </c:pt>
              </c:numCache>
            </c:numRef>
          </c:cat>
          <c:val>
            <c:numRef>
              <c:f>'Mult series same spec'!$B$4:$B$106</c:f>
              <c:numCache>
                <c:formatCode>_-"R$"\ * #,##0_-;\-"R$"\ * #,##0_-;_-"R$"\ * "-"??_-;_-@_-</c:formatCode>
                <c:ptCount val="103"/>
                <c:pt idx="0">
                  <c:v>262484</c:v>
                </c:pt>
                <c:pt idx="1">
                  <c:v>257147</c:v>
                </c:pt>
                <c:pt idx="2">
                  <c:v>258073</c:v>
                </c:pt>
                <c:pt idx="3">
                  <c:v>264112</c:v>
                </c:pt>
                <c:pt idx="4">
                  <c:v>270529</c:v>
                </c:pt>
                <c:pt idx="5">
                  <c:v>271841</c:v>
                </c:pt>
                <c:pt idx="6">
                  <c:v>265512</c:v>
                </c:pt>
                <c:pt idx="7">
                  <c:v>262726</c:v>
                </c:pt>
                <c:pt idx="8">
                  <c:v>264452</c:v>
                </c:pt>
                <c:pt idx="9">
                  <c:v>272399</c:v>
                </c:pt>
                <c:pt idx="10">
                  <c:v>273273</c:v>
                </c:pt>
                <c:pt idx="11">
                  <c:v>270253</c:v>
                </c:pt>
                <c:pt idx="12">
                  <c:v>263746</c:v>
                </c:pt>
                <c:pt idx="13">
                  <c:v>261988</c:v>
                </c:pt>
                <c:pt idx="14">
                  <c:v>264863</c:v>
                </c:pt>
                <c:pt idx="15">
                  <c:v>272828</c:v>
                </c:pt>
                <c:pt idx="16">
                  <c:v>279906</c:v>
                </c:pt>
                <c:pt idx="17">
                  <c:v>283530</c:v>
                </c:pt>
                <c:pt idx="18">
                  <c:v>279398</c:v>
                </c:pt>
                <c:pt idx="19">
                  <c:v>280402</c:v>
                </c:pt>
                <c:pt idx="20">
                  <c:v>280504</c:v>
                </c:pt>
                <c:pt idx="21">
                  <c:v>288010</c:v>
                </c:pt>
                <c:pt idx="22">
                  <c:v>284842</c:v>
                </c:pt>
                <c:pt idx="23">
                  <c:v>281944</c:v>
                </c:pt>
                <c:pt idx="24">
                  <c:v>273142</c:v>
                </c:pt>
                <c:pt idx="25">
                  <c:v>269774</c:v>
                </c:pt>
                <c:pt idx="26">
                  <c:v>270683</c:v>
                </c:pt>
                <c:pt idx="27">
                  <c:v>279477</c:v>
                </c:pt>
                <c:pt idx="28">
                  <c:v>287871</c:v>
                </c:pt>
                <c:pt idx="29">
                  <c:v>290989</c:v>
                </c:pt>
                <c:pt idx="30">
                  <c:v>287366</c:v>
                </c:pt>
                <c:pt idx="31">
                  <c:v>286907</c:v>
                </c:pt>
                <c:pt idx="32">
                  <c:v>293240</c:v>
                </c:pt>
                <c:pt idx="33">
                  <c:v>298268</c:v>
                </c:pt>
                <c:pt idx="34">
                  <c:v>300675</c:v>
                </c:pt>
                <c:pt idx="35">
                  <c:v>292348</c:v>
                </c:pt>
                <c:pt idx="36">
                  <c:v>285626</c:v>
                </c:pt>
                <c:pt idx="37">
                  <c:v>279303</c:v>
                </c:pt>
                <c:pt idx="38">
                  <c:v>283399</c:v>
                </c:pt>
                <c:pt idx="39">
                  <c:v>292689</c:v>
                </c:pt>
                <c:pt idx="40">
                  <c:v>301748</c:v>
                </c:pt>
                <c:pt idx="41">
                  <c:v>304333</c:v>
                </c:pt>
                <c:pt idx="42">
                  <c:v>306318</c:v>
                </c:pt>
                <c:pt idx="43">
                  <c:v>308073</c:v>
                </c:pt>
                <c:pt idx="44">
                  <c:v>315160</c:v>
                </c:pt>
                <c:pt idx="45">
                  <c:v>316677</c:v>
                </c:pt>
                <c:pt idx="46">
                  <c:v>319326</c:v>
                </c:pt>
                <c:pt idx="47">
                  <c:v>314603</c:v>
                </c:pt>
                <c:pt idx="48">
                  <c:v>311740</c:v>
                </c:pt>
                <c:pt idx="49">
                  <c:v>308309</c:v>
                </c:pt>
                <c:pt idx="50">
                  <c:v>311748</c:v>
                </c:pt>
                <c:pt idx="51">
                  <c:v>317903</c:v>
                </c:pt>
                <c:pt idx="52">
                  <c:v>324368</c:v>
                </c:pt>
                <c:pt idx="53">
                  <c:v>327919</c:v>
                </c:pt>
                <c:pt idx="54">
                  <c:v>328447</c:v>
                </c:pt>
                <c:pt idx="55">
                  <c:v>329735</c:v>
                </c:pt>
                <c:pt idx="56">
                  <c:v>334203</c:v>
                </c:pt>
                <c:pt idx="57">
                  <c:v>344549</c:v>
                </c:pt>
                <c:pt idx="58">
                  <c:v>344289</c:v>
                </c:pt>
                <c:pt idx="59">
                  <c:v>339873</c:v>
                </c:pt>
                <c:pt idx="60">
                  <c:v>328214</c:v>
                </c:pt>
                <c:pt idx="61">
                  <c:v>327351</c:v>
                </c:pt>
                <c:pt idx="62">
                  <c:v>332318</c:v>
                </c:pt>
                <c:pt idx="63">
                  <c:v>341324</c:v>
                </c:pt>
                <c:pt idx="64">
                  <c:v>351534</c:v>
                </c:pt>
                <c:pt idx="65">
                  <c:v>357466</c:v>
                </c:pt>
                <c:pt idx="66">
                  <c:v>358028</c:v>
                </c:pt>
                <c:pt idx="67">
                  <c:v>356414</c:v>
                </c:pt>
                <c:pt idx="68">
                  <c:v>360056</c:v>
                </c:pt>
                <c:pt idx="69">
                  <c:v>368513</c:v>
                </c:pt>
                <c:pt idx="70">
                  <c:v>369967</c:v>
                </c:pt>
                <c:pt idx="71">
                  <c:v>363521</c:v>
                </c:pt>
                <c:pt idx="72">
                  <c:v>356289</c:v>
                </c:pt>
                <c:pt idx="73">
                  <c:v>353349</c:v>
                </c:pt>
                <c:pt idx="74">
                  <c:v>355873</c:v>
                </c:pt>
                <c:pt idx="75">
                  <c:v>361827</c:v>
                </c:pt>
                <c:pt idx="76">
                  <c:v>373485</c:v>
                </c:pt>
                <c:pt idx="77">
                  <c:v>379340</c:v>
                </c:pt>
                <c:pt idx="78">
                  <c:v>379662</c:v>
                </c:pt>
                <c:pt idx="79">
                  <c:v>376596</c:v>
                </c:pt>
                <c:pt idx="80">
                  <c:v>381684</c:v>
                </c:pt>
                <c:pt idx="81">
                  <c:v>391486</c:v>
                </c:pt>
                <c:pt idx="82">
                  <c:v>392271</c:v>
                </c:pt>
                <c:pt idx="83">
                  <c:v>388069</c:v>
                </c:pt>
                <c:pt idx="84">
                  <c:v>381822</c:v>
                </c:pt>
                <c:pt idx="85">
                  <c:v>380022</c:v>
                </c:pt>
                <c:pt idx="86">
                  <c:v>381318</c:v>
                </c:pt>
                <c:pt idx="87">
                  <c:v>386786</c:v>
                </c:pt>
                <c:pt idx="88">
                  <c:v>400730</c:v>
                </c:pt>
                <c:pt idx="89">
                  <c:v>411655</c:v>
                </c:pt>
                <c:pt idx="90">
                  <c:v>415622</c:v>
                </c:pt>
                <c:pt idx="91">
                  <c:v>415262</c:v>
                </c:pt>
                <c:pt idx="92">
                  <c:v>415455</c:v>
                </c:pt>
                <c:pt idx="93">
                  <c:v>420114</c:v>
                </c:pt>
                <c:pt idx="94">
                  <c:v>418208</c:v>
                </c:pt>
                <c:pt idx="95">
                  <c:v>416574</c:v>
                </c:pt>
                <c:pt idx="96">
                  <c:v>407386</c:v>
                </c:pt>
                <c:pt idx="97">
                  <c:v>407516</c:v>
                </c:pt>
                <c:pt idx="98">
                  <c:v>408751</c:v>
                </c:pt>
                <c:pt idx="99">
                  <c:v>420006</c:v>
                </c:pt>
                <c:pt idx="100">
                  <c:v>432904</c:v>
                </c:pt>
                <c:pt idx="101">
                  <c:v>438822</c:v>
                </c:pt>
                <c:pt idx="102">
                  <c:v>436447</c:v>
                </c:pt>
              </c:numCache>
            </c:numRef>
          </c:val>
          <c:smooth val="0"/>
          <c:extLst>
            <c:ext xmlns:c16="http://schemas.microsoft.com/office/drawing/2014/chart" uri="{C3380CC4-5D6E-409C-BE32-E72D297353CC}">
              <c16:uniqueId val="{00000000-8093-4622-AD4D-13C6DA4FA895}"/>
            </c:ext>
          </c:extLst>
        </c:ser>
        <c:ser>
          <c:idx val="1"/>
          <c:order val="1"/>
          <c:tx>
            <c:v>xlDESSAZ SA</c:v>
          </c:tx>
          <c:spPr>
            <a:ln w="28575" cap="rnd">
              <a:solidFill>
                <a:schemeClr val="accent2"/>
              </a:solidFill>
              <a:round/>
            </a:ln>
            <a:effectLst/>
          </c:spPr>
          <c:marker>
            <c:symbol val="none"/>
          </c:marker>
          <c:cat>
            <c:numRef>
              <c:f>'Mult series same spec'!$A$4:$A$106</c:f>
              <c:numCache>
                <c:formatCode>[$-416]mmm\-yy;@</c:formatCode>
                <c:ptCount val="103"/>
                <c:pt idx="0">
                  <c:v>37681</c:v>
                </c:pt>
                <c:pt idx="1">
                  <c:v>37712</c:v>
                </c:pt>
                <c:pt idx="2">
                  <c:v>37742</c:v>
                </c:pt>
                <c:pt idx="3">
                  <c:v>37773</c:v>
                </c:pt>
                <c:pt idx="4">
                  <c:v>37803</c:v>
                </c:pt>
                <c:pt idx="5">
                  <c:v>37834</c:v>
                </c:pt>
                <c:pt idx="6">
                  <c:v>37865</c:v>
                </c:pt>
                <c:pt idx="7">
                  <c:v>37895</c:v>
                </c:pt>
                <c:pt idx="8">
                  <c:v>37926</c:v>
                </c:pt>
                <c:pt idx="9">
                  <c:v>37956</c:v>
                </c:pt>
                <c:pt idx="10">
                  <c:v>37987</c:v>
                </c:pt>
                <c:pt idx="11">
                  <c:v>38018</c:v>
                </c:pt>
                <c:pt idx="12">
                  <c:v>38047</c:v>
                </c:pt>
                <c:pt idx="13">
                  <c:v>38078</c:v>
                </c:pt>
                <c:pt idx="14">
                  <c:v>38108</c:v>
                </c:pt>
                <c:pt idx="15">
                  <c:v>38139</c:v>
                </c:pt>
                <c:pt idx="16">
                  <c:v>38169</c:v>
                </c:pt>
                <c:pt idx="17">
                  <c:v>38200</c:v>
                </c:pt>
                <c:pt idx="18">
                  <c:v>38231</c:v>
                </c:pt>
                <c:pt idx="19">
                  <c:v>38261</c:v>
                </c:pt>
                <c:pt idx="20">
                  <c:v>38292</c:v>
                </c:pt>
                <c:pt idx="21">
                  <c:v>38322</c:v>
                </c:pt>
                <c:pt idx="22">
                  <c:v>38353</c:v>
                </c:pt>
                <c:pt idx="23">
                  <c:v>38384</c:v>
                </c:pt>
                <c:pt idx="24">
                  <c:v>38412</c:v>
                </c:pt>
                <c:pt idx="25">
                  <c:v>38443</c:v>
                </c:pt>
                <c:pt idx="26">
                  <c:v>38473</c:v>
                </c:pt>
                <c:pt idx="27">
                  <c:v>38504</c:v>
                </c:pt>
                <c:pt idx="28">
                  <c:v>38534</c:v>
                </c:pt>
                <c:pt idx="29">
                  <c:v>38565</c:v>
                </c:pt>
                <c:pt idx="30">
                  <c:v>38596</c:v>
                </c:pt>
                <c:pt idx="31">
                  <c:v>38626</c:v>
                </c:pt>
                <c:pt idx="32">
                  <c:v>38657</c:v>
                </c:pt>
                <c:pt idx="33">
                  <c:v>38687</c:v>
                </c:pt>
                <c:pt idx="34">
                  <c:v>38718</c:v>
                </c:pt>
                <c:pt idx="35">
                  <c:v>38749</c:v>
                </c:pt>
                <c:pt idx="36">
                  <c:v>38777</c:v>
                </c:pt>
                <c:pt idx="37">
                  <c:v>38808</c:v>
                </c:pt>
                <c:pt idx="38">
                  <c:v>38838</c:v>
                </c:pt>
                <c:pt idx="39">
                  <c:v>38869</c:v>
                </c:pt>
                <c:pt idx="40">
                  <c:v>38899</c:v>
                </c:pt>
                <c:pt idx="41">
                  <c:v>38930</c:v>
                </c:pt>
                <c:pt idx="42">
                  <c:v>38961</c:v>
                </c:pt>
                <c:pt idx="43">
                  <c:v>38991</c:v>
                </c:pt>
                <c:pt idx="44">
                  <c:v>39022</c:v>
                </c:pt>
                <c:pt idx="45">
                  <c:v>39052</c:v>
                </c:pt>
                <c:pt idx="46">
                  <c:v>39083</c:v>
                </c:pt>
                <c:pt idx="47">
                  <c:v>39114</c:v>
                </c:pt>
                <c:pt idx="48">
                  <c:v>39142</c:v>
                </c:pt>
                <c:pt idx="49">
                  <c:v>39173</c:v>
                </c:pt>
                <c:pt idx="50">
                  <c:v>39203</c:v>
                </c:pt>
                <c:pt idx="51">
                  <c:v>39234</c:v>
                </c:pt>
                <c:pt idx="52">
                  <c:v>39264</c:v>
                </c:pt>
                <c:pt idx="53">
                  <c:v>39295</c:v>
                </c:pt>
                <c:pt idx="54">
                  <c:v>39326</c:v>
                </c:pt>
                <c:pt idx="55">
                  <c:v>39356</c:v>
                </c:pt>
                <c:pt idx="56">
                  <c:v>39387</c:v>
                </c:pt>
                <c:pt idx="57">
                  <c:v>39417</c:v>
                </c:pt>
                <c:pt idx="58">
                  <c:v>39448</c:v>
                </c:pt>
                <c:pt idx="59">
                  <c:v>39479</c:v>
                </c:pt>
                <c:pt idx="60">
                  <c:v>39508</c:v>
                </c:pt>
                <c:pt idx="61">
                  <c:v>39539</c:v>
                </c:pt>
                <c:pt idx="62">
                  <c:v>39569</c:v>
                </c:pt>
                <c:pt idx="63">
                  <c:v>39600</c:v>
                </c:pt>
                <c:pt idx="64">
                  <c:v>39630</c:v>
                </c:pt>
                <c:pt idx="65">
                  <c:v>39661</c:v>
                </c:pt>
                <c:pt idx="66">
                  <c:v>39692</c:v>
                </c:pt>
                <c:pt idx="67">
                  <c:v>39722</c:v>
                </c:pt>
                <c:pt idx="68">
                  <c:v>39753</c:v>
                </c:pt>
                <c:pt idx="69">
                  <c:v>39783</c:v>
                </c:pt>
                <c:pt idx="70">
                  <c:v>39814</c:v>
                </c:pt>
                <c:pt idx="71">
                  <c:v>39845</c:v>
                </c:pt>
                <c:pt idx="72">
                  <c:v>39873</c:v>
                </c:pt>
                <c:pt idx="73">
                  <c:v>39904</c:v>
                </c:pt>
                <c:pt idx="74">
                  <c:v>39934</c:v>
                </c:pt>
                <c:pt idx="75">
                  <c:v>39965</c:v>
                </c:pt>
                <c:pt idx="76">
                  <c:v>39995</c:v>
                </c:pt>
                <c:pt idx="77">
                  <c:v>40026</c:v>
                </c:pt>
                <c:pt idx="78">
                  <c:v>40057</c:v>
                </c:pt>
                <c:pt idx="79">
                  <c:v>40087</c:v>
                </c:pt>
                <c:pt idx="80">
                  <c:v>40118</c:v>
                </c:pt>
                <c:pt idx="81">
                  <c:v>40148</c:v>
                </c:pt>
                <c:pt idx="82">
                  <c:v>40179</c:v>
                </c:pt>
                <c:pt idx="83">
                  <c:v>40210</c:v>
                </c:pt>
                <c:pt idx="84">
                  <c:v>40238</c:v>
                </c:pt>
                <c:pt idx="85">
                  <c:v>40269</c:v>
                </c:pt>
                <c:pt idx="86">
                  <c:v>40299</c:v>
                </c:pt>
                <c:pt idx="87">
                  <c:v>40330</c:v>
                </c:pt>
                <c:pt idx="88">
                  <c:v>40360</c:v>
                </c:pt>
                <c:pt idx="89">
                  <c:v>40391</c:v>
                </c:pt>
                <c:pt idx="90">
                  <c:v>40422</c:v>
                </c:pt>
                <c:pt idx="91">
                  <c:v>40452</c:v>
                </c:pt>
                <c:pt idx="92">
                  <c:v>40483</c:v>
                </c:pt>
                <c:pt idx="93">
                  <c:v>40513</c:v>
                </c:pt>
                <c:pt idx="94">
                  <c:v>40544</c:v>
                </c:pt>
                <c:pt idx="95">
                  <c:v>40575</c:v>
                </c:pt>
                <c:pt idx="96">
                  <c:v>40603</c:v>
                </c:pt>
                <c:pt idx="97">
                  <c:v>40634</c:v>
                </c:pt>
                <c:pt idx="98">
                  <c:v>40664</c:v>
                </c:pt>
                <c:pt idx="99">
                  <c:v>40695</c:v>
                </c:pt>
                <c:pt idx="100">
                  <c:v>40725</c:v>
                </c:pt>
                <c:pt idx="101">
                  <c:v>40756</c:v>
                </c:pt>
                <c:pt idx="102">
                  <c:v>40787</c:v>
                </c:pt>
              </c:numCache>
            </c:numRef>
          </c:cat>
          <c:val>
            <c:numRef>
              <c:f>'Mult series same spec'!$G$4:$G$106</c:f>
              <c:numCache>
                <c:formatCode>_-"R$"\ * #,##0_-;\-"R$"\ * #,##0_-;_-"R$"\ * "-"??_-;_-@_-</c:formatCode>
                <c:ptCount val="103"/>
                <c:pt idx="0">
                  <c:v>268879</c:v>
                </c:pt>
                <c:pt idx="1">
                  <c:v>267570</c:v>
                </c:pt>
                <c:pt idx="2">
                  <c:v>267384</c:v>
                </c:pt>
                <c:pt idx="3">
                  <c:v>266756</c:v>
                </c:pt>
                <c:pt idx="4">
                  <c:v>266652</c:v>
                </c:pt>
                <c:pt idx="5">
                  <c:v>265634</c:v>
                </c:pt>
                <c:pt idx="6">
                  <c:v>264252</c:v>
                </c:pt>
                <c:pt idx="7">
                  <c:v>262570</c:v>
                </c:pt>
                <c:pt idx="8">
                  <c:v>262807</c:v>
                </c:pt>
                <c:pt idx="9">
                  <c:v>264712</c:v>
                </c:pt>
                <c:pt idx="10">
                  <c:v>267284</c:v>
                </c:pt>
                <c:pt idx="11">
                  <c:v>268461</c:v>
                </c:pt>
                <c:pt idx="12">
                  <c:v>270088</c:v>
                </c:pt>
                <c:pt idx="13">
                  <c:v>272510</c:v>
                </c:pt>
                <c:pt idx="14">
                  <c:v>274555</c:v>
                </c:pt>
                <c:pt idx="15">
                  <c:v>275649</c:v>
                </c:pt>
                <c:pt idx="16">
                  <c:v>276101</c:v>
                </c:pt>
                <c:pt idx="17">
                  <c:v>277356</c:v>
                </c:pt>
                <c:pt idx="18">
                  <c:v>277983</c:v>
                </c:pt>
                <c:pt idx="19">
                  <c:v>279960</c:v>
                </c:pt>
                <c:pt idx="20">
                  <c:v>278425</c:v>
                </c:pt>
                <c:pt idx="21">
                  <c:v>279976</c:v>
                </c:pt>
                <c:pt idx="22">
                  <c:v>278471</c:v>
                </c:pt>
                <c:pt idx="23">
                  <c:v>280264</c:v>
                </c:pt>
                <c:pt idx="24">
                  <c:v>279419</c:v>
                </c:pt>
                <c:pt idx="25">
                  <c:v>280476</c:v>
                </c:pt>
                <c:pt idx="26">
                  <c:v>280631</c:v>
                </c:pt>
                <c:pt idx="27">
                  <c:v>282591</c:v>
                </c:pt>
                <c:pt idx="28">
                  <c:v>284407</c:v>
                </c:pt>
                <c:pt idx="29">
                  <c:v>285264</c:v>
                </c:pt>
                <c:pt idx="30">
                  <c:v>285687</c:v>
                </c:pt>
                <c:pt idx="31">
                  <c:v>286193</c:v>
                </c:pt>
                <c:pt idx="32">
                  <c:v>290556</c:v>
                </c:pt>
                <c:pt idx="33">
                  <c:v>290028</c:v>
                </c:pt>
                <c:pt idx="34">
                  <c:v>293621</c:v>
                </c:pt>
                <c:pt idx="35">
                  <c:v>290833</c:v>
                </c:pt>
                <c:pt idx="36">
                  <c:v>291841</c:v>
                </c:pt>
                <c:pt idx="37">
                  <c:v>290370</c:v>
                </c:pt>
                <c:pt idx="38">
                  <c:v>293624</c:v>
                </c:pt>
                <c:pt idx="39">
                  <c:v>296293</c:v>
                </c:pt>
                <c:pt idx="40">
                  <c:v>298836</c:v>
                </c:pt>
                <c:pt idx="41">
                  <c:v>299078</c:v>
                </c:pt>
                <c:pt idx="42">
                  <c:v>304008</c:v>
                </c:pt>
                <c:pt idx="43">
                  <c:v>306810</c:v>
                </c:pt>
                <c:pt idx="44">
                  <c:v>312091</c:v>
                </c:pt>
                <c:pt idx="45">
                  <c:v>308045</c:v>
                </c:pt>
                <c:pt idx="46">
                  <c:v>311531</c:v>
                </c:pt>
                <c:pt idx="47">
                  <c:v>313202</c:v>
                </c:pt>
                <c:pt idx="48">
                  <c:v>318267</c:v>
                </c:pt>
                <c:pt idx="49">
                  <c:v>320377</c:v>
                </c:pt>
                <c:pt idx="50">
                  <c:v>322501</c:v>
                </c:pt>
                <c:pt idx="51">
                  <c:v>322402</c:v>
                </c:pt>
                <c:pt idx="52">
                  <c:v>321878</c:v>
                </c:pt>
                <c:pt idx="53">
                  <c:v>322674</c:v>
                </c:pt>
                <c:pt idx="54">
                  <c:v>325247</c:v>
                </c:pt>
                <c:pt idx="55">
                  <c:v>328428</c:v>
                </c:pt>
                <c:pt idx="56">
                  <c:v>330980</c:v>
                </c:pt>
                <c:pt idx="57">
                  <c:v>335078</c:v>
                </c:pt>
                <c:pt idx="58">
                  <c:v>335784</c:v>
                </c:pt>
                <c:pt idx="59">
                  <c:v>338384</c:v>
                </c:pt>
                <c:pt idx="60">
                  <c:v>335191</c:v>
                </c:pt>
                <c:pt idx="61">
                  <c:v>339858</c:v>
                </c:pt>
                <c:pt idx="62">
                  <c:v>343484</c:v>
                </c:pt>
                <c:pt idx="63">
                  <c:v>346902</c:v>
                </c:pt>
                <c:pt idx="64">
                  <c:v>349304</c:v>
                </c:pt>
                <c:pt idx="65">
                  <c:v>351515</c:v>
                </c:pt>
                <c:pt idx="66">
                  <c:v>353412</c:v>
                </c:pt>
                <c:pt idx="67">
                  <c:v>354902</c:v>
                </c:pt>
                <c:pt idx="68">
                  <c:v>356785</c:v>
                </c:pt>
                <c:pt idx="69">
                  <c:v>358760</c:v>
                </c:pt>
                <c:pt idx="70">
                  <c:v>361282</c:v>
                </c:pt>
                <c:pt idx="71">
                  <c:v>362179</c:v>
                </c:pt>
                <c:pt idx="72">
                  <c:v>364154</c:v>
                </c:pt>
                <c:pt idx="73">
                  <c:v>366013</c:v>
                </c:pt>
                <c:pt idx="74">
                  <c:v>367713</c:v>
                </c:pt>
                <c:pt idx="75">
                  <c:v>368241</c:v>
                </c:pt>
                <c:pt idx="76">
                  <c:v>371308</c:v>
                </c:pt>
                <c:pt idx="77">
                  <c:v>372391</c:v>
                </c:pt>
                <c:pt idx="78">
                  <c:v>373687</c:v>
                </c:pt>
                <c:pt idx="79">
                  <c:v>375186</c:v>
                </c:pt>
                <c:pt idx="80">
                  <c:v>378154</c:v>
                </c:pt>
                <c:pt idx="81">
                  <c:v>381695</c:v>
                </c:pt>
                <c:pt idx="82">
                  <c:v>383990</c:v>
                </c:pt>
                <c:pt idx="83">
                  <c:v>386982</c:v>
                </c:pt>
                <c:pt idx="84">
                  <c:v>390550</c:v>
                </c:pt>
                <c:pt idx="85">
                  <c:v>392665</c:v>
                </c:pt>
                <c:pt idx="86">
                  <c:v>394057</c:v>
                </c:pt>
                <c:pt idx="87">
                  <c:v>393712</c:v>
                </c:pt>
                <c:pt idx="88">
                  <c:v>398597</c:v>
                </c:pt>
                <c:pt idx="89">
                  <c:v>403648</c:v>
                </c:pt>
                <c:pt idx="90">
                  <c:v>408183</c:v>
                </c:pt>
                <c:pt idx="91">
                  <c:v>413292</c:v>
                </c:pt>
                <c:pt idx="92">
                  <c:v>411311</c:v>
                </c:pt>
                <c:pt idx="93">
                  <c:v>410468</c:v>
                </c:pt>
                <c:pt idx="94">
                  <c:v>410397</c:v>
                </c:pt>
                <c:pt idx="95">
                  <c:v>416027</c:v>
                </c:pt>
                <c:pt idx="96">
                  <c:v>416978</c:v>
                </c:pt>
                <c:pt idx="97">
                  <c:v>420233</c:v>
                </c:pt>
                <c:pt idx="98">
                  <c:v>422043</c:v>
                </c:pt>
                <c:pt idx="99">
                  <c:v>427030</c:v>
                </c:pt>
                <c:pt idx="100">
                  <c:v>430855</c:v>
                </c:pt>
                <c:pt idx="101">
                  <c:v>430767</c:v>
                </c:pt>
                <c:pt idx="102">
                  <c:v>428706</c:v>
                </c:pt>
              </c:numCache>
            </c:numRef>
          </c:val>
          <c:smooth val="0"/>
          <c:extLst>
            <c:ext xmlns:c16="http://schemas.microsoft.com/office/drawing/2014/chart" uri="{C3380CC4-5D6E-409C-BE32-E72D297353CC}">
              <c16:uniqueId val="{00000001-8093-4622-AD4D-13C6DA4FA895}"/>
            </c:ext>
          </c:extLst>
        </c:ser>
        <c:dLbls>
          <c:showLegendKey val="0"/>
          <c:showVal val="0"/>
          <c:showCatName val="0"/>
          <c:showSerName val="0"/>
          <c:showPercent val="0"/>
          <c:showBubbleSize val="0"/>
        </c:dLbls>
        <c:smooth val="0"/>
        <c:axId val="780837056"/>
        <c:axId val="780837888"/>
      </c:lineChart>
      <c:dateAx>
        <c:axId val="780837056"/>
        <c:scaling>
          <c:orientation val="minMax"/>
        </c:scaling>
        <c:delete val="0"/>
        <c:axPos val="b"/>
        <c:numFmt formatCode="[$-416]mmm\-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780837888"/>
        <c:crosses val="autoZero"/>
        <c:auto val="1"/>
        <c:lblOffset val="100"/>
        <c:baseTimeUnit val="months"/>
      </c:dateAx>
      <c:valAx>
        <c:axId val="780837888"/>
        <c:scaling>
          <c:orientation val="minMax"/>
          <c:min val="200000"/>
        </c:scaling>
        <c:delete val="0"/>
        <c:axPos val="l"/>
        <c:majorGridlines>
          <c:spPr>
            <a:ln w="9525" cap="flat" cmpd="sng" algn="ctr">
              <a:solidFill>
                <a:schemeClr val="tx1">
                  <a:lumMod val="15000"/>
                  <a:lumOff val="85000"/>
                </a:schemeClr>
              </a:solidFill>
              <a:round/>
            </a:ln>
            <a:effectLst/>
          </c:spPr>
        </c:majorGridlines>
        <c:numFmt formatCode="_-&quot;R$&quot;\ * #,##0_-;\-&quot;R$&quot;\ * #,##0_-;_-&quot;R$&quot;\ * &quot;-&quot;??_-;_-@_-"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780837056"/>
        <c:crosses val="autoZero"/>
        <c:crossBetween val="between"/>
      </c:valAx>
      <c:spPr>
        <a:noFill/>
        <a:ln>
          <a:noFill/>
        </a:ln>
        <a:effectLst/>
      </c:spPr>
    </c:plotArea>
    <c:legend>
      <c:legendPos val="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pt-BR"/>
              <a:t>Difference of SAs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pt-BR"/>
        </a:p>
      </c:txPr>
    </c:title>
    <c:autoTitleDeleted val="0"/>
    <c:plotArea>
      <c:layout/>
      <c:barChart>
        <c:barDir val="col"/>
        <c:grouping val="clustered"/>
        <c:varyColors val="0"/>
        <c:ser>
          <c:idx val="0"/>
          <c:order val="0"/>
          <c:tx>
            <c:strRef>
              <c:f>'Mult series same spec'!$J$3</c:f>
              <c:strCache>
                <c:ptCount val="1"/>
                <c:pt idx="0">
                  <c:v>Diff RNDBF</c:v>
                </c:pt>
              </c:strCache>
            </c:strRef>
          </c:tx>
          <c:spPr>
            <a:solidFill>
              <a:schemeClr val="accent1"/>
            </a:solidFill>
            <a:ln>
              <a:noFill/>
            </a:ln>
            <a:effectLst/>
          </c:spPr>
          <c:invertIfNegative val="0"/>
          <c:cat>
            <c:numRef>
              <c:f>'Mult series same spec'!$A$4:$A$106</c:f>
              <c:numCache>
                <c:formatCode>[$-416]mmm\-yy;@</c:formatCode>
                <c:ptCount val="103"/>
                <c:pt idx="0">
                  <c:v>37681</c:v>
                </c:pt>
                <c:pt idx="1">
                  <c:v>37712</c:v>
                </c:pt>
                <c:pt idx="2">
                  <c:v>37742</c:v>
                </c:pt>
                <c:pt idx="3">
                  <c:v>37773</c:v>
                </c:pt>
                <c:pt idx="4">
                  <c:v>37803</c:v>
                </c:pt>
                <c:pt idx="5">
                  <c:v>37834</c:v>
                </c:pt>
                <c:pt idx="6">
                  <c:v>37865</c:v>
                </c:pt>
                <c:pt idx="7">
                  <c:v>37895</c:v>
                </c:pt>
                <c:pt idx="8">
                  <c:v>37926</c:v>
                </c:pt>
                <c:pt idx="9">
                  <c:v>37956</c:v>
                </c:pt>
                <c:pt idx="10">
                  <c:v>37987</c:v>
                </c:pt>
                <c:pt idx="11">
                  <c:v>38018</c:v>
                </c:pt>
                <c:pt idx="12">
                  <c:v>38047</c:v>
                </c:pt>
                <c:pt idx="13">
                  <c:v>38078</c:v>
                </c:pt>
                <c:pt idx="14">
                  <c:v>38108</c:v>
                </c:pt>
                <c:pt idx="15">
                  <c:v>38139</c:v>
                </c:pt>
                <c:pt idx="16">
                  <c:v>38169</c:v>
                </c:pt>
                <c:pt idx="17">
                  <c:v>38200</c:v>
                </c:pt>
                <c:pt idx="18">
                  <c:v>38231</c:v>
                </c:pt>
                <c:pt idx="19">
                  <c:v>38261</c:v>
                </c:pt>
                <c:pt idx="20">
                  <c:v>38292</c:v>
                </c:pt>
                <c:pt idx="21">
                  <c:v>38322</c:v>
                </c:pt>
                <c:pt idx="22">
                  <c:v>38353</c:v>
                </c:pt>
                <c:pt idx="23">
                  <c:v>38384</c:v>
                </c:pt>
                <c:pt idx="24">
                  <c:v>38412</c:v>
                </c:pt>
                <c:pt idx="25">
                  <c:v>38443</c:v>
                </c:pt>
                <c:pt idx="26">
                  <c:v>38473</c:v>
                </c:pt>
                <c:pt idx="27">
                  <c:v>38504</c:v>
                </c:pt>
                <c:pt idx="28">
                  <c:v>38534</c:v>
                </c:pt>
                <c:pt idx="29">
                  <c:v>38565</c:v>
                </c:pt>
                <c:pt idx="30">
                  <c:v>38596</c:v>
                </c:pt>
                <c:pt idx="31">
                  <c:v>38626</c:v>
                </c:pt>
                <c:pt idx="32">
                  <c:v>38657</c:v>
                </c:pt>
                <c:pt idx="33">
                  <c:v>38687</c:v>
                </c:pt>
                <c:pt idx="34">
                  <c:v>38718</c:v>
                </c:pt>
                <c:pt idx="35">
                  <c:v>38749</c:v>
                </c:pt>
                <c:pt idx="36">
                  <c:v>38777</c:v>
                </c:pt>
                <c:pt idx="37">
                  <c:v>38808</c:v>
                </c:pt>
                <c:pt idx="38">
                  <c:v>38838</c:v>
                </c:pt>
                <c:pt idx="39">
                  <c:v>38869</c:v>
                </c:pt>
                <c:pt idx="40">
                  <c:v>38899</c:v>
                </c:pt>
                <c:pt idx="41">
                  <c:v>38930</c:v>
                </c:pt>
                <c:pt idx="42">
                  <c:v>38961</c:v>
                </c:pt>
                <c:pt idx="43">
                  <c:v>38991</c:v>
                </c:pt>
                <c:pt idx="44">
                  <c:v>39022</c:v>
                </c:pt>
                <c:pt idx="45">
                  <c:v>39052</c:v>
                </c:pt>
                <c:pt idx="46">
                  <c:v>39083</c:v>
                </c:pt>
                <c:pt idx="47">
                  <c:v>39114</c:v>
                </c:pt>
                <c:pt idx="48">
                  <c:v>39142</c:v>
                </c:pt>
                <c:pt idx="49">
                  <c:v>39173</c:v>
                </c:pt>
                <c:pt idx="50">
                  <c:v>39203</c:v>
                </c:pt>
                <c:pt idx="51">
                  <c:v>39234</c:v>
                </c:pt>
                <c:pt idx="52">
                  <c:v>39264</c:v>
                </c:pt>
                <c:pt idx="53">
                  <c:v>39295</c:v>
                </c:pt>
                <c:pt idx="54">
                  <c:v>39326</c:v>
                </c:pt>
                <c:pt idx="55">
                  <c:v>39356</c:v>
                </c:pt>
                <c:pt idx="56">
                  <c:v>39387</c:v>
                </c:pt>
                <c:pt idx="57">
                  <c:v>39417</c:v>
                </c:pt>
                <c:pt idx="58">
                  <c:v>39448</c:v>
                </c:pt>
                <c:pt idx="59">
                  <c:v>39479</c:v>
                </c:pt>
                <c:pt idx="60">
                  <c:v>39508</c:v>
                </c:pt>
                <c:pt idx="61">
                  <c:v>39539</c:v>
                </c:pt>
                <c:pt idx="62">
                  <c:v>39569</c:v>
                </c:pt>
                <c:pt idx="63">
                  <c:v>39600</c:v>
                </c:pt>
                <c:pt idx="64">
                  <c:v>39630</c:v>
                </c:pt>
                <c:pt idx="65">
                  <c:v>39661</c:v>
                </c:pt>
                <c:pt idx="66">
                  <c:v>39692</c:v>
                </c:pt>
                <c:pt idx="67">
                  <c:v>39722</c:v>
                </c:pt>
                <c:pt idx="68">
                  <c:v>39753</c:v>
                </c:pt>
                <c:pt idx="69">
                  <c:v>39783</c:v>
                </c:pt>
                <c:pt idx="70">
                  <c:v>39814</c:v>
                </c:pt>
                <c:pt idx="71">
                  <c:v>39845</c:v>
                </c:pt>
                <c:pt idx="72">
                  <c:v>39873</c:v>
                </c:pt>
                <c:pt idx="73">
                  <c:v>39904</c:v>
                </c:pt>
                <c:pt idx="74">
                  <c:v>39934</c:v>
                </c:pt>
                <c:pt idx="75">
                  <c:v>39965</c:v>
                </c:pt>
                <c:pt idx="76">
                  <c:v>39995</c:v>
                </c:pt>
                <c:pt idx="77">
                  <c:v>40026</c:v>
                </c:pt>
                <c:pt idx="78">
                  <c:v>40057</c:v>
                </c:pt>
                <c:pt idx="79">
                  <c:v>40087</c:v>
                </c:pt>
                <c:pt idx="80">
                  <c:v>40118</c:v>
                </c:pt>
                <c:pt idx="81">
                  <c:v>40148</c:v>
                </c:pt>
                <c:pt idx="82">
                  <c:v>40179</c:v>
                </c:pt>
                <c:pt idx="83">
                  <c:v>40210</c:v>
                </c:pt>
                <c:pt idx="84">
                  <c:v>40238</c:v>
                </c:pt>
                <c:pt idx="85">
                  <c:v>40269</c:v>
                </c:pt>
                <c:pt idx="86">
                  <c:v>40299</c:v>
                </c:pt>
                <c:pt idx="87">
                  <c:v>40330</c:v>
                </c:pt>
                <c:pt idx="88">
                  <c:v>40360</c:v>
                </c:pt>
                <c:pt idx="89">
                  <c:v>40391</c:v>
                </c:pt>
                <c:pt idx="90">
                  <c:v>40422</c:v>
                </c:pt>
                <c:pt idx="91">
                  <c:v>40452</c:v>
                </c:pt>
                <c:pt idx="92">
                  <c:v>40483</c:v>
                </c:pt>
                <c:pt idx="93">
                  <c:v>40513</c:v>
                </c:pt>
                <c:pt idx="94">
                  <c:v>40544</c:v>
                </c:pt>
                <c:pt idx="95">
                  <c:v>40575</c:v>
                </c:pt>
                <c:pt idx="96">
                  <c:v>40603</c:v>
                </c:pt>
                <c:pt idx="97">
                  <c:v>40634</c:v>
                </c:pt>
                <c:pt idx="98">
                  <c:v>40664</c:v>
                </c:pt>
                <c:pt idx="99">
                  <c:v>40695</c:v>
                </c:pt>
                <c:pt idx="100">
                  <c:v>40725</c:v>
                </c:pt>
                <c:pt idx="101">
                  <c:v>40756</c:v>
                </c:pt>
                <c:pt idx="102">
                  <c:v>40787</c:v>
                </c:pt>
              </c:numCache>
            </c:numRef>
          </c:cat>
          <c:val>
            <c:numRef>
              <c:f>'Mult series same spec'!$J$4:$J$106</c:f>
              <c:numCache>
                <c:formatCode>0.0%</c:formatCode>
                <c:ptCount val="103"/>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numCache>
            </c:numRef>
          </c:val>
          <c:extLst>
            <c:ext xmlns:c16="http://schemas.microsoft.com/office/drawing/2014/chart" uri="{C3380CC4-5D6E-409C-BE32-E72D297353CC}">
              <c16:uniqueId val="{00000000-C1EB-422C-B091-2E1586F0EA54}"/>
            </c:ext>
          </c:extLst>
        </c:ser>
        <c:ser>
          <c:idx val="1"/>
          <c:order val="1"/>
          <c:tx>
            <c:strRef>
              <c:f>'Mult series same spec'!$K$3</c:f>
              <c:strCache>
                <c:ptCount val="1"/>
                <c:pt idx="0">
                  <c:v>Diff RNDBF Restr</c:v>
                </c:pt>
              </c:strCache>
            </c:strRef>
          </c:tx>
          <c:spPr>
            <a:solidFill>
              <a:schemeClr val="accent2"/>
            </a:solidFill>
            <a:ln>
              <a:noFill/>
            </a:ln>
            <a:effectLst/>
          </c:spPr>
          <c:invertIfNegative val="0"/>
          <c:cat>
            <c:numRef>
              <c:f>'Mult series same spec'!$A$4:$A$106</c:f>
              <c:numCache>
                <c:formatCode>[$-416]mmm\-yy;@</c:formatCode>
                <c:ptCount val="103"/>
                <c:pt idx="0">
                  <c:v>37681</c:v>
                </c:pt>
                <c:pt idx="1">
                  <c:v>37712</c:v>
                </c:pt>
                <c:pt idx="2">
                  <c:v>37742</c:v>
                </c:pt>
                <c:pt idx="3">
                  <c:v>37773</c:v>
                </c:pt>
                <c:pt idx="4">
                  <c:v>37803</c:v>
                </c:pt>
                <c:pt idx="5">
                  <c:v>37834</c:v>
                </c:pt>
                <c:pt idx="6">
                  <c:v>37865</c:v>
                </c:pt>
                <c:pt idx="7">
                  <c:v>37895</c:v>
                </c:pt>
                <c:pt idx="8">
                  <c:v>37926</c:v>
                </c:pt>
                <c:pt idx="9">
                  <c:v>37956</c:v>
                </c:pt>
                <c:pt idx="10">
                  <c:v>37987</c:v>
                </c:pt>
                <c:pt idx="11">
                  <c:v>38018</c:v>
                </c:pt>
                <c:pt idx="12">
                  <c:v>38047</c:v>
                </c:pt>
                <c:pt idx="13">
                  <c:v>38078</c:v>
                </c:pt>
                <c:pt idx="14">
                  <c:v>38108</c:v>
                </c:pt>
                <c:pt idx="15">
                  <c:v>38139</c:v>
                </c:pt>
                <c:pt idx="16">
                  <c:v>38169</c:v>
                </c:pt>
                <c:pt idx="17">
                  <c:v>38200</c:v>
                </c:pt>
                <c:pt idx="18">
                  <c:v>38231</c:v>
                </c:pt>
                <c:pt idx="19">
                  <c:v>38261</c:v>
                </c:pt>
                <c:pt idx="20">
                  <c:v>38292</c:v>
                </c:pt>
                <c:pt idx="21">
                  <c:v>38322</c:v>
                </c:pt>
                <c:pt idx="22">
                  <c:v>38353</c:v>
                </c:pt>
                <c:pt idx="23">
                  <c:v>38384</c:v>
                </c:pt>
                <c:pt idx="24">
                  <c:v>38412</c:v>
                </c:pt>
                <c:pt idx="25">
                  <c:v>38443</c:v>
                </c:pt>
                <c:pt idx="26">
                  <c:v>38473</c:v>
                </c:pt>
                <c:pt idx="27">
                  <c:v>38504</c:v>
                </c:pt>
                <c:pt idx="28">
                  <c:v>38534</c:v>
                </c:pt>
                <c:pt idx="29">
                  <c:v>38565</c:v>
                </c:pt>
                <c:pt idx="30">
                  <c:v>38596</c:v>
                </c:pt>
                <c:pt idx="31">
                  <c:v>38626</c:v>
                </c:pt>
                <c:pt idx="32">
                  <c:v>38657</c:v>
                </c:pt>
                <c:pt idx="33">
                  <c:v>38687</c:v>
                </c:pt>
                <c:pt idx="34">
                  <c:v>38718</c:v>
                </c:pt>
                <c:pt idx="35">
                  <c:v>38749</c:v>
                </c:pt>
                <c:pt idx="36">
                  <c:v>38777</c:v>
                </c:pt>
                <c:pt idx="37">
                  <c:v>38808</c:v>
                </c:pt>
                <c:pt idx="38">
                  <c:v>38838</c:v>
                </c:pt>
                <c:pt idx="39">
                  <c:v>38869</c:v>
                </c:pt>
                <c:pt idx="40">
                  <c:v>38899</c:v>
                </c:pt>
                <c:pt idx="41">
                  <c:v>38930</c:v>
                </c:pt>
                <c:pt idx="42">
                  <c:v>38961</c:v>
                </c:pt>
                <c:pt idx="43">
                  <c:v>38991</c:v>
                </c:pt>
                <c:pt idx="44">
                  <c:v>39022</c:v>
                </c:pt>
                <c:pt idx="45">
                  <c:v>39052</c:v>
                </c:pt>
                <c:pt idx="46">
                  <c:v>39083</c:v>
                </c:pt>
                <c:pt idx="47">
                  <c:v>39114</c:v>
                </c:pt>
                <c:pt idx="48">
                  <c:v>39142</c:v>
                </c:pt>
                <c:pt idx="49">
                  <c:v>39173</c:v>
                </c:pt>
                <c:pt idx="50">
                  <c:v>39203</c:v>
                </c:pt>
                <c:pt idx="51">
                  <c:v>39234</c:v>
                </c:pt>
                <c:pt idx="52">
                  <c:v>39264</c:v>
                </c:pt>
                <c:pt idx="53">
                  <c:v>39295</c:v>
                </c:pt>
                <c:pt idx="54">
                  <c:v>39326</c:v>
                </c:pt>
                <c:pt idx="55">
                  <c:v>39356</c:v>
                </c:pt>
                <c:pt idx="56">
                  <c:v>39387</c:v>
                </c:pt>
                <c:pt idx="57">
                  <c:v>39417</c:v>
                </c:pt>
                <c:pt idx="58">
                  <c:v>39448</c:v>
                </c:pt>
                <c:pt idx="59">
                  <c:v>39479</c:v>
                </c:pt>
                <c:pt idx="60">
                  <c:v>39508</c:v>
                </c:pt>
                <c:pt idx="61">
                  <c:v>39539</c:v>
                </c:pt>
                <c:pt idx="62">
                  <c:v>39569</c:v>
                </c:pt>
                <c:pt idx="63">
                  <c:v>39600</c:v>
                </c:pt>
                <c:pt idx="64">
                  <c:v>39630</c:v>
                </c:pt>
                <c:pt idx="65">
                  <c:v>39661</c:v>
                </c:pt>
                <c:pt idx="66">
                  <c:v>39692</c:v>
                </c:pt>
                <c:pt idx="67">
                  <c:v>39722</c:v>
                </c:pt>
                <c:pt idx="68">
                  <c:v>39753</c:v>
                </c:pt>
                <c:pt idx="69">
                  <c:v>39783</c:v>
                </c:pt>
                <c:pt idx="70">
                  <c:v>39814</c:v>
                </c:pt>
                <c:pt idx="71">
                  <c:v>39845</c:v>
                </c:pt>
                <c:pt idx="72">
                  <c:v>39873</c:v>
                </c:pt>
                <c:pt idx="73">
                  <c:v>39904</c:v>
                </c:pt>
                <c:pt idx="74">
                  <c:v>39934</c:v>
                </c:pt>
                <c:pt idx="75">
                  <c:v>39965</c:v>
                </c:pt>
                <c:pt idx="76">
                  <c:v>39995</c:v>
                </c:pt>
                <c:pt idx="77">
                  <c:v>40026</c:v>
                </c:pt>
                <c:pt idx="78">
                  <c:v>40057</c:v>
                </c:pt>
                <c:pt idx="79">
                  <c:v>40087</c:v>
                </c:pt>
                <c:pt idx="80">
                  <c:v>40118</c:v>
                </c:pt>
                <c:pt idx="81">
                  <c:v>40148</c:v>
                </c:pt>
                <c:pt idx="82">
                  <c:v>40179</c:v>
                </c:pt>
                <c:pt idx="83">
                  <c:v>40210</c:v>
                </c:pt>
                <c:pt idx="84">
                  <c:v>40238</c:v>
                </c:pt>
                <c:pt idx="85">
                  <c:v>40269</c:v>
                </c:pt>
                <c:pt idx="86">
                  <c:v>40299</c:v>
                </c:pt>
                <c:pt idx="87">
                  <c:v>40330</c:v>
                </c:pt>
                <c:pt idx="88">
                  <c:v>40360</c:v>
                </c:pt>
                <c:pt idx="89">
                  <c:v>40391</c:v>
                </c:pt>
                <c:pt idx="90">
                  <c:v>40422</c:v>
                </c:pt>
                <c:pt idx="91">
                  <c:v>40452</c:v>
                </c:pt>
                <c:pt idx="92">
                  <c:v>40483</c:v>
                </c:pt>
                <c:pt idx="93">
                  <c:v>40513</c:v>
                </c:pt>
                <c:pt idx="94">
                  <c:v>40544</c:v>
                </c:pt>
                <c:pt idx="95">
                  <c:v>40575</c:v>
                </c:pt>
                <c:pt idx="96">
                  <c:v>40603</c:v>
                </c:pt>
                <c:pt idx="97">
                  <c:v>40634</c:v>
                </c:pt>
                <c:pt idx="98">
                  <c:v>40664</c:v>
                </c:pt>
                <c:pt idx="99">
                  <c:v>40695</c:v>
                </c:pt>
                <c:pt idx="100">
                  <c:v>40725</c:v>
                </c:pt>
                <c:pt idx="101">
                  <c:v>40756</c:v>
                </c:pt>
                <c:pt idx="102">
                  <c:v>40787</c:v>
                </c:pt>
              </c:numCache>
            </c:numRef>
          </c:cat>
          <c:val>
            <c:numRef>
              <c:f>'Mult series same spec'!$K$4:$K$106</c:f>
              <c:numCache>
                <c:formatCode>0.0%</c:formatCode>
                <c:ptCount val="103"/>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numCache>
            </c:numRef>
          </c:val>
          <c:extLst>
            <c:ext xmlns:c16="http://schemas.microsoft.com/office/drawing/2014/chart" uri="{C3380CC4-5D6E-409C-BE32-E72D297353CC}">
              <c16:uniqueId val="{00000001-A7C9-4009-87F6-DDBE4EF5FBA7}"/>
            </c:ext>
          </c:extLst>
        </c:ser>
        <c:dLbls>
          <c:showLegendKey val="0"/>
          <c:showVal val="0"/>
          <c:showCatName val="0"/>
          <c:showSerName val="0"/>
          <c:showPercent val="0"/>
          <c:showBubbleSize val="0"/>
        </c:dLbls>
        <c:gapWidth val="0"/>
        <c:axId val="780837056"/>
        <c:axId val="780837888"/>
      </c:barChart>
      <c:dateAx>
        <c:axId val="780837056"/>
        <c:scaling>
          <c:orientation val="minMax"/>
        </c:scaling>
        <c:delete val="0"/>
        <c:axPos val="b"/>
        <c:numFmt formatCode="[$-416]mmm\-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780837888"/>
        <c:crosses val="autoZero"/>
        <c:auto val="1"/>
        <c:lblOffset val="100"/>
        <c:baseTimeUnit val="months"/>
      </c:dateAx>
      <c:valAx>
        <c:axId val="780837888"/>
        <c:scaling>
          <c:orientation val="minMax"/>
          <c:max val="1.0000000000000002E-2"/>
          <c:min val="-1.0000000000000002E-2"/>
        </c:scaling>
        <c:delete val="0"/>
        <c:axPos val="l"/>
        <c:majorGridlines>
          <c:spPr>
            <a:ln w="9525" cap="flat" cmpd="sng" algn="ctr">
              <a:solidFill>
                <a:schemeClr val="tx1">
                  <a:lumMod val="15000"/>
                  <a:lumOff val="85000"/>
                </a:schemeClr>
              </a:solidFill>
              <a:round/>
            </a:ln>
            <a:effectLst/>
          </c:spPr>
        </c:majorGridlines>
        <c:numFmt formatCode="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780837056"/>
        <c:crosses val="autoZero"/>
        <c:crossBetween val="between"/>
      </c:valAx>
      <c:spPr>
        <a:noFill/>
        <a:ln>
          <a:noFill/>
        </a:ln>
        <a:effectLst/>
      </c:spPr>
    </c:plotArea>
    <c:legend>
      <c:legendPos val="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pt-BR"/>
              <a:t>Industrial</a:t>
            </a:r>
            <a:r>
              <a:rPr lang="pt-BR" baseline="0"/>
              <a:t> Production</a:t>
            </a:r>
            <a:endParaRPr lang="pt-B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pt-BR"/>
        </a:p>
      </c:txPr>
    </c:title>
    <c:autoTitleDeleted val="0"/>
    <c:plotArea>
      <c:layout/>
      <c:lineChart>
        <c:grouping val="standard"/>
        <c:varyColors val="0"/>
        <c:ser>
          <c:idx val="0"/>
          <c:order val="0"/>
          <c:tx>
            <c:strRef>
              <c:f>'Mult series mult spec'!$B$3</c:f>
              <c:strCache>
                <c:ptCount val="1"/>
                <c:pt idx="0">
                  <c:v>Industrial Production</c:v>
                </c:pt>
              </c:strCache>
            </c:strRef>
          </c:tx>
          <c:spPr>
            <a:ln w="28575" cap="rnd">
              <a:solidFill>
                <a:schemeClr val="accent1"/>
              </a:solidFill>
              <a:round/>
            </a:ln>
            <a:effectLst/>
          </c:spPr>
          <c:marker>
            <c:symbol val="none"/>
          </c:marker>
          <c:cat>
            <c:numRef>
              <c:f>'Mult series mult spec'!$A$4:$A$243</c:f>
              <c:numCache>
                <c:formatCode>[$-416]mmm\-yy;@</c:formatCode>
                <c:ptCount val="240"/>
                <c:pt idx="0">
                  <c:v>37257</c:v>
                </c:pt>
                <c:pt idx="1">
                  <c:v>37288</c:v>
                </c:pt>
                <c:pt idx="2">
                  <c:v>37316</c:v>
                </c:pt>
                <c:pt idx="3">
                  <c:v>37347</c:v>
                </c:pt>
                <c:pt idx="4">
                  <c:v>37377</c:v>
                </c:pt>
                <c:pt idx="5">
                  <c:v>37408</c:v>
                </c:pt>
                <c:pt idx="6">
                  <c:v>37438</c:v>
                </c:pt>
                <c:pt idx="7">
                  <c:v>37469</c:v>
                </c:pt>
                <c:pt idx="8">
                  <c:v>37500</c:v>
                </c:pt>
                <c:pt idx="9">
                  <c:v>37530</c:v>
                </c:pt>
                <c:pt idx="10">
                  <c:v>37561</c:v>
                </c:pt>
                <c:pt idx="11">
                  <c:v>37591</c:v>
                </c:pt>
                <c:pt idx="12">
                  <c:v>37622</c:v>
                </c:pt>
                <c:pt idx="13">
                  <c:v>37653</c:v>
                </c:pt>
                <c:pt idx="14">
                  <c:v>37681</c:v>
                </c:pt>
                <c:pt idx="15">
                  <c:v>37712</c:v>
                </c:pt>
                <c:pt idx="16">
                  <c:v>37742</c:v>
                </c:pt>
                <c:pt idx="17">
                  <c:v>37773</c:v>
                </c:pt>
                <c:pt idx="18">
                  <c:v>37803</c:v>
                </c:pt>
                <c:pt idx="19">
                  <c:v>37834</c:v>
                </c:pt>
                <c:pt idx="20">
                  <c:v>37865</c:v>
                </c:pt>
                <c:pt idx="21">
                  <c:v>37895</c:v>
                </c:pt>
                <c:pt idx="22">
                  <c:v>37926</c:v>
                </c:pt>
                <c:pt idx="23">
                  <c:v>37956</c:v>
                </c:pt>
                <c:pt idx="24">
                  <c:v>37987</c:v>
                </c:pt>
                <c:pt idx="25">
                  <c:v>38018</c:v>
                </c:pt>
                <c:pt idx="26">
                  <c:v>38047</c:v>
                </c:pt>
                <c:pt idx="27">
                  <c:v>38078</c:v>
                </c:pt>
                <c:pt idx="28">
                  <c:v>38108</c:v>
                </c:pt>
                <c:pt idx="29">
                  <c:v>38139</c:v>
                </c:pt>
                <c:pt idx="30">
                  <c:v>38169</c:v>
                </c:pt>
                <c:pt idx="31">
                  <c:v>38200</c:v>
                </c:pt>
                <c:pt idx="32">
                  <c:v>38231</c:v>
                </c:pt>
                <c:pt idx="33">
                  <c:v>38261</c:v>
                </c:pt>
                <c:pt idx="34">
                  <c:v>38292</c:v>
                </c:pt>
                <c:pt idx="35">
                  <c:v>38322</c:v>
                </c:pt>
                <c:pt idx="36">
                  <c:v>38353</c:v>
                </c:pt>
                <c:pt idx="37">
                  <c:v>38384</c:v>
                </c:pt>
                <c:pt idx="38">
                  <c:v>38412</c:v>
                </c:pt>
                <c:pt idx="39">
                  <c:v>38443</c:v>
                </c:pt>
                <c:pt idx="40">
                  <c:v>38473</c:v>
                </c:pt>
                <c:pt idx="41">
                  <c:v>38504</c:v>
                </c:pt>
                <c:pt idx="42">
                  <c:v>38534</c:v>
                </c:pt>
                <c:pt idx="43">
                  <c:v>38565</c:v>
                </c:pt>
                <c:pt idx="44">
                  <c:v>38596</c:v>
                </c:pt>
                <c:pt idx="45">
                  <c:v>38626</c:v>
                </c:pt>
                <c:pt idx="46">
                  <c:v>38657</c:v>
                </c:pt>
                <c:pt idx="47">
                  <c:v>38687</c:v>
                </c:pt>
                <c:pt idx="48">
                  <c:v>38718</c:v>
                </c:pt>
                <c:pt idx="49">
                  <c:v>38749</c:v>
                </c:pt>
                <c:pt idx="50">
                  <c:v>38777</c:v>
                </c:pt>
                <c:pt idx="51">
                  <c:v>38808</c:v>
                </c:pt>
                <c:pt idx="52">
                  <c:v>38838</c:v>
                </c:pt>
                <c:pt idx="53">
                  <c:v>38869</c:v>
                </c:pt>
                <c:pt idx="54">
                  <c:v>38899</c:v>
                </c:pt>
                <c:pt idx="55">
                  <c:v>38930</c:v>
                </c:pt>
                <c:pt idx="56">
                  <c:v>38961</c:v>
                </c:pt>
                <c:pt idx="57">
                  <c:v>38991</c:v>
                </c:pt>
                <c:pt idx="58">
                  <c:v>39022</c:v>
                </c:pt>
                <c:pt idx="59">
                  <c:v>39052</c:v>
                </c:pt>
                <c:pt idx="60">
                  <c:v>39083</c:v>
                </c:pt>
                <c:pt idx="61">
                  <c:v>39114</c:v>
                </c:pt>
                <c:pt idx="62">
                  <c:v>39142</c:v>
                </c:pt>
                <c:pt idx="63">
                  <c:v>39173</c:v>
                </c:pt>
                <c:pt idx="64">
                  <c:v>39203</c:v>
                </c:pt>
                <c:pt idx="65">
                  <c:v>39234</c:v>
                </c:pt>
                <c:pt idx="66">
                  <c:v>39264</c:v>
                </c:pt>
                <c:pt idx="67">
                  <c:v>39295</c:v>
                </c:pt>
                <c:pt idx="68">
                  <c:v>39326</c:v>
                </c:pt>
                <c:pt idx="69">
                  <c:v>39356</c:v>
                </c:pt>
                <c:pt idx="70">
                  <c:v>39387</c:v>
                </c:pt>
                <c:pt idx="71">
                  <c:v>39417</c:v>
                </c:pt>
                <c:pt idx="72">
                  <c:v>39448</c:v>
                </c:pt>
                <c:pt idx="73">
                  <c:v>39479</c:v>
                </c:pt>
                <c:pt idx="74">
                  <c:v>39508</c:v>
                </c:pt>
                <c:pt idx="75">
                  <c:v>39539</c:v>
                </c:pt>
                <c:pt idx="76">
                  <c:v>39569</c:v>
                </c:pt>
                <c:pt idx="77">
                  <c:v>39600</c:v>
                </c:pt>
                <c:pt idx="78">
                  <c:v>39630</c:v>
                </c:pt>
                <c:pt idx="79">
                  <c:v>39661</c:v>
                </c:pt>
                <c:pt idx="80">
                  <c:v>39692</c:v>
                </c:pt>
                <c:pt idx="81">
                  <c:v>39722</c:v>
                </c:pt>
                <c:pt idx="82">
                  <c:v>39753</c:v>
                </c:pt>
                <c:pt idx="83">
                  <c:v>39783</c:v>
                </c:pt>
                <c:pt idx="84">
                  <c:v>39814</c:v>
                </c:pt>
                <c:pt idx="85">
                  <c:v>39845</c:v>
                </c:pt>
                <c:pt idx="86">
                  <c:v>39873</c:v>
                </c:pt>
                <c:pt idx="87">
                  <c:v>39904</c:v>
                </c:pt>
                <c:pt idx="88">
                  <c:v>39934</c:v>
                </c:pt>
                <c:pt idx="89">
                  <c:v>39965</c:v>
                </c:pt>
                <c:pt idx="90">
                  <c:v>39995</c:v>
                </c:pt>
                <c:pt idx="91">
                  <c:v>40026</c:v>
                </c:pt>
                <c:pt idx="92">
                  <c:v>40057</c:v>
                </c:pt>
                <c:pt idx="93">
                  <c:v>40087</c:v>
                </c:pt>
                <c:pt idx="94">
                  <c:v>40118</c:v>
                </c:pt>
                <c:pt idx="95">
                  <c:v>40148</c:v>
                </c:pt>
                <c:pt idx="96">
                  <c:v>40179</c:v>
                </c:pt>
                <c:pt idx="97">
                  <c:v>40210</c:v>
                </c:pt>
                <c:pt idx="98">
                  <c:v>40238</c:v>
                </c:pt>
                <c:pt idx="99">
                  <c:v>40269</c:v>
                </c:pt>
                <c:pt idx="100">
                  <c:v>40299</c:v>
                </c:pt>
                <c:pt idx="101">
                  <c:v>40330</c:v>
                </c:pt>
                <c:pt idx="102">
                  <c:v>40360</c:v>
                </c:pt>
                <c:pt idx="103">
                  <c:v>40391</c:v>
                </c:pt>
                <c:pt idx="104">
                  <c:v>40422</c:v>
                </c:pt>
                <c:pt idx="105">
                  <c:v>40452</c:v>
                </c:pt>
                <c:pt idx="106">
                  <c:v>40483</c:v>
                </c:pt>
                <c:pt idx="107">
                  <c:v>40513</c:v>
                </c:pt>
                <c:pt idx="108">
                  <c:v>40544</c:v>
                </c:pt>
                <c:pt idx="109">
                  <c:v>40575</c:v>
                </c:pt>
                <c:pt idx="110">
                  <c:v>40603</c:v>
                </c:pt>
                <c:pt idx="111">
                  <c:v>40634</c:v>
                </c:pt>
                <c:pt idx="112">
                  <c:v>40664</c:v>
                </c:pt>
                <c:pt idx="113">
                  <c:v>40695</c:v>
                </c:pt>
                <c:pt idx="114">
                  <c:v>40725</c:v>
                </c:pt>
                <c:pt idx="115">
                  <c:v>40756</c:v>
                </c:pt>
                <c:pt idx="116">
                  <c:v>40787</c:v>
                </c:pt>
                <c:pt idx="117">
                  <c:v>40817</c:v>
                </c:pt>
                <c:pt idx="118">
                  <c:v>40848</c:v>
                </c:pt>
                <c:pt idx="119">
                  <c:v>40878</c:v>
                </c:pt>
                <c:pt idx="120">
                  <c:v>40909</c:v>
                </c:pt>
                <c:pt idx="121">
                  <c:v>40940</c:v>
                </c:pt>
                <c:pt idx="122">
                  <c:v>40969</c:v>
                </c:pt>
                <c:pt idx="123">
                  <c:v>41000</c:v>
                </c:pt>
                <c:pt idx="124">
                  <c:v>41030</c:v>
                </c:pt>
                <c:pt idx="125">
                  <c:v>41061</c:v>
                </c:pt>
                <c:pt idx="126">
                  <c:v>41091</c:v>
                </c:pt>
                <c:pt idx="127">
                  <c:v>41122</c:v>
                </c:pt>
                <c:pt idx="128">
                  <c:v>41153</c:v>
                </c:pt>
                <c:pt idx="129">
                  <c:v>41183</c:v>
                </c:pt>
                <c:pt idx="130">
                  <c:v>41214</c:v>
                </c:pt>
                <c:pt idx="131">
                  <c:v>41244</c:v>
                </c:pt>
                <c:pt idx="132">
                  <c:v>41275</c:v>
                </c:pt>
                <c:pt idx="133">
                  <c:v>41306</c:v>
                </c:pt>
                <c:pt idx="134">
                  <c:v>41334</c:v>
                </c:pt>
                <c:pt idx="135">
                  <c:v>41365</c:v>
                </c:pt>
                <c:pt idx="136">
                  <c:v>41395</c:v>
                </c:pt>
                <c:pt idx="137">
                  <c:v>41426</c:v>
                </c:pt>
                <c:pt idx="138">
                  <c:v>41456</c:v>
                </c:pt>
                <c:pt idx="139">
                  <c:v>41487</c:v>
                </c:pt>
                <c:pt idx="140">
                  <c:v>41518</c:v>
                </c:pt>
                <c:pt idx="141">
                  <c:v>41548</c:v>
                </c:pt>
                <c:pt idx="142">
                  <c:v>41579</c:v>
                </c:pt>
                <c:pt idx="143">
                  <c:v>41609</c:v>
                </c:pt>
                <c:pt idx="144">
                  <c:v>41640</c:v>
                </c:pt>
                <c:pt idx="145">
                  <c:v>41671</c:v>
                </c:pt>
                <c:pt idx="146">
                  <c:v>41699</c:v>
                </c:pt>
                <c:pt idx="147">
                  <c:v>41730</c:v>
                </c:pt>
                <c:pt idx="148">
                  <c:v>41760</c:v>
                </c:pt>
                <c:pt idx="149">
                  <c:v>41791</c:v>
                </c:pt>
                <c:pt idx="150">
                  <c:v>41821</c:v>
                </c:pt>
                <c:pt idx="151">
                  <c:v>41852</c:v>
                </c:pt>
                <c:pt idx="152">
                  <c:v>41883</c:v>
                </c:pt>
                <c:pt idx="153">
                  <c:v>41913</c:v>
                </c:pt>
                <c:pt idx="154">
                  <c:v>41944</c:v>
                </c:pt>
                <c:pt idx="155">
                  <c:v>41974</c:v>
                </c:pt>
                <c:pt idx="156">
                  <c:v>42005</c:v>
                </c:pt>
                <c:pt idx="157">
                  <c:v>42036</c:v>
                </c:pt>
                <c:pt idx="158">
                  <c:v>42064</c:v>
                </c:pt>
                <c:pt idx="159">
                  <c:v>42095</c:v>
                </c:pt>
                <c:pt idx="160">
                  <c:v>42125</c:v>
                </c:pt>
                <c:pt idx="161">
                  <c:v>42156</c:v>
                </c:pt>
                <c:pt idx="162">
                  <c:v>42186</c:v>
                </c:pt>
                <c:pt idx="163">
                  <c:v>42217</c:v>
                </c:pt>
                <c:pt idx="164">
                  <c:v>42248</c:v>
                </c:pt>
                <c:pt idx="165">
                  <c:v>42278</c:v>
                </c:pt>
                <c:pt idx="166">
                  <c:v>42309</c:v>
                </c:pt>
                <c:pt idx="167">
                  <c:v>42339</c:v>
                </c:pt>
                <c:pt idx="168">
                  <c:v>42370</c:v>
                </c:pt>
                <c:pt idx="169">
                  <c:v>42401</c:v>
                </c:pt>
                <c:pt idx="170">
                  <c:v>42430</c:v>
                </c:pt>
                <c:pt idx="171">
                  <c:v>42461</c:v>
                </c:pt>
                <c:pt idx="172">
                  <c:v>42491</c:v>
                </c:pt>
                <c:pt idx="173">
                  <c:v>42522</c:v>
                </c:pt>
                <c:pt idx="174">
                  <c:v>42552</c:v>
                </c:pt>
                <c:pt idx="175">
                  <c:v>42583</c:v>
                </c:pt>
                <c:pt idx="176">
                  <c:v>42614</c:v>
                </c:pt>
                <c:pt idx="177">
                  <c:v>42644</c:v>
                </c:pt>
                <c:pt idx="178">
                  <c:v>42675</c:v>
                </c:pt>
                <c:pt idx="179">
                  <c:v>42705</c:v>
                </c:pt>
                <c:pt idx="180">
                  <c:v>42736</c:v>
                </c:pt>
                <c:pt idx="181">
                  <c:v>42767</c:v>
                </c:pt>
                <c:pt idx="182">
                  <c:v>42795</c:v>
                </c:pt>
                <c:pt idx="183">
                  <c:v>42826</c:v>
                </c:pt>
                <c:pt idx="184">
                  <c:v>42856</c:v>
                </c:pt>
                <c:pt idx="185">
                  <c:v>42887</c:v>
                </c:pt>
                <c:pt idx="186">
                  <c:v>42917</c:v>
                </c:pt>
                <c:pt idx="187">
                  <c:v>42948</c:v>
                </c:pt>
                <c:pt idx="188">
                  <c:v>42979</c:v>
                </c:pt>
                <c:pt idx="189">
                  <c:v>43009</c:v>
                </c:pt>
                <c:pt idx="190">
                  <c:v>43040</c:v>
                </c:pt>
                <c:pt idx="191">
                  <c:v>43070</c:v>
                </c:pt>
                <c:pt idx="192">
                  <c:v>43101</c:v>
                </c:pt>
                <c:pt idx="193">
                  <c:v>43132</c:v>
                </c:pt>
                <c:pt idx="194">
                  <c:v>43160</c:v>
                </c:pt>
                <c:pt idx="195">
                  <c:v>43191</c:v>
                </c:pt>
                <c:pt idx="196">
                  <c:v>43221</c:v>
                </c:pt>
                <c:pt idx="197">
                  <c:v>43252</c:v>
                </c:pt>
                <c:pt idx="198">
                  <c:v>43282</c:v>
                </c:pt>
                <c:pt idx="199">
                  <c:v>43313</c:v>
                </c:pt>
                <c:pt idx="200">
                  <c:v>43344</c:v>
                </c:pt>
                <c:pt idx="201">
                  <c:v>43374</c:v>
                </c:pt>
                <c:pt idx="202">
                  <c:v>43405</c:v>
                </c:pt>
                <c:pt idx="203">
                  <c:v>43435</c:v>
                </c:pt>
                <c:pt idx="204">
                  <c:v>43466</c:v>
                </c:pt>
                <c:pt idx="205">
                  <c:v>43497</c:v>
                </c:pt>
                <c:pt idx="206">
                  <c:v>43525</c:v>
                </c:pt>
                <c:pt idx="207">
                  <c:v>43556</c:v>
                </c:pt>
                <c:pt idx="208">
                  <c:v>43586</c:v>
                </c:pt>
                <c:pt idx="209">
                  <c:v>43617</c:v>
                </c:pt>
                <c:pt idx="210">
                  <c:v>43647</c:v>
                </c:pt>
                <c:pt idx="211">
                  <c:v>43678</c:v>
                </c:pt>
                <c:pt idx="212">
                  <c:v>43709</c:v>
                </c:pt>
                <c:pt idx="213">
                  <c:v>43739</c:v>
                </c:pt>
                <c:pt idx="214">
                  <c:v>43770</c:v>
                </c:pt>
                <c:pt idx="215">
                  <c:v>43800</c:v>
                </c:pt>
                <c:pt idx="216">
                  <c:v>43831</c:v>
                </c:pt>
                <c:pt idx="217">
                  <c:v>43862</c:v>
                </c:pt>
                <c:pt idx="218">
                  <c:v>43891</c:v>
                </c:pt>
                <c:pt idx="219">
                  <c:v>43922</c:v>
                </c:pt>
                <c:pt idx="220">
                  <c:v>43952</c:v>
                </c:pt>
                <c:pt idx="221">
                  <c:v>43983</c:v>
                </c:pt>
                <c:pt idx="222">
                  <c:v>44013</c:v>
                </c:pt>
                <c:pt idx="223">
                  <c:v>44044</c:v>
                </c:pt>
                <c:pt idx="224">
                  <c:v>44075</c:v>
                </c:pt>
                <c:pt idx="225">
                  <c:v>44105</c:v>
                </c:pt>
                <c:pt idx="226">
                  <c:v>44136</c:v>
                </c:pt>
                <c:pt idx="227">
                  <c:v>44166</c:v>
                </c:pt>
                <c:pt idx="228">
                  <c:v>44197</c:v>
                </c:pt>
                <c:pt idx="229">
                  <c:v>44228</c:v>
                </c:pt>
                <c:pt idx="230">
                  <c:v>44256</c:v>
                </c:pt>
                <c:pt idx="231">
                  <c:v>44287</c:v>
                </c:pt>
                <c:pt idx="232">
                  <c:v>44317</c:v>
                </c:pt>
                <c:pt idx="233">
                  <c:v>44348</c:v>
                </c:pt>
                <c:pt idx="234">
                  <c:v>44378</c:v>
                </c:pt>
                <c:pt idx="235">
                  <c:v>44409</c:v>
                </c:pt>
                <c:pt idx="236">
                  <c:v>44440</c:v>
                </c:pt>
                <c:pt idx="237">
                  <c:v>44470</c:v>
                </c:pt>
                <c:pt idx="238">
                  <c:v>44501</c:v>
                </c:pt>
                <c:pt idx="239">
                  <c:v>44531</c:v>
                </c:pt>
              </c:numCache>
            </c:numRef>
          </c:cat>
          <c:val>
            <c:numRef>
              <c:f>'Mult series mult spec'!$B$4:$B$243</c:f>
              <c:numCache>
                <c:formatCode>0.0</c:formatCode>
                <c:ptCount val="240"/>
                <c:pt idx="0">
                  <c:v>72.400000000000006</c:v>
                </c:pt>
                <c:pt idx="1">
                  <c:v>69.7</c:v>
                </c:pt>
                <c:pt idx="2">
                  <c:v>77.400000000000006</c:v>
                </c:pt>
                <c:pt idx="3">
                  <c:v>79.599999999999994</c:v>
                </c:pt>
                <c:pt idx="4">
                  <c:v>80.400000000000006</c:v>
                </c:pt>
                <c:pt idx="5">
                  <c:v>77.5</c:v>
                </c:pt>
                <c:pt idx="6">
                  <c:v>83.3</c:v>
                </c:pt>
                <c:pt idx="7">
                  <c:v>83.6</c:v>
                </c:pt>
                <c:pt idx="8">
                  <c:v>82.1</c:v>
                </c:pt>
                <c:pt idx="9">
                  <c:v>89.2</c:v>
                </c:pt>
                <c:pt idx="10">
                  <c:v>83.9</c:v>
                </c:pt>
                <c:pt idx="11">
                  <c:v>74.599999999999994</c:v>
                </c:pt>
                <c:pt idx="12">
                  <c:v>74</c:v>
                </c:pt>
                <c:pt idx="13">
                  <c:v>71.8</c:v>
                </c:pt>
                <c:pt idx="14">
                  <c:v>77.400000000000006</c:v>
                </c:pt>
                <c:pt idx="15">
                  <c:v>76.5</c:v>
                </c:pt>
                <c:pt idx="16">
                  <c:v>79.7</c:v>
                </c:pt>
                <c:pt idx="17">
                  <c:v>76.3</c:v>
                </c:pt>
                <c:pt idx="18">
                  <c:v>81.3</c:v>
                </c:pt>
                <c:pt idx="19">
                  <c:v>81.599999999999994</c:v>
                </c:pt>
                <c:pt idx="20">
                  <c:v>85.7</c:v>
                </c:pt>
                <c:pt idx="21">
                  <c:v>90</c:v>
                </c:pt>
                <c:pt idx="22">
                  <c:v>84.6</c:v>
                </c:pt>
                <c:pt idx="23">
                  <c:v>77.900000000000006</c:v>
                </c:pt>
                <c:pt idx="24">
                  <c:v>76.8</c:v>
                </c:pt>
                <c:pt idx="25">
                  <c:v>74</c:v>
                </c:pt>
                <c:pt idx="26">
                  <c:v>86.9</c:v>
                </c:pt>
                <c:pt idx="27">
                  <c:v>82.2</c:v>
                </c:pt>
                <c:pt idx="28">
                  <c:v>86.3</c:v>
                </c:pt>
                <c:pt idx="29">
                  <c:v>86.1</c:v>
                </c:pt>
                <c:pt idx="30">
                  <c:v>90.1</c:v>
                </c:pt>
                <c:pt idx="31">
                  <c:v>92.1</c:v>
                </c:pt>
                <c:pt idx="32">
                  <c:v>92.1</c:v>
                </c:pt>
                <c:pt idx="33">
                  <c:v>93.5</c:v>
                </c:pt>
                <c:pt idx="34">
                  <c:v>91.8</c:v>
                </c:pt>
                <c:pt idx="35">
                  <c:v>84.7</c:v>
                </c:pt>
                <c:pt idx="36">
                  <c:v>81</c:v>
                </c:pt>
                <c:pt idx="37">
                  <c:v>76.400000000000006</c:v>
                </c:pt>
                <c:pt idx="38">
                  <c:v>88</c:v>
                </c:pt>
                <c:pt idx="39">
                  <c:v>87</c:v>
                </c:pt>
                <c:pt idx="40">
                  <c:v>91.1</c:v>
                </c:pt>
                <c:pt idx="41">
                  <c:v>91.4</c:v>
                </c:pt>
                <c:pt idx="42">
                  <c:v>90.5</c:v>
                </c:pt>
                <c:pt idx="43">
                  <c:v>95.6</c:v>
                </c:pt>
                <c:pt idx="44">
                  <c:v>92</c:v>
                </c:pt>
                <c:pt idx="45">
                  <c:v>93.7</c:v>
                </c:pt>
                <c:pt idx="46">
                  <c:v>92.4</c:v>
                </c:pt>
                <c:pt idx="47">
                  <c:v>86.6</c:v>
                </c:pt>
                <c:pt idx="48">
                  <c:v>83.7</c:v>
                </c:pt>
                <c:pt idx="49">
                  <c:v>80.2</c:v>
                </c:pt>
                <c:pt idx="50">
                  <c:v>92.4</c:v>
                </c:pt>
                <c:pt idx="51">
                  <c:v>85.7</c:v>
                </c:pt>
                <c:pt idx="52">
                  <c:v>95.4</c:v>
                </c:pt>
                <c:pt idx="53">
                  <c:v>91.1</c:v>
                </c:pt>
                <c:pt idx="54">
                  <c:v>93.8</c:v>
                </c:pt>
                <c:pt idx="55">
                  <c:v>98.6</c:v>
                </c:pt>
                <c:pt idx="56">
                  <c:v>93.2</c:v>
                </c:pt>
                <c:pt idx="57">
                  <c:v>97.5</c:v>
                </c:pt>
                <c:pt idx="58">
                  <c:v>95.9</c:v>
                </c:pt>
                <c:pt idx="59">
                  <c:v>87</c:v>
                </c:pt>
                <c:pt idx="60">
                  <c:v>87</c:v>
                </c:pt>
                <c:pt idx="61">
                  <c:v>82.6</c:v>
                </c:pt>
                <c:pt idx="62">
                  <c:v>96.4</c:v>
                </c:pt>
                <c:pt idx="63">
                  <c:v>90.6</c:v>
                </c:pt>
                <c:pt idx="64">
                  <c:v>99.9</c:v>
                </c:pt>
                <c:pt idx="65">
                  <c:v>96.9</c:v>
                </c:pt>
                <c:pt idx="66">
                  <c:v>99.8</c:v>
                </c:pt>
                <c:pt idx="67">
                  <c:v>104.9</c:v>
                </c:pt>
                <c:pt idx="68">
                  <c:v>98.4</c:v>
                </c:pt>
                <c:pt idx="69">
                  <c:v>107.8</c:v>
                </c:pt>
                <c:pt idx="70">
                  <c:v>102.4</c:v>
                </c:pt>
                <c:pt idx="71">
                  <c:v>92.6</c:v>
                </c:pt>
                <c:pt idx="72">
                  <c:v>94.8</c:v>
                </c:pt>
                <c:pt idx="73">
                  <c:v>91.1</c:v>
                </c:pt>
                <c:pt idx="74">
                  <c:v>97.7</c:v>
                </c:pt>
                <c:pt idx="75">
                  <c:v>99.2</c:v>
                </c:pt>
                <c:pt idx="76">
                  <c:v>102.5</c:v>
                </c:pt>
                <c:pt idx="77">
                  <c:v>103.3</c:v>
                </c:pt>
                <c:pt idx="78">
                  <c:v>108.5</c:v>
                </c:pt>
                <c:pt idx="79">
                  <c:v>106.9</c:v>
                </c:pt>
                <c:pt idx="80">
                  <c:v>107.3</c:v>
                </c:pt>
                <c:pt idx="81">
                  <c:v>108.4</c:v>
                </c:pt>
                <c:pt idx="82">
                  <c:v>96.2</c:v>
                </c:pt>
                <c:pt idx="83">
                  <c:v>79.099999999999994</c:v>
                </c:pt>
                <c:pt idx="84">
                  <c:v>78.7</c:v>
                </c:pt>
                <c:pt idx="85">
                  <c:v>76.099999999999994</c:v>
                </c:pt>
                <c:pt idx="86">
                  <c:v>88.6</c:v>
                </c:pt>
                <c:pt idx="87">
                  <c:v>85.2</c:v>
                </c:pt>
                <c:pt idx="88">
                  <c:v>91.3</c:v>
                </c:pt>
                <c:pt idx="89">
                  <c:v>92.2</c:v>
                </c:pt>
                <c:pt idx="90">
                  <c:v>97.7</c:v>
                </c:pt>
                <c:pt idx="91">
                  <c:v>99.6</c:v>
                </c:pt>
                <c:pt idx="92">
                  <c:v>99.4</c:v>
                </c:pt>
                <c:pt idx="93">
                  <c:v>105.6</c:v>
                </c:pt>
                <c:pt idx="94">
                  <c:v>101.4</c:v>
                </c:pt>
                <c:pt idx="95">
                  <c:v>94.1</c:v>
                </c:pt>
                <c:pt idx="96">
                  <c:v>91.2</c:v>
                </c:pt>
                <c:pt idx="97">
                  <c:v>89</c:v>
                </c:pt>
                <c:pt idx="98">
                  <c:v>105.1</c:v>
                </c:pt>
                <c:pt idx="99">
                  <c:v>99.3</c:v>
                </c:pt>
                <c:pt idx="100">
                  <c:v>104.3</c:v>
                </c:pt>
                <c:pt idx="101">
                  <c:v>102.5</c:v>
                </c:pt>
                <c:pt idx="102">
                  <c:v>106.9</c:v>
                </c:pt>
                <c:pt idx="103">
                  <c:v>108.1</c:v>
                </c:pt>
                <c:pt idx="104">
                  <c:v>105.8</c:v>
                </c:pt>
                <c:pt idx="105">
                  <c:v>107.7</c:v>
                </c:pt>
                <c:pt idx="106">
                  <c:v>106.8</c:v>
                </c:pt>
                <c:pt idx="107">
                  <c:v>96.6</c:v>
                </c:pt>
                <c:pt idx="108">
                  <c:v>93.2</c:v>
                </c:pt>
                <c:pt idx="109">
                  <c:v>95.4</c:v>
                </c:pt>
                <c:pt idx="110">
                  <c:v>104.4</c:v>
                </c:pt>
                <c:pt idx="111">
                  <c:v>97.5</c:v>
                </c:pt>
                <c:pt idx="112">
                  <c:v>107.1</c:v>
                </c:pt>
                <c:pt idx="113">
                  <c:v>102.8</c:v>
                </c:pt>
                <c:pt idx="114">
                  <c:v>106.1</c:v>
                </c:pt>
                <c:pt idx="115">
                  <c:v>110.8</c:v>
                </c:pt>
                <c:pt idx="116">
                  <c:v>104.8</c:v>
                </c:pt>
                <c:pt idx="117">
                  <c:v>106.3</c:v>
                </c:pt>
                <c:pt idx="118">
                  <c:v>104.2</c:v>
                </c:pt>
                <c:pt idx="119">
                  <c:v>95.7</c:v>
                </c:pt>
                <c:pt idx="120">
                  <c:v>88.7</c:v>
                </c:pt>
                <c:pt idx="121">
                  <c:v>89.8</c:v>
                </c:pt>
                <c:pt idx="122">
                  <c:v>99.7</c:v>
                </c:pt>
                <c:pt idx="123">
                  <c:v>92.8</c:v>
                </c:pt>
                <c:pt idx="124">
                  <c:v>102.5</c:v>
                </c:pt>
                <c:pt idx="125">
                  <c:v>98.3</c:v>
                </c:pt>
                <c:pt idx="126">
                  <c:v>104.5</c:v>
                </c:pt>
                <c:pt idx="127">
                  <c:v>111.5</c:v>
                </c:pt>
                <c:pt idx="128">
                  <c:v>103.4</c:v>
                </c:pt>
                <c:pt idx="129">
                  <c:v>111.8</c:v>
                </c:pt>
                <c:pt idx="130">
                  <c:v>104.8</c:v>
                </c:pt>
                <c:pt idx="131">
                  <c:v>92.2</c:v>
                </c:pt>
                <c:pt idx="132">
                  <c:v>94.5</c:v>
                </c:pt>
                <c:pt idx="133">
                  <c:v>88.1</c:v>
                </c:pt>
                <c:pt idx="134">
                  <c:v>97.7</c:v>
                </c:pt>
                <c:pt idx="135">
                  <c:v>101.8</c:v>
                </c:pt>
                <c:pt idx="136">
                  <c:v>105</c:v>
                </c:pt>
                <c:pt idx="137">
                  <c:v>101.7</c:v>
                </c:pt>
                <c:pt idx="138">
                  <c:v>108</c:v>
                </c:pt>
                <c:pt idx="139">
                  <c:v>112</c:v>
                </c:pt>
                <c:pt idx="140">
                  <c:v>107.3</c:v>
                </c:pt>
                <c:pt idx="141">
                  <c:v>112.6</c:v>
                </c:pt>
                <c:pt idx="142">
                  <c:v>106.1</c:v>
                </c:pt>
                <c:pt idx="143">
                  <c:v>90.1</c:v>
                </c:pt>
                <c:pt idx="144">
                  <c:v>92.6</c:v>
                </c:pt>
                <c:pt idx="145">
                  <c:v>92.3</c:v>
                </c:pt>
                <c:pt idx="146">
                  <c:v>97.3</c:v>
                </c:pt>
                <c:pt idx="147">
                  <c:v>96</c:v>
                </c:pt>
                <c:pt idx="148">
                  <c:v>101.7</c:v>
                </c:pt>
                <c:pt idx="149">
                  <c:v>94.9</c:v>
                </c:pt>
                <c:pt idx="150">
                  <c:v>104.4</c:v>
                </c:pt>
                <c:pt idx="151">
                  <c:v>106.3</c:v>
                </c:pt>
                <c:pt idx="152">
                  <c:v>105.6</c:v>
                </c:pt>
                <c:pt idx="153">
                  <c:v>109.3</c:v>
                </c:pt>
                <c:pt idx="154">
                  <c:v>99.8</c:v>
                </c:pt>
                <c:pt idx="155">
                  <c:v>87.7</c:v>
                </c:pt>
                <c:pt idx="156">
                  <c:v>88.1</c:v>
                </c:pt>
                <c:pt idx="157">
                  <c:v>83.7</c:v>
                </c:pt>
                <c:pt idx="158">
                  <c:v>94.3</c:v>
                </c:pt>
                <c:pt idx="159">
                  <c:v>88.8</c:v>
                </c:pt>
                <c:pt idx="160">
                  <c:v>93.1</c:v>
                </c:pt>
                <c:pt idx="161">
                  <c:v>92.5</c:v>
                </c:pt>
                <c:pt idx="162">
                  <c:v>95.5</c:v>
                </c:pt>
                <c:pt idx="163">
                  <c:v>97.6</c:v>
                </c:pt>
                <c:pt idx="164">
                  <c:v>94.3</c:v>
                </c:pt>
                <c:pt idx="165">
                  <c:v>97.2</c:v>
                </c:pt>
                <c:pt idx="166">
                  <c:v>87.6</c:v>
                </c:pt>
                <c:pt idx="167">
                  <c:v>77.2</c:v>
                </c:pt>
                <c:pt idx="168">
                  <c:v>76.3</c:v>
                </c:pt>
                <c:pt idx="169">
                  <c:v>75.8</c:v>
                </c:pt>
                <c:pt idx="170">
                  <c:v>83.7</c:v>
                </c:pt>
                <c:pt idx="171">
                  <c:v>83</c:v>
                </c:pt>
                <c:pt idx="172">
                  <c:v>86.3</c:v>
                </c:pt>
                <c:pt idx="173">
                  <c:v>87.7</c:v>
                </c:pt>
                <c:pt idx="174">
                  <c:v>89.6</c:v>
                </c:pt>
                <c:pt idx="175">
                  <c:v>93</c:v>
                </c:pt>
                <c:pt idx="176">
                  <c:v>90.7</c:v>
                </c:pt>
                <c:pt idx="177">
                  <c:v>90.2</c:v>
                </c:pt>
                <c:pt idx="178">
                  <c:v>86.5</c:v>
                </c:pt>
                <c:pt idx="179">
                  <c:v>77.2</c:v>
                </c:pt>
                <c:pt idx="180">
                  <c:v>77.900000000000006</c:v>
                </c:pt>
                <c:pt idx="181">
                  <c:v>75.900000000000006</c:v>
                </c:pt>
                <c:pt idx="182">
                  <c:v>85.4</c:v>
                </c:pt>
                <c:pt idx="183">
                  <c:v>79.3</c:v>
                </c:pt>
                <c:pt idx="184">
                  <c:v>90.1</c:v>
                </c:pt>
                <c:pt idx="185">
                  <c:v>88.4</c:v>
                </c:pt>
                <c:pt idx="186">
                  <c:v>92.1</c:v>
                </c:pt>
                <c:pt idx="187">
                  <c:v>96.7</c:v>
                </c:pt>
                <c:pt idx="188">
                  <c:v>93</c:v>
                </c:pt>
                <c:pt idx="189">
                  <c:v>95.1</c:v>
                </c:pt>
                <c:pt idx="190">
                  <c:v>90.6</c:v>
                </c:pt>
                <c:pt idx="191">
                  <c:v>81</c:v>
                </c:pt>
                <c:pt idx="192">
                  <c:v>82.3</c:v>
                </c:pt>
                <c:pt idx="193">
                  <c:v>77.3</c:v>
                </c:pt>
                <c:pt idx="194">
                  <c:v>86.2</c:v>
                </c:pt>
                <c:pt idx="195">
                  <c:v>86.5</c:v>
                </c:pt>
                <c:pt idx="196">
                  <c:v>84.4</c:v>
                </c:pt>
                <c:pt idx="197">
                  <c:v>91.1</c:v>
                </c:pt>
                <c:pt idx="198">
                  <c:v>95.8</c:v>
                </c:pt>
                <c:pt idx="199">
                  <c:v>98.2</c:v>
                </c:pt>
                <c:pt idx="200">
                  <c:v>90.7</c:v>
                </c:pt>
                <c:pt idx="201">
                  <c:v>95.8</c:v>
                </c:pt>
                <c:pt idx="202">
                  <c:v>89.5</c:v>
                </c:pt>
                <c:pt idx="203">
                  <c:v>78</c:v>
                </c:pt>
                <c:pt idx="204">
                  <c:v>80.7</c:v>
                </c:pt>
                <c:pt idx="205">
                  <c:v>79.099999999999994</c:v>
                </c:pt>
                <c:pt idx="206">
                  <c:v>81</c:v>
                </c:pt>
                <c:pt idx="207">
                  <c:v>83.3</c:v>
                </c:pt>
                <c:pt idx="208">
                  <c:v>91</c:v>
                </c:pt>
                <c:pt idx="209">
                  <c:v>85.8</c:v>
                </c:pt>
                <c:pt idx="210">
                  <c:v>93.4</c:v>
                </c:pt>
                <c:pt idx="211">
                  <c:v>96.2</c:v>
                </c:pt>
                <c:pt idx="212">
                  <c:v>91.8</c:v>
                </c:pt>
                <c:pt idx="213">
                  <c:v>97</c:v>
                </c:pt>
                <c:pt idx="214">
                  <c:v>88</c:v>
                </c:pt>
                <c:pt idx="215">
                  <c:v>76.900000000000006</c:v>
                </c:pt>
                <c:pt idx="216">
                  <c:v>80</c:v>
                </c:pt>
                <c:pt idx="217">
                  <c:v>78.900000000000006</c:v>
                </c:pt>
                <c:pt idx="218">
                  <c:v>77.900000000000006</c:v>
                </c:pt>
                <c:pt idx="219">
                  <c:v>60.3</c:v>
                </c:pt>
                <c:pt idx="220">
                  <c:v>71.2</c:v>
                </c:pt>
                <c:pt idx="221">
                  <c:v>78.400000000000006</c:v>
                </c:pt>
                <c:pt idx="222">
                  <c:v>91</c:v>
                </c:pt>
                <c:pt idx="223">
                  <c:v>93.9</c:v>
                </c:pt>
                <c:pt idx="224">
                  <c:v>95.4</c:v>
                </c:pt>
                <c:pt idx="225">
                  <c:v>97.3</c:v>
                </c:pt>
                <c:pt idx="226">
                  <c:v>90.2</c:v>
                </c:pt>
                <c:pt idx="227" formatCode="General">
                  <c:v>83.3</c:v>
                </c:pt>
                <c:pt idx="228" formatCode="General">
                  <c:v>81.900000000000006</c:v>
                </c:pt>
                <c:pt idx="229" formatCode="General">
                  <c:v>79.099999999999994</c:v>
                </c:pt>
                <c:pt idx="230" formatCode="General">
                  <c:v>86.1</c:v>
                </c:pt>
                <c:pt idx="231" formatCode="General">
                  <c:v>81.3</c:v>
                </c:pt>
                <c:pt idx="232" formatCode="General">
                  <c:v>88.4</c:v>
                </c:pt>
                <c:pt idx="233" formatCode="General">
                  <c:v>87.9</c:v>
                </c:pt>
                <c:pt idx="234" formatCode="General">
                  <c:v>92.2</c:v>
                </c:pt>
                <c:pt idx="235" formatCode="General">
                  <c:v>93.4</c:v>
                </c:pt>
                <c:pt idx="236" formatCode="General">
                  <c:v>91.5</c:v>
                </c:pt>
                <c:pt idx="237" formatCode="General">
                  <c:v>89.7</c:v>
                </c:pt>
                <c:pt idx="238" formatCode="General">
                  <c:v>86.2</c:v>
                </c:pt>
                <c:pt idx="239" formatCode="General">
                  <c:v>79.2</c:v>
                </c:pt>
              </c:numCache>
            </c:numRef>
          </c:val>
          <c:smooth val="0"/>
          <c:extLst>
            <c:ext xmlns:c16="http://schemas.microsoft.com/office/drawing/2014/chart" uri="{C3380CC4-5D6E-409C-BE32-E72D297353CC}">
              <c16:uniqueId val="{00000000-B07D-41CB-8B50-B3CE12A261D1}"/>
            </c:ext>
          </c:extLst>
        </c:ser>
        <c:ser>
          <c:idx val="1"/>
          <c:order val="1"/>
          <c:tx>
            <c:strRef>
              <c:f>'Mult series mult spec'!$E$3</c:f>
              <c:strCache>
                <c:ptCount val="1"/>
                <c:pt idx="0">
                  <c:v>Ind Prod SA</c:v>
                </c:pt>
              </c:strCache>
            </c:strRef>
          </c:tx>
          <c:spPr>
            <a:ln w="28575" cap="rnd">
              <a:solidFill>
                <a:schemeClr val="accent2"/>
              </a:solidFill>
              <a:round/>
            </a:ln>
            <a:effectLst/>
          </c:spPr>
          <c:marker>
            <c:symbol val="none"/>
          </c:marker>
          <c:cat>
            <c:numRef>
              <c:f>'Mult series mult spec'!$A$4:$A$243</c:f>
              <c:numCache>
                <c:formatCode>[$-416]mmm\-yy;@</c:formatCode>
                <c:ptCount val="240"/>
                <c:pt idx="0">
                  <c:v>37257</c:v>
                </c:pt>
                <c:pt idx="1">
                  <c:v>37288</c:v>
                </c:pt>
                <c:pt idx="2">
                  <c:v>37316</c:v>
                </c:pt>
                <c:pt idx="3">
                  <c:v>37347</c:v>
                </c:pt>
                <c:pt idx="4">
                  <c:v>37377</c:v>
                </c:pt>
                <c:pt idx="5">
                  <c:v>37408</c:v>
                </c:pt>
                <c:pt idx="6">
                  <c:v>37438</c:v>
                </c:pt>
                <c:pt idx="7">
                  <c:v>37469</c:v>
                </c:pt>
                <c:pt idx="8">
                  <c:v>37500</c:v>
                </c:pt>
                <c:pt idx="9">
                  <c:v>37530</c:v>
                </c:pt>
                <c:pt idx="10">
                  <c:v>37561</c:v>
                </c:pt>
                <c:pt idx="11">
                  <c:v>37591</c:v>
                </c:pt>
                <c:pt idx="12">
                  <c:v>37622</c:v>
                </c:pt>
                <c:pt idx="13">
                  <c:v>37653</c:v>
                </c:pt>
                <c:pt idx="14">
                  <c:v>37681</c:v>
                </c:pt>
                <c:pt idx="15">
                  <c:v>37712</c:v>
                </c:pt>
                <c:pt idx="16">
                  <c:v>37742</c:v>
                </c:pt>
                <c:pt idx="17">
                  <c:v>37773</c:v>
                </c:pt>
                <c:pt idx="18">
                  <c:v>37803</c:v>
                </c:pt>
                <c:pt idx="19">
                  <c:v>37834</c:v>
                </c:pt>
                <c:pt idx="20">
                  <c:v>37865</c:v>
                </c:pt>
                <c:pt idx="21">
                  <c:v>37895</c:v>
                </c:pt>
                <c:pt idx="22">
                  <c:v>37926</c:v>
                </c:pt>
                <c:pt idx="23">
                  <c:v>37956</c:v>
                </c:pt>
                <c:pt idx="24">
                  <c:v>37987</c:v>
                </c:pt>
                <c:pt idx="25">
                  <c:v>38018</c:v>
                </c:pt>
                <c:pt idx="26">
                  <c:v>38047</c:v>
                </c:pt>
                <c:pt idx="27">
                  <c:v>38078</c:v>
                </c:pt>
                <c:pt idx="28">
                  <c:v>38108</c:v>
                </c:pt>
                <c:pt idx="29">
                  <c:v>38139</c:v>
                </c:pt>
                <c:pt idx="30">
                  <c:v>38169</c:v>
                </c:pt>
                <c:pt idx="31">
                  <c:v>38200</c:v>
                </c:pt>
                <c:pt idx="32">
                  <c:v>38231</c:v>
                </c:pt>
                <c:pt idx="33">
                  <c:v>38261</c:v>
                </c:pt>
                <c:pt idx="34">
                  <c:v>38292</c:v>
                </c:pt>
                <c:pt idx="35">
                  <c:v>38322</c:v>
                </c:pt>
                <c:pt idx="36">
                  <c:v>38353</c:v>
                </c:pt>
                <c:pt idx="37">
                  <c:v>38384</c:v>
                </c:pt>
                <c:pt idx="38">
                  <c:v>38412</c:v>
                </c:pt>
                <c:pt idx="39">
                  <c:v>38443</c:v>
                </c:pt>
                <c:pt idx="40">
                  <c:v>38473</c:v>
                </c:pt>
                <c:pt idx="41">
                  <c:v>38504</c:v>
                </c:pt>
                <c:pt idx="42">
                  <c:v>38534</c:v>
                </c:pt>
                <c:pt idx="43">
                  <c:v>38565</c:v>
                </c:pt>
                <c:pt idx="44">
                  <c:v>38596</c:v>
                </c:pt>
                <c:pt idx="45">
                  <c:v>38626</c:v>
                </c:pt>
                <c:pt idx="46">
                  <c:v>38657</c:v>
                </c:pt>
                <c:pt idx="47">
                  <c:v>38687</c:v>
                </c:pt>
                <c:pt idx="48">
                  <c:v>38718</c:v>
                </c:pt>
                <c:pt idx="49">
                  <c:v>38749</c:v>
                </c:pt>
                <c:pt idx="50">
                  <c:v>38777</c:v>
                </c:pt>
                <c:pt idx="51">
                  <c:v>38808</c:v>
                </c:pt>
                <c:pt idx="52">
                  <c:v>38838</c:v>
                </c:pt>
                <c:pt idx="53">
                  <c:v>38869</c:v>
                </c:pt>
                <c:pt idx="54">
                  <c:v>38899</c:v>
                </c:pt>
                <c:pt idx="55">
                  <c:v>38930</c:v>
                </c:pt>
                <c:pt idx="56">
                  <c:v>38961</c:v>
                </c:pt>
                <c:pt idx="57">
                  <c:v>38991</c:v>
                </c:pt>
                <c:pt idx="58">
                  <c:v>39022</c:v>
                </c:pt>
                <c:pt idx="59">
                  <c:v>39052</c:v>
                </c:pt>
                <c:pt idx="60">
                  <c:v>39083</c:v>
                </c:pt>
                <c:pt idx="61">
                  <c:v>39114</c:v>
                </c:pt>
                <c:pt idx="62">
                  <c:v>39142</c:v>
                </c:pt>
                <c:pt idx="63">
                  <c:v>39173</c:v>
                </c:pt>
                <c:pt idx="64">
                  <c:v>39203</c:v>
                </c:pt>
                <c:pt idx="65">
                  <c:v>39234</c:v>
                </c:pt>
                <c:pt idx="66">
                  <c:v>39264</c:v>
                </c:pt>
                <c:pt idx="67">
                  <c:v>39295</c:v>
                </c:pt>
                <c:pt idx="68">
                  <c:v>39326</c:v>
                </c:pt>
                <c:pt idx="69">
                  <c:v>39356</c:v>
                </c:pt>
                <c:pt idx="70">
                  <c:v>39387</c:v>
                </c:pt>
                <c:pt idx="71">
                  <c:v>39417</c:v>
                </c:pt>
                <c:pt idx="72">
                  <c:v>39448</c:v>
                </c:pt>
                <c:pt idx="73">
                  <c:v>39479</c:v>
                </c:pt>
                <c:pt idx="74">
                  <c:v>39508</c:v>
                </c:pt>
                <c:pt idx="75">
                  <c:v>39539</c:v>
                </c:pt>
                <c:pt idx="76">
                  <c:v>39569</c:v>
                </c:pt>
                <c:pt idx="77">
                  <c:v>39600</c:v>
                </c:pt>
                <c:pt idx="78">
                  <c:v>39630</c:v>
                </c:pt>
                <c:pt idx="79">
                  <c:v>39661</c:v>
                </c:pt>
                <c:pt idx="80">
                  <c:v>39692</c:v>
                </c:pt>
                <c:pt idx="81">
                  <c:v>39722</c:v>
                </c:pt>
                <c:pt idx="82">
                  <c:v>39753</c:v>
                </c:pt>
                <c:pt idx="83">
                  <c:v>39783</c:v>
                </c:pt>
                <c:pt idx="84">
                  <c:v>39814</c:v>
                </c:pt>
                <c:pt idx="85">
                  <c:v>39845</c:v>
                </c:pt>
                <c:pt idx="86">
                  <c:v>39873</c:v>
                </c:pt>
                <c:pt idx="87">
                  <c:v>39904</c:v>
                </c:pt>
                <c:pt idx="88">
                  <c:v>39934</c:v>
                </c:pt>
                <c:pt idx="89">
                  <c:v>39965</c:v>
                </c:pt>
                <c:pt idx="90">
                  <c:v>39995</c:v>
                </c:pt>
                <c:pt idx="91">
                  <c:v>40026</c:v>
                </c:pt>
                <c:pt idx="92">
                  <c:v>40057</c:v>
                </c:pt>
                <c:pt idx="93">
                  <c:v>40087</c:v>
                </c:pt>
                <c:pt idx="94">
                  <c:v>40118</c:v>
                </c:pt>
                <c:pt idx="95">
                  <c:v>40148</c:v>
                </c:pt>
                <c:pt idx="96">
                  <c:v>40179</c:v>
                </c:pt>
                <c:pt idx="97">
                  <c:v>40210</c:v>
                </c:pt>
                <c:pt idx="98">
                  <c:v>40238</c:v>
                </c:pt>
                <c:pt idx="99">
                  <c:v>40269</c:v>
                </c:pt>
                <c:pt idx="100">
                  <c:v>40299</c:v>
                </c:pt>
                <c:pt idx="101">
                  <c:v>40330</c:v>
                </c:pt>
                <c:pt idx="102">
                  <c:v>40360</c:v>
                </c:pt>
                <c:pt idx="103">
                  <c:v>40391</c:v>
                </c:pt>
                <c:pt idx="104">
                  <c:v>40422</c:v>
                </c:pt>
                <c:pt idx="105">
                  <c:v>40452</c:v>
                </c:pt>
                <c:pt idx="106">
                  <c:v>40483</c:v>
                </c:pt>
                <c:pt idx="107">
                  <c:v>40513</c:v>
                </c:pt>
                <c:pt idx="108">
                  <c:v>40544</c:v>
                </c:pt>
                <c:pt idx="109">
                  <c:v>40575</c:v>
                </c:pt>
                <c:pt idx="110">
                  <c:v>40603</c:v>
                </c:pt>
                <c:pt idx="111">
                  <c:v>40634</c:v>
                </c:pt>
                <c:pt idx="112">
                  <c:v>40664</c:v>
                </c:pt>
                <c:pt idx="113">
                  <c:v>40695</c:v>
                </c:pt>
                <c:pt idx="114">
                  <c:v>40725</c:v>
                </c:pt>
                <c:pt idx="115">
                  <c:v>40756</c:v>
                </c:pt>
                <c:pt idx="116">
                  <c:v>40787</c:v>
                </c:pt>
                <c:pt idx="117">
                  <c:v>40817</c:v>
                </c:pt>
                <c:pt idx="118">
                  <c:v>40848</c:v>
                </c:pt>
                <c:pt idx="119">
                  <c:v>40878</c:v>
                </c:pt>
                <c:pt idx="120">
                  <c:v>40909</c:v>
                </c:pt>
                <c:pt idx="121">
                  <c:v>40940</c:v>
                </c:pt>
                <c:pt idx="122">
                  <c:v>40969</c:v>
                </c:pt>
                <c:pt idx="123">
                  <c:v>41000</c:v>
                </c:pt>
                <c:pt idx="124">
                  <c:v>41030</c:v>
                </c:pt>
                <c:pt idx="125">
                  <c:v>41061</c:v>
                </c:pt>
                <c:pt idx="126">
                  <c:v>41091</c:v>
                </c:pt>
                <c:pt idx="127">
                  <c:v>41122</c:v>
                </c:pt>
                <c:pt idx="128">
                  <c:v>41153</c:v>
                </c:pt>
                <c:pt idx="129">
                  <c:v>41183</c:v>
                </c:pt>
                <c:pt idx="130">
                  <c:v>41214</c:v>
                </c:pt>
                <c:pt idx="131">
                  <c:v>41244</c:v>
                </c:pt>
                <c:pt idx="132">
                  <c:v>41275</c:v>
                </c:pt>
                <c:pt idx="133">
                  <c:v>41306</c:v>
                </c:pt>
                <c:pt idx="134">
                  <c:v>41334</c:v>
                </c:pt>
                <c:pt idx="135">
                  <c:v>41365</c:v>
                </c:pt>
                <c:pt idx="136">
                  <c:v>41395</c:v>
                </c:pt>
                <c:pt idx="137">
                  <c:v>41426</c:v>
                </c:pt>
                <c:pt idx="138">
                  <c:v>41456</c:v>
                </c:pt>
                <c:pt idx="139">
                  <c:v>41487</c:v>
                </c:pt>
                <c:pt idx="140">
                  <c:v>41518</c:v>
                </c:pt>
                <c:pt idx="141">
                  <c:v>41548</c:v>
                </c:pt>
                <c:pt idx="142">
                  <c:v>41579</c:v>
                </c:pt>
                <c:pt idx="143">
                  <c:v>41609</c:v>
                </c:pt>
                <c:pt idx="144">
                  <c:v>41640</c:v>
                </c:pt>
                <c:pt idx="145">
                  <c:v>41671</c:v>
                </c:pt>
                <c:pt idx="146">
                  <c:v>41699</c:v>
                </c:pt>
                <c:pt idx="147">
                  <c:v>41730</c:v>
                </c:pt>
                <c:pt idx="148">
                  <c:v>41760</c:v>
                </c:pt>
                <c:pt idx="149">
                  <c:v>41791</c:v>
                </c:pt>
                <c:pt idx="150">
                  <c:v>41821</c:v>
                </c:pt>
                <c:pt idx="151">
                  <c:v>41852</c:v>
                </c:pt>
                <c:pt idx="152">
                  <c:v>41883</c:v>
                </c:pt>
                <c:pt idx="153">
                  <c:v>41913</c:v>
                </c:pt>
                <c:pt idx="154">
                  <c:v>41944</c:v>
                </c:pt>
                <c:pt idx="155">
                  <c:v>41974</c:v>
                </c:pt>
                <c:pt idx="156">
                  <c:v>42005</c:v>
                </c:pt>
                <c:pt idx="157">
                  <c:v>42036</c:v>
                </c:pt>
                <c:pt idx="158">
                  <c:v>42064</c:v>
                </c:pt>
                <c:pt idx="159">
                  <c:v>42095</c:v>
                </c:pt>
                <c:pt idx="160">
                  <c:v>42125</c:v>
                </c:pt>
                <c:pt idx="161">
                  <c:v>42156</c:v>
                </c:pt>
                <c:pt idx="162">
                  <c:v>42186</c:v>
                </c:pt>
                <c:pt idx="163">
                  <c:v>42217</c:v>
                </c:pt>
                <c:pt idx="164">
                  <c:v>42248</c:v>
                </c:pt>
                <c:pt idx="165">
                  <c:v>42278</c:v>
                </c:pt>
                <c:pt idx="166">
                  <c:v>42309</c:v>
                </c:pt>
                <c:pt idx="167">
                  <c:v>42339</c:v>
                </c:pt>
                <c:pt idx="168">
                  <c:v>42370</c:v>
                </c:pt>
                <c:pt idx="169">
                  <c:v>42401</c:v>
                </c:pt>
                <c:pt idx="170">
                  <c:v>42430</c:v>
                </c:pt>
                <c:pt idx="171">
                  <c:v>42461</c:v>
                </c:pt>
                <c:pt idx="172">
                  <c:v>42491</c:v>
                </c:pt>
                <c:pt idx="173">
                  <c:v>42522</c:v>
                </c:pt>
                <c:pt idx="174">
                  <c:v>42552</c:v>
                </c:pt>
                <c:pt idx="175">
                  <c:v>42583</c:v>
                </c:pt>
                <c:pt idx="176">
                  <c:v>42614</c:v>
                </c:pt>
                <c:pt idx="177">
                  <c:v>42644</c:v>
                </c:pt>
                <c:pt idx="178">
                  <c:v>42675</c:v>
                </c:pt>
                <c:pt idx="179">
                  <c:v>42705</c:v>
                </c:pt>
                <c:pt idx="180">
                  <c:v>42736</c:v>
                </c:pt>
                <c:pt idx="181">
                  <c:v>42767</c:v>
                </c:pt>
                <c:pt idx="182">
                  <c:v>42795</c:v>
                </c:pt>
                <c:pt idx="183">
                  <c:v>42826</c:v>
                </c:pt>
                <c:pt idx="184">
                  <c:v>42856</c:v>
                </c:pt>
                <c:pt idx="185">
                  <c:v>42887</c:v>
                </c:pt>
                <c:pt idx="186">
                  <c:v>42917</c:v>
                </c:pt>
                <c:pt idx="187">
                  <c:v>42948</c:v>
                </c:pt>
                <c:pt idx="188">
                  <c:v>42979</c:v>
                </c:pt>
                <c:pt idx="189">
                  <c:v>43009</c:v>
                </c:pt>
                <c:pt idx="190">
                  <c:v>43040</c:v>
                </c:pt>
                <c:pt idx="191">
                  <c:v>43070</c:v>
                </c:pt>
                <c:pt idx="192">
                  <c:v>43101</c:v>
                </c:pt>
                <c:pt idx="193">
                  <c:v>43132</c:v>
                </c:pt>
                <c:pt idx="194">
                  <c:v>43160</c:v>
                </c:pt>
                <c:pt idx="195">
                  <c:v>43191</c:v>
                </c:pt>
                <c:pt idx="196">
                  <c:v>43221</c:v>
                </c:pt>
                <c:pt idx="197">
                  <c:v>43252</c:v>
                </c:pt>
                <c:pt idx="198">
                  <c:v>43282</c:v>
                </c:pt>
                <c:pt idx="199">
                  <c:v>43313</c:v>
                </c:pt>
                <c:pt idx="200">
                  <c:v>43344</c:v>
                </c:pt>
                <c:pt idx="201">
                  <c:v>43374</c:v>
                </c:pt>
                <c:pt idx="202">
                  <c:v>43405</c:v>
                </c:pt>
                <c:pt idx="203">
                  <c:v>43435</c:v>
                </c:pt>
                <c:pt idx="204">
                  <c:v>43466</c:v>
                </c:pt>
                <c:pt idx="205">
                  <c:v>43497</c:v>
                </c:pt>
                <c:pt idx="206">
                  <c:v>43525</c:v>
                </c:pt>
                <c:pt idx="207">
                  <c:v>43556</c:v>
                </c:pt>
                <c:pt idx="208">
                  <c:v>43586</c:v>
                </c:pt>
                <c:pt idx="209">
                  <c:v>43617</c:v>
                </c:pt>
                <c:pt idx="210">
                  <c:v>43647</c:v>
                </c:pt>
                <c:pt idx="211">
                  <c:v>43678</c:v>
                </c:pt>
                <c:pt idx="212">
                  <c:v>43709</c:v>
                </c:pt>
                <c:pt idx="213">
                  <c:v>43739</c:v>
                </c:pt>
                <c:pt idx="214">
                  <c:v>43770</c:v>
                </c:pt>
                <c:pt idx="215">
                  <c:v>43800</c:v>
                </c:pt>
                <c:pt idx="216">
                  <c:v>43831</c:v>
                </c:pt>
                <c:pt idx="217">
                  <c:v>43862</c:v>
                </c:pt>
                <c:pt idx="218">
                  <c:v>43891</c:v>
                </c:pt>
                <c:pt idx="219">
                  <c:v>43922</c:v>
                </c:pt>
                <c:pt idx="220">
                  <c:v>43952</c:v>
                </c:pt>
                <c:pt idx="221">
                  <c:v>43983</c:v>
                </c:pt>
                <c:pt idx="222">
                  <c:v>44013</c:v>
                </c:pt>
                <c:pt idx="223">
                  <c:v>44044</c:v>
                </c:pt>
                <c:pt idx="224">
                  <c:v>44075</c:v>
                </c:pt>
                <c:pt idx="225">
                  <c:v>44105</c:v>
                </c:pt>
                <c:pt idx="226">
                  <c:v>44136</c:v>
                </c:pt>
                <c:pt idx="227">
                  <c:v>44166</c:v>
                </c:pt>
                <c:pt idx="228">
                  <c:v>44197</c:v>
                </c:pt>
                <c:pt idx="229">
                  <c:v>44228</c:v>
                </c:pt>
                <c:pt idx="230">
                  <c:v>44256</c:v>
                </c:pt>
                <c:pt idx="231">
                  <c:v>44287</c:v>
                </c:pt>
                <c:pt idx="232">
                  <c:v>44317</c:v>
                </c:pt>
                <c:pt idx="233">
                  <c:v>44348</c:v>
                </c:pt>
                <c:pt idx="234">
                  <c:v>44378</c:v>
                </c:pt>
                <c:pt idx="235">
                  <c:v>44409</c:v>
                </c:pt>
                <c:pt idx="236">
                  <c:v>44440</c:v>
                </c:pt>
                <c:pt idx="237">
                  <c:v>44470</c:v>
                </c:pt>
                <c:pt idx="238">
                  <c:v>44501</c:v>
                </c:pt>
                <c:pt idx="239">
                  <c:v>44531</c:v>
                </c:pt>
              </c:numCache>
            </c:numRef>
          </c:cat>
          <c:val>
            <c:numRef>
              <c:f>'Mult series mult spec'!$E$4:$E$243</c:f>
              <c:numCache>
                <c:formatCode>0.0</c:formatCode>
                <c:ptCount val="240"/>
                <c:pt idx="0">
                  <c:v>77.7</c:v>
                </c:pt>
                <c:pt idx="1">
                  <c:v>80.2</c:v>
                </c:pt>
                <c:pt idx="2">
                  <c:v>79.8</c:v>
                </c:pt>
                <c:pt idx="3">
                  <c:v>79.599999999999994</c:v>
                </c:pt>
                <c:pt idx="4">
                  <c:v>79.099999999999994</c:v>
                </c:pt>
                <c:pt idx="5">
                  <c:v>79.400000000000006</c:v>
                </c:pt>
                <c:pt idx="6">
                  <c:v>79.7</c:v>
                </c:pt>
                <c:pt idx="7">
                  <c:v>78.599999999999994</c:v>
                </c:pt>
                <c:pt idx="8">
                  <c:v>79.599999999999994</c:v>
                </c:pt>
                <c:pt idx="9">
                  <c:v>80.099999999999994</c:v>
                </c:pt>
                <c:pt idx="10">
                  <c:v>80.3</c:v>
                </c:pt>
                <c:pt idx="11">
                  <c:v>79.599999999999994</c:v>
                </c:pt>
                <c:pt idx="12">
                  <c:v>79.7</c:v>
                </c:pt>
                <c:pt idx="13">
                  <c:v>79.7</c:v>
                </c:pt>
                <c:pt idx="14">
                  <c:v>79.8</c:v>
                </c:pt>
                <c:pt idx="15">
                  <c:v>79.400000000000006</c:v>
                </c:pt>
                <c:pt idx="16">
                  <c:v>77.8</c:v>
                </c:pt>
                <c:pt idx="17">
                  <c:v>78.2</c:v>
                </c:pt>
                <c:pt idx="18">
                  <c:v>77.400000000000006</c:v>
                </c:pt>
                <c:pt idx="19">
                  <c:v>78.5</c:v>
                </c:pt>
                <c:pt idx="20">
                  <c:v>81.3</c:v>
                </c:pt>
                <c:pt idx="21">
                  <c:v>81.599999999999994</c:v>
                </c:pt>
                <c:pt idx="22">
                  <c:v>82.6</c:v>
                </c:pt>
                <c:pt idx="23">
                  <c:v>81.2</c:v>
                </c:pt>
                <c:pt idx="24">
                  <c:v>82.7</c:v>
                </c:pt>
                <c:pt idx="25">
                  <c:v>84</c:v>
                </c:pt>
                <c:pt idx="26">
                  <c:v>84.5</c:v>
                </c:pt>
                <c:pt idx="27">
                  <c:v>85.1</c:v>
                </c:pt>
                <c:pt idx="28">
                  <c:v>85.9</c:v>
                </c:pt>
                <c:pt idx="29">
                  <c:v>86.1</c:v>
                </c:pt>
                <c:pt idx="30">
                  <c:v>86.7</c:v>
                </c:pt>
                <c:pt idx="31">
                  <c:v>87.6</c:v>
                </c:pt>
                <c:pt idx="32">
                  <c:v>88.2</c:v>
                </c:pt>
                <c:pt idx="33">
                  <c:v>87.5</c:v>
                </c:pt>
                <c:pt idx="34">
                  <c:v>87.5</c:v>
                </c:pt>
                <c:pt idx="35">
                  <c:v>88.3</c:v>
                </c:pt>
                <c:pt idx="36">
                  <c:v>88.7</c:v>
                </c:pt>
                <c:pt idx="37">
                  <c:v>87.4</c:v>
                </c:pt>
                <c:pt idx="38">
                  <c:v>88.2</c:v>
                </c:pt>
                <c:pt idx="39">
                  <c:v>88.3</c:v>
                </c:pt>
                <c:pt idx="40">
                  <c:v>91.3</c:v>
                </c:pt>
                <c:pt idx="41">
                  <c:v>89.5</c:v>
                </c:pt>
                <c:pt idx="42">
                  <c:v>88.9</c:v>
                </c:pt>
                <c:pt idx="43">
                  <c:v>89.1</c:v>
                </c:pt>
                <c:pt idx="44">
                  <c:v>88.3</c:v>
                </c:pt>
                <c:pt idx="45">
                  <c:v>87.6</c:v>
                </c:pt>
                <c:pt idx="46">
                  <c:v>88.6</c:v>
                </c:pt>
                <c:pt idx="47">
                  <c:v>90.5</c:v>
                </c:pt>
                <c:pt idx="48">
                  <c:v>90.8</c:v>
                </c:pt>
                <c:pt idx="49">
                  <c:v>91.4</c:v>
                </c:pt>
                <c:pt idx="50">
                  <c:v>90.7</c:v>
                </c:pt>
                <c:pt idx="51">
                  <c:v>91.4</c:v>
                </c:pt>
                <c:pt idx="52">
                  <c:v>92.2</c:v>
                </c:pt>
                <c:pt idx="53">
                  <c:v>90.6</c:v>
                </c:pt>
                <c:pt idx="54">
                  <c:v>91.6</c:v>
                </c:pt>
                <c:pt idx="55">
                  <c:v>91.4</c:v>
                </c:pt>
                <c:pt idx="56">
                  <c:v>90.4</c:v>
                </c:pt>
                <c:pt idx="57">
                  <c:v>90.7</c:v>
                </c:pt>
                <c:pt idx="58">
                  <c:v>92.1</c:v>
                </c:pt>
                <c:pt idx="59">
                  <c:v>93.3</c:v>
                </c:pt>
                <c:pt idx="60">
                  <c:v>92.7</c:v>
                </c:pt>
                <c:pt idx="61">
                  <c:v>93.9</c:v>
                </c:pt>
                <c:pt idx="62">
                  <c:v>94.9</c:v>
                </c:pt>
                <c:pt idx="63">
                  <c:v>96</c:v>
                </c:pt>
                <c:pt idx="64">
                  <c:v>96.3</c:v>
                </c:pt>
                <c:pt idx="65">
                  <c:v>97</c:v>
                </c:pt>
                <c:pt idx="66">
                  <c:v>96.5</c:v>
                </c:pt>
                <c:pt idx="67">
                  <c:v>97.9</c:v>
                </c:pt>
                <c:pt idx="68">
                  <c:v>97.1</c:v>
                </c:pt>
                <c:pt idx="69">
                  <c:v>99.5</c:v>
                </c:pt>
                <c:pt idx="70">
                  <c:v>98.5</c:v>
                </c:pt>
                <c:pt idx="71">
                  <c:v>98.9</c:v>
                </c:pt>
                <c:pt idx="72">
                  <c:v>100.6</c:v>
                </c:pt>
                <c:pt idx="73">
                  <c:v>100.2</c:v>
                </c:pt>
                <c:pt idx="74">
                  <c:v>100.5</c:v>
                </c:pt>
                <c:pt idx="75">
                  <c:v>100.4</c:v>
                </c:pt>
                <c:pt idx="76">
                  <c:v>101.1</c:v>
                </c:pt>
                <c:pt idx="77">
                  <c:v>102.9</c:v>
                </c:pt>
                <c:pt idx="78">
                  <c:v>103.2</c:v>
                </c:pt>
                <c:pt idx="79">
                  <c:v>101.9</c:v>
                </c:pt>
                <c:pt idx="80">
                  <c:v>103.4</c:v>
                </c:pt>
                <c:pt idx="81">
                  <c:v>100.2</c:v>
                </c:pt>
                <c:pt idx="82">
                  <c:v>94.4</c:v>
                </c:pt>
                <c:pt idx="83">
                  <c:v>83.8</c:v>
                </c:pt>
                <c:pt idx="84">
                  <c:v>85.6</c:v>
                </c:pt>
                <c:pt idx="85">
                  <c:v>87.6</c:v>
                </c:pt>
                <c:pt idx="86">
                  <c:v>88</c:v>
                </c:pt>
                <c:pt idx="87">
                  <c:v>89</c:v>
                </c:pt>
                <c:pt idx="88">
                  <c:v>90.4</c:v>
                </c:pt>
                <c:pt idx="89">
                  <c:v>91.6</c:v>
                </c:pt>
                <c:pt idx="90">
                  <c:v>92.6</c:v>
                </c:pt>
                <c:pt idx="91">
                  <c:v>94</c:v>
                </c:pt>
                <c:pt idx="92">
                  <c:v>95.6</c:v>
                </c:pt>
                <c:pt idx="93">
                  <c:v>97.3</c:v>
                </c:pt>
                <c:pt idx="94">
                  <c:v>98.9</c:v>
                </c:pt>
                <c:pt idx="95">
                  <c:v>99.1</c:v>
                </c:pt>
                <c:pt idx="96">
                  <c:v>100.7</c:v>
                </c:pt>
                <c:pt idx="97">
                  <c:v>100.5</c:v>
                </c:pt>
                <c:pt idx="98">
                  <c:v>103</c:v>
                </c:pt>
                <c:pt idx="99">
                  <c:v>103.2</c:v>
                </c:pt>
                <c:pt idx="100">
                  <c:v>103</c:v>
                </c:pt>
                <c:pt idx="101">
                  <c:v>102.3</c:v>
                </c:pt>
                <c:pt idx="102">
                  <c:v>101.8</c:v>
                </c:pt>
                <c:pt idx="103">
                  <c:v>101.4</c:v>
                </c:pt>
                <c:pt idx="104">
                  <c:v>101.6</c:v>
                </c:pt>
                <c:pt idx="105">
                  <c:v>101.3</c:v>
                </c:pt>
                <c:pt idx="106">
                  <c:v>102.2</c:v>
                </c:pt>
                <c:pt idx="107">
                  <c:v>102.7</c:v>
                </c:pt>
                <c:pt idx="108">
                  <c:v>102.8</c:v>
                </c:pt>
                <c:pt idx="109">
                  <c:v>104.2</c:v>
                </c:pt>
                <c:pt idx="110">
                  <c:v>104.8</c:v>
                </c:pt>
                <c:pt idx="111">
                  <c:v>102.1</c:v>
                </c:pt>
                <c:pt idx="112">
                  <c:v>105.2</c:v>
                </c:pt>
                <c:pt idx="113">
                  <c:v>102.7</c:v>
                </c:pt>
                <c:pt idx="114">
                  <c:v>103.1</c:v>
                </c:pt>
                <c:pt idx="115">
                  <c:v>102.1</c:v>
                </c:pt>
                <c:pt idx="116">
                  <c:v>100.2</c:v>
                </c:pt>
                <c:pt idx="117">
                  <c:v>99.2</c:v>
                </c:pt>
                <c:pt idx="118">
                  <c:v>99.9</c:v>
                </c:pt>
                <c:pt idx="119">
                  <c:v>102.5</c:v>
                </c:pt>
                <c:pt idx="120">
                  <c:v>98</c:v>
                </c:pt>
                <c:pt idx="121">
                  <c:v>99</c:v>
                </c:pt>
                <c:pt idx="122">
                  <c:v>98.3</c:v>
                </c:pt>
                <c:pt idx="123">
                  <c:v>98.5</c:v>
                </c:pt>
                <c:pt idx="124">
                  <c:v>98.9</c:v>
                </c:pt>
                <c:pt idx="125">
                  <c:v>99</c:v>
                </c:pt>
                <c:pt idx="126">
                  <c:v>100.5</c:v>
                </c:pt>
                <c:pt idx="127">
                  <c:v>102.5</c:v>
                </c:pt>
                <c:pt idx="128">
                  <c:v>100.6</c:v>
                </c:pt>
                <c:pt idx="129">
                  <c:v>102.1</c:v>
                </c:pt>
                <c:pt idx="130">
                  <c:v>100.6</c:v>
                </c:pt>
                <c:pt idx="131">
                  <c:v>101.3</c:v>
                </c:pt>
                <c:pt idx="132">
                  <c:v>102.1</c:v>
                </c:pt>
                <c:pt idx="133">
                  <c:v>99.7</c:v>
                </c:pt>
                <c:pt idx="134">
                  <c:v>101.2</c:v>
                </c:pt>
                <c:pt idx="135">
                  <c:v>103</c:v>
                </c:pt>
                <c:pt idx="136">
                  <c:v>102.5</c:v>
                </c:pt>
                <c:pt idx="137">
                  <c:v>103.2</c:v>
                </c:pt>
                <c:pt idx="138">
                  <c:v>102.4</c:v>
                </c:pt>
                <c:pt idx="139">
                  <c:v>102.9</c:v>
                </c:pt>
                <c:pt idx="140">
                  <c:v>103.5</c:v>
                </c:pt>
                <c:pt idx="141">
                  <c:v>102.5</c:v>
                </c:pt>
                <c:pt idx="142">
                  <c:v>103</c:v>
                </c:pt>
                <c:pt idx="143">
                  <c:v>99</c:v>
                </c:pt>
                <c:pt idx="144">
                  <c:v>100.6</c:v>
                </c:pt>
                <c:pt idx="145">
                  <c:v>101.2</c:v>
                </c:pt>
                <c:pt idx="146">
                  <c:v>101</c:v>
                </c:pt>
                <c:pt idx="147">
                  <c:v>100.2</c:v>
                </c:pt>
                <c:pt idx="148">
                  <c:v>98.8</c:v>
                </c:pt>
                <c:pt idx="149">
                  <c:v>96.1</c:v>
                </c:pt>
                <c:pt idx="150">
                  <c:v>98.3</c:v>
                </c:pt>
                <c:pt idx="151">
                  <c:v>99.2</c:v>
                </c:pt>
                <c:pt idx="152">
                  <c:v>99.4</c:v>
                </c:pt>
                <c:pt idx="153">
                  <c:v>99.7</c:v>
                </c:pt>
                <c:pt idx="154">
                  <c:v>98.6</c:v>
                </c:pt>
                <c:pt idx="155">
                  <c:v>95.4</c:v>
                </c:pt>
                <c:pt idx="156">
                  <c:v>96</c:v>
                </c:pt>
                <c:pt idx="157">
                  <c:v>95.4</c:v>
                </c:pt>
                <c:pt idx="158">
                  <c:v>95</c:v>
                </c:pt>
                <c:pt idx="159">
                  <c:v>93</c:v>
                </c:pt>
                <c:pt idx="160">
                  <c:v>92.2</c:v>
                </c:pt>
                <c:pt idx="161">
                  <c:v>91.3</c:v>
                </c:pt>
                <c:pt idx="162">
                  <c:v>89.5</c:v>
                </c:pt>
                <c:pt idx="163">
                  <c:v>90.3</c:v>
                </c:pt>
                <c:pt idx="164">
                  <c:v>88.2</c:v>
                </c:pt>
                <c:pt idx="165">
                  <c:v>88.1</c:v>
                </c:pt>
                <c:pt idx="166">
                  <c:v>86.4</c:v>
                </c:pt>
                <c:pt idx="167">
                  <c:v>84.8</c:v>
                </c:pt>
                <c:pt idx="168">
                  <c:v>86.1</c:v>
                </c:pt>
                <c:pt idx="169">
                  <c:v>84.8</c:v>
                </c:pt>
                <c:pt idx="170">
                  <c:v>85.6</c:v>
                </c:pt>
                <c:pt idx="171">
                  <c:v>85.4</c:v>
                </c:pt>
                <c:pt idx="172">
                  <c:v>85.8</c:v>
                </c:pt>
                <c:pt idx="173">
                  <c:v>84.8</c:v>
                </c:pt>
                <c:pt idx="174">
                  <c:v>85.5</c:v>
                </c:pt>
                <c:pt idx="175">
                  <c:v>83.5</c:v>
                </c:pt>
                <c:pt idx="176">
                  <c:v>84.4</c:v>
                </c:pt>
                <c:pt idx="177">
                  <c:v>83.4</c:v>
                </c:pt>
                <c:pt idx="178">
                  <c:v>84</c:v>
                </c:pt>
                <c:pt idx="179">
                  <c:v>85.5</c:v>
                </c:pt>
                <c:pt idx="180">
                  <c:v>86.4</c:v>
                </c:pt>
                <c:pt idx="181">
                  <c:v>87.4</c:v>
                </c:pt>
                <c:pt idx="182">
                  <c:v>85.6</c:v>
                </c:pt>
                <c:pt idx="183">
                  <c:v>85.9</c:v>
                </c:pt>
                <c:pt idx="184">
                  <c:v>86.2</c:v>
                </c:pt>
                <c:pt idx="185">
                  <c:v>87</c:v>
                </c:pt>
                <c:pt idx="186">
                  <c:v>87.3</c:v>
                </c:pt>
                <c:pt idx="187">
                  <c:v>87</c:v>
                </c:pt>
                <c:pt idx="188">
                  <c:v>87.4</c:v>
                </c:pt>
                <c:pt idx="189">
                  <c:v>88.1</c:v>
                </c:pt>
                <c:pt idx="190">
                  <c:v>88.4</c:v>
                </c:pt>
                <c:pt idx="191">
                  <c:v>91.3</c:v>
                </c:pt>
                <c:pt idx="192">
                  <c:v>88.9</c:v>
                </c:pt>
                <c:pt idx="193">
                  <c:v>88.5</c:v>
                </c:pt>
                <c:pt idx="194">
                  <c:v>89.7</c:v>
                </c:pt>
                <c:pt idx="195">
                  <c:v>90.1</c:v>
                </c:pt>
                <c:pt idx="196">
                  <c:v>80.2</c:v>
                </c:pt>
                <c:pt idx="197">
                  <c:v>90.3</c:v>
                </c:pt>
                <c:pt idx="198">
                  <c:v>90.1</c:v>
                </c:pt>
                <c:pt idx="199">
                  <c:v>88.9</c:v>
                </c:pt>
                <c:pt idx="200">
                  <c:v>86.5</c:v>
                </c:pt>
                <c:pt idx="201">
                  <c:v>87.5</c:v>
                </c:pt>
                <c:pt idx="202">
                  <c:v>87.5</c:v>
                </c:pt>
                <c:pt idx="203">
                  <c:v>87.8</c:v>
                </c:pt>
                <c:pt idx="204">
                  <c:v>86.8</c:v>
                </c:pt>
                <c:pt idx="205">
                  <c:v>87.3</c:v>
                </c:pt>
                <c:pt idx="206">
                  <c:v>87.1</c:v>
                </c:pt>
                <c:pt idx="207">
                  <c:v>87.5</c:v>
                </c:pt>
                <c:pt idx="208">
                  <c:v>87.4</c:v>
                </c:pt>
                <c:pt idx="209">
                  <c:v>86.6</c:v>
                </c:pt>
                <c:pt idx="210">
                  <c:v>86</c:v>
                </c:pt>
                <c:pt idx="211">
                  <c:v>87</c:v>
                </c:pt>
                <c:pt idx="212">
                  <c:v>86.9</c:v>
                </c:pt>
                <c:pt idx="213">
                  <c:v>88.7</c:v>
                </c:pt>
                <c:pt idx="214">
                  <c:v>86.9</c:v>
                </c:pt>
                <c:pt idx="215">
                  <c:v>85.8</c:v>
                </c:pt>
                <c:pt idx="216">
                  <c:v>86.4</c:v>
                </c:pt>
                <c:pt idx="217">
                  <c:v>87.4</c:v>
                </c:pt>
                <c:pt idx="218">
                  <c:v>80.7</c:v>
                </c:pt>
                <c:pt idx="219">
                  <c:v>64.900000000000006</c:v>
                </c:pt>
                <c:pt idx="220">
                  <c:v>70.099999999999994</c:v>
                </c:pt>
                <c:pt idx="221">
                  <c:v>76.8</c:v>
                </c:pt>
                <c:pt idx="222">
                  <c:v>83.9</c:v>
                </c:pt>
                <c:pt idx="223">
                  <c:v>86.3</c:v>
                </c:pt>
                <c:pt idx="224">
                  <c:v>88.7</c:v>
                </c:pt>
                <c:pt idx="225">
                  <c:v>89.7</c:v>
                </c:pt>
                <c:pt idx="226">
                  <c:v>90.2</c:v>
                </c:pt>
                <c:pt idx="227">
                  <c:v>90.3</c:v>
                </c:pt>
                <c:pt idx="228">
                  <c:v>90.5</c:v>
                </c:pt>
                <c:pt idx="229">
                  <c:v>89.6</c:v>
                </c:pt>
                <c:pt idx="230">
                  <c:v>87.5</c:v>
                </c:pt>
                <c:pt idx="231">
                  <c:v>86.1</c:v>
                </c:pt>
                <c:pt idx="232">
                  <c:v>87.1</c:v>
                </c:pt>
                <c:pt idx="233">
                  <c:v>86.7</c:v>
                </c:pt>
                <c:pt idx="234">
                  <c:v>85.3</c:v>
                </c:pt>
                <c:pt idx="235">
                  <c:v>85.1</c:v>
                </c:pt>
                <c:pt idx="236">
                  <c:v>84.6</c:v>
                </c:pt>
                <c:pt idx="237">
                  <c:v>84.2</c:v>
                </c:pt>
                <c:pt idx="238">
                  <c:v>84.2</c:v>
                </c:pt>
                <c:pt idx="239">
                  <c:v>86.6</c:v>
                </c:pt>
              </c:numCache>
            </c:numRef>
          </c:val>
          <c:smooth val="0"/>
          <c:extLst>
            <c:ext xmlns:c16="http://schemas.microsoft.com/office/drawing/2014/chart" uri="{C3380CC4-5D6E-409C-BE32-E72D297353CC}">
              <c16:uniqueId val="{00000001-B07D-41CB-8B50-B3CE12A261D1}"/>
            </c:ext>
          </c:extLst>
        </c:ser>
        <c:dLbls>
          <c:showLegendKey val="0"/>
          <c:showVal val="0"/>
          <c:showCatName val="0"/>
          <c:showSerName val="0"/>
          <c:showPercent val="0"/>
          <c:showBubbleSize val="0"/>
        </c:dLbls>
        <c:smooth val="0"/>
        <c:axId val="780837056"/>
        <c:axId val="780837888"/>
      </c:lineChart>
      <c:dateAx>
        <c:axId val="780837056"/>
        <c:scaling>
          <c:orientation val="minMax"/>
        </c:scaling>
        <c:delete val="0"/>
        <c:axPos val="b"/>
        <c:numFmt formatCode="[$-416]mmm\-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780837888"/>
        <c:crosses val="autoZero"/>
        <c:auto val="1"/>
        <c:lblOffset val="100"/>
        <c:baseTimeUnit val="months"/>
      </c:dateAx>
      <c:valAx>
        <c:axId val="780837888"/>
        <c:scaling>
          <c:orientation val="minMax"/>
          <c:min val="60"/>
        </c:scaling>
        <c:delete val="0"/>
        <c:axPos val="l"/>
        <c:majorGridlines>
          <c:spPr>
            <a:ln w="9525" cap="flat" cmpd="sng" algn="ctr">
              <a:solidFill>
                <a:schemeClr val="tx1">
                  <a:lumMod val="15000"/>
                  <a:lumOff val="85000"/>
                </a:schemeClr>
              </a:solidFill>
              <a:round/>
            </a:ln>
            <a:effectLst/>
          </c:spPr>
        </c:majorGridlines>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780837056"/>
        <c:crosses val="autoZero"/>
        <c:crossBetween val="between"/>
      </c:valAx>
      <c:spPr>
        <a:noFill/>
        <a:ln>
          <a:noFill/>
        </a:ln>
        <a:effectLst/>
      </c:spPr>
    </c:plotArea>
    <c:legend>
      <c:legendPos val="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pt-BR"/>
              <a:t>Industrial</a:t>
            </a:r>
            <a:r>
              <a:rPr lang="pt-BR" baseline="0"/>
              <a:t> Production</a:t>
            </a:r>
            <a:endParaRPr lang="pt-B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pt-BR"/>
        </a:p>
      </c:txPr>
    </c:title>
    <c:autoTitleDeleted val="0"/>
    <c:plotArea>
      <c:layout/>
      <c:lineChart>
        <c:grouping val="standard"/>
        <c:varyColors val="0"/>
        <c:ser>
          <c:idx val="0"/>
          <c:order val="0"/>
          <c:tx>
            <c:strRef>
              <c:f>'Mult series mult spec'!$B$3</c:f>
              <c:strCache>
                <c:ptCount val="1"/>
                <c:pt idx="0">
                  <c:v>Industrial Production</c:v>
                </c:pt>
              </c:strCache>
            </c:strRef>
          </c:tx>
          <c:spPr>
            <a:ln w="28575" cap="rnd">
              <a:solidFill>
                <a:schemeClr val="accent1"/>
              </a:solidFill>
              <a:round/>
            </a:ln>
            <a:effectLst/>
          </c:spPr>
          <c:marker>
            <c:symbol val="none"/>
          </c:marker>
          <c:cat>
            <c:numRef>
              <c:f>'Mult series mult spec'!$A$4:$A$106</c:f>
              <c:numCache>
                <c:formatCode>[$-416]mmm\-yy;@</c:formatCode>
                <c:ptCount val="103"/>
                <c:pt idx="0">
                  <c:v>37257</c:v>
                </c:pt>
                <c:pt idx="1">
                  <c:v>37288</c:v>
                </c:pt>
                <c:pt idx="2">
                  <c:v>37316</c:v>
                </c:pt>
                <c:pt idx="3">
                  <c:v>37347</c:v>
                </c:pt>
                <c:pt idx="4">
                  <c:v>37377</c:v>
                </c:pt>
                <c:pt idx="5">
                  <c:v>37408</c:v>
                </c:pt>
                <c:pt idx="6">
                  <c:v>37438</c:v>
                </c:pt>
                <c:pt idx="7">
                  <c:v>37469</c:v>
                </c:pt>
                <c:pt idx="8">
                  <c:v>37500</c:v>
                </c:pt>
                <c:pt idx="9">
                  <c:v>37530</c:v>
                </c:pt>
                <c:pt idx="10">
                  <c:v>37561</c:v>
                </c:pt>
                <c:pt idx="11">
                  <c:v>37591</c:v>
                </c:pt>
                <c:pt idx="12">
                  <c:v>37622</c:v>
                </c:pt>
                <c:pt idx="13">
                  <c:v>37653</c:v>
                </c:pt>
                <c:pt idx="14">
                  <c:v>37681</c:v>
                </c:pt>
                <c:pt idx="15">
                  <c:v>37712</c:v>
                </c:pt>
                <c:pt idx="16">
                  <c:v>37742</c:v>
                </c:pt>
                <c:pt idx="17">
                  <c:v>37773</c:v>
                </c:pt>
                <c:pt idx="18">
                  <c:v>37803</c:v>
                </c:pt>
                <c:pt idx="19">
                  <c:v>37834</c:v>
                </c:pt>
                <c:pt idx="20">
                  <c:v>37865</c:v>
                </c:pt>
                <c:pt idx="21">
                  <c:v>37895</c:v>
                </c:pt>
                <c:pt idx="22">
                  <c:v>37926</c:v>
                </c:pt>
                <c:pt idx="23">
                  <c:v>37956</c:v>
                </c:pt>
                <c:pt idx="24">
                  <c:v>37987</c:v>
                </c:pt>
                <c:pt idx="25">
                  <c:v>38018</c:v>
                </c:pt>
                <c:pt idx="26">
                  <c:v>38047</c:v>
                </c:pt>
                <c:pt idx="27">
                  <c:v>38078</c:v>
                </c:pt>
                <c:pt idx="28">
                  <c:v>38108</c:v>
                </c:pt>
                <c:pt idx="29">
                  <c:v>38139</c:v>
                </c:pt>
                <c:pt idx="30">
                  <c:v>38169</c:v>
                </c:pt>
                <c:pt idx="31">
                  <c:v>38200</c:v>
                </c:pt>
                <c:pt idx="32">
                  <c:v>38231</c:v>
                </c:pt>
                <c:pt idx="33">
                  <c:v>38261</c:v>
                </c:pt>
                <c:pt idx="34">
                  <c:v>38292</c:v>
                </c:pt>
                <c:pt idx="35">
                  <c:v>38322</c:v>
                </c:pt>
                <c:pt idx="36">
                  <c:v>38353</c:v>
                </c:pt>
                <c:pt idx="37">
                  <c:v>38384</c:v>
                </c:pt>
                <c:pt idx="38">
                  <c:v>38412</c:v>
                </c:pt>
                <c:pt idx="39">
                  <c:v>38443</c:v>
                </c:pt>
                <c:pt idx="40">
                  <c:v>38473</c:v>
                </c:pt>
                <c:pt idx="41">
                  <c:v>38504</c:v>
                </c:pt>
                <c:pt idx="42">
                  <c:v>38534</c:v>
                </c:pt>
                <c:pt idx="43">
                  <c:v>38565</c:v>
                </c:pt>
                <c:pt idx="44">
                  <c:v>38596</c:v>
                </c:pt>
                <c:pt idx="45">
                  <c:v>38626</c:v>
                </c:pt>
                <c:pt idx="46">
                  <c:v>38657</c:v>
                </c:pt>
                <c:pt idx="47">
                  <c:v>38687</c:v>
                </c:pt>
                <c:pt idx="48">
                  <c:v>38718</c:v>
                </c:pt>
                <c:pt idx="49">
                  <c:v>38749</c:v>
                </c:pt>
                <c:pt idx="50">
                  <c:v>38777</c:v>
                </c:pt>
                <c:pt idx="51">
                  <c:v>38808</c:v>
                </c:pt>
                <c:pt idx="52">
                  <c:v>38838</c:v>
                </c:pt>
                <c:pt idx="53">
                  <c:v>38869</c:v>
                </c:pt>
                <c:pt idx="54">
                  <c:v>38899</c:v>
                </c:pt>
                <c:pt idx="55">
                  <c:v>38930</c:v>
                </c:pt>
                <c:pt idx="56">
                  <c:v>38961</c:v>
                </c:pt>
                <c:pt idx="57">
                  <c:v>38991</c:v>
                </c:pt>
                <c:pt idx="58">
                  <c:v>39022</c:v>
                </c:pt>
                <c:pt idx="59">
                  <c:v>39052</c:v>
                </c:pt>
                <c:pt idx="60">
                  <c:v>39083</c:v>
                </c:pt>
                <c:pt idx="61">
                  <c:v>39114</c:v>
                </c:pt>
                <c:pt idx="62">
                  <c:v>39142</c:v>
                </c:pt>
                <c:pt idx="63">
                  <c:v>39173</c:v>
                </c:pt>
                <c:pt idx="64">
                  <c:v>39203</c:v>
                </c:pt>
                <c:pt idx="65">
                  <c:v>39234</c:v>
                </c:pt>
                <c:pt idx="66">
                  <c:v>39264</c:v>
                </c:pt>
                <c:pt idx="67">
                  <c:v>39295</c:v>
                </c:pt>
                <c:pt idx="68">
                  <c:v>39326</c:v>
                </c:pt>
                <c:pt idx="69">
                  <c:v>39356</c:v>
                </c:pt>
                <c:pt idx="70">
                  <c:v>39387</c:v>
                </c:pt>
                <c:pt idx="71">
                  <c:v>39417</c:v>
                </c:pt>
                <c:pt idx="72">
                  <c:v>39448</c:v>
                </c:pt>
                <c:pt idx="73">
                  <c:v>39479</c:v>
                </c:pt>
                <c:pt idx="74">
                  <c:v>39508</c:v>
                </c:pt>
                <c:pt idx="75">
                  <c:v>39539</c:v>
                </c:pt>
                <c:pt idx="76">
                  <c:v>39569</c:v>
                </c:pt>
                <c:pt idx="77">
                  <c:v>39600</c:v>
                </c:pt>
                <c:pt idx="78">
                  <c:v>39630</c:v>
                </c:pt>
                <c:pt idx="79">
                  <c:v>39661</c:v>
                </c:pt>
                <c:pt idx="80">
                  <c:v>39692</c:v>
                </c:pt>
                <c:pt idx="81">
                  <c:v>39722</c:v>
                </c:pt>
                <c:pt idx="82">
                  <c:v>39753</c:v>
                </c:pt>
                <c:pt idx="83">
                  <c:v>39783</c:v>
                </c:pt>
                <c:pt idx="84">
                  <c:v>39814</c:v>
                </c:pt>
                <c:pt idx="85">
                  <c:v>39845</c:v>
                </c:pt>
                <c:pt idx="86">
                  <c:v>39873</c:v>
                </c:pt>
                <c:pt idx="87">
                  <c:v>39904</c:v>
                </c:pt>
                <c:pt idx="88">
                  <c:v>39934</c:v>
                </c:pt>
                <c:pt idx="89">
                  <c:v>39965</c:v>
                </c:pt>
                <c:pt idx="90">
                  <c:v>39995</c:v>
                </c:pt>
                <c:pt idx="91">
                  <c:v>40026</c:v>
                </c:pt>
                <c:pt idx="92">
                  <c:v>40057</c:v>
                </c:pt>
                <c:pt idx="93">
                  <c:v>40087</c:v>
                </c:pt>
                <c:pt idx="94">
                  <c:v>40118</c:v>
                </c:pt>
                <c:pt idx="95">
                  <c:v>40148</c:v>
                </c:pt>
                <c:pt idx="96">
                  <c:v>40179</c:v>
                </c:pt>
                <c:pt idx="97">
                  <c:v>40210</c:v>
                </c:pt>
                <c:pt idx="98">
                  <c:v>40238</c:v>
                </c:pt>
                <c:pt idx="99">
                  <c:v>40269</c:v>
                </c:pt>
                <c:pt idx="100">
                  <c:v>40299</c:v>
                </c:pt>
                <c:pt idx="101">
                  <c:v>40330</c:v>
                </c:pt>
                <c:pt idx="102">
                  <c:v>40360</c:v>
                </c:pt>
              </c:numCache>
            </c:numRef>
          </c:cat>
          <c:val>
            <c:numRef>
              <c:f>'Mult series mult spec'!$B$4:$B$106</c:f>
              <c:numCache>
                <c:formatCode>0.0</c:formatCode>
                <c:ptCount val="103"/>
                <c:pt idx="0">
                  <c:v>72.400000000000006</c:v>
                </c:pt>
                <c:pt idx="1">
                  <c:v>69.7</c:v>
                </c:pt>
                <c:pt idx="2">
                  <c:v>77.400000000000006</c:v>
                </c:pt>
                <c:pt idx="3">
                  <c:v>79.599999999999994</c:v>
                </c:pt>
                <c:pt idx="4">
                  <c:v>80.400000000000006</c:v>
                </c:pt>
                <c:pt idx="5">
                  <c:v>77.5</c:v>
                </c:pt>
                <c:pt idx="6">
                  <c:v>83.3</c:v>
                </c:pt>
                <c:pt idx="7">
                  <c:v>83.6</c:v>
                </c:pt>
                <c:pt idx="8">
                  <c:v>82.1</c:v>
                </c:pt>
                <c:pt idx="9">
                  <c:v>89.2</c:v>
                </c:pt>
                <c:pt idx="10">
                  <c:v>83.9</c:v>
                </c:pt>
                <c:pt idx="11">
                  <c:v>74.599999999999994</c:v>
                </c:pt>
                <c:pt idx="12">
                  <c:v>74</c:v>
                </c:pt>
                <c:pt idx="13">
                  <c:v>71.8</c:v>
                </c:pt>
                <c:pt idx="14">
                  <c:v>77.400000000000006</c:v>
                </c:pt>
                <c:pt idx="15">
                  <c:v>76.5</c:v>
                </c:pt>
                <c:pt idx="16">
                  <c:v>79.7</c:v>
                </c:pt>
                <c:pt idx="17">
                  <c:v>76.3</c:v>
                </c:pt>
                <c:pt idx="18">
                  <c:v>81.3</c:v>
                </c:pt>
                <c:pt idx="19">
                  <c:v>81.599999999999994</c:v>
                </c:pt>
                <c:pt idx="20">
                  <c:v>85.7</c:v>
                </c:pt>
                <c:pt idx="21">
                  <c:v>90</c:v>
                </c:pt>
                <c:pt idx="22">
                  <c:v>84.6</c:v>
                </c:pt>
                <c:pt idx="23">
                  <c:v>77.900000000000006</c:v>
                </c:pt>
                <c:pt idx="24">
                  <c:v>76.8</c:v>
                </c:pt>
                <c:pt idx="25">
                  <c:v>74</c:v>
                </c:pt>
                <c:pt idx="26">
                  <c:v>86.9</c:v>
                </c:pt>
                <c:pt idx="27">
                  <c:v>82.2</c:v>
                </c:pt>
                <c:pt idx="28">
                  <c:v>86.3</c:v>
                </c:pt>
                <c:pt idx="29">
                  <c:v>86.1</c:v>
                </c:pt>
                <c:pt idx="30">
                  <c:v>90.1</c:v>
                </c:pt>
                <c:pt idx="31">
                  <c:v>92.1</c:v>
                </c:pt>
                <c:pt idx="32">
                  <c:v>92.1</c:v>
                </c:pt>
                <c:pt idx="33">
                  <c:v>93.5</c:v>
                </c:pt>
                <c:pt idx="34">
                  <c:v>91.8</c:v>
                </c:pt>
                <c:pt idx="35">
                  <c:v>84.7</c:v>
                </c:pt>
                <c:pt idx="36">
                  <c:v>81</c:v>
                </c:pt>
                <c:pt idx="37">
                  <c:v>76.400000000000006</c:v>
                </c:pt>
                <c:pt idx="38">
                  <c:v>88</c:v>
                </c:pt>
                <c:pt idx="39">
                  <c:v>87</c:v>
                </c:pt>
                <c:pt idx="40">
                  <c:v>91.1</c:v>
                </c:pt>
                <c:pt idx="41">
                  <c:v>91.4</c:v>
                </c:pt>
                <c:pt idx="42">
                  <c:v>90.5</c:v>
                </c:pt>
                <c:pt idx="43">
                  <c:v>95.6</c:v>
                </c:pt>
                <c:pt idx="44">
                  <c:v>92</c:v>
                </c:pt>
                <c:pt idx="45">
                  <c:v>93.7</c:v>
                </c:pt>
                <c:pt idx="46">
                  <c:v>92.4</c:v>
                </c:pt>
                <c:pt idx="47">
                  <c:v>86.6</c:v>
                </c:pt>
                <c:pt idx="48">
                  <c:v>83.7</c:v>
                </c:pt>
                <c:pt idx="49">
                  <c:v>80.2</c:v>
                </c:pt>
                <c:pt idx="50">
                  <c:v>92.4</c:v>
                </c:pt>
                <c:pt idx="51">
                  <c:v>85.7</c:v>
                </c:pt>
                <c:pt idx="52">
                  <c:v>95.4</c:v>
                </c:pt>
                <c:pt idx="53">
                  <c:v>91.1</c:v>
                </c:pt>
                <c:pt idx="54">
                  <c:v>93.8</c:v>
                </c:pt>
                <c:pt idx="55">
                  <c:v>98.6</c:v>
                </c:pt>
                <c:pt idx="56">
                  <c:v>93.2</c:v>
                </c:pt>
                <c:pt idx="57">
                  <c:v>97.5</c:v>
                </c:pt>
                <c:pt idx="58">
                  <c:v>95.9</c:v>
                </c:pt>
                <c:pt idx="59">
                  <c:v>87</c:v>
                </c:pt>
                <c:pt idx="60">
                  <c:v>87</c:v>
                </c:pt>
                <c:pt idx="61">
                  <c:v>82.6</c:v>
                </c:pt>
                <c:pt idx="62">
                  <c:v>96.4</c:v>
                </c:pt>
                <c:pt idx="63">
                  <c:v>90.6</c:v>
                </c:pt>
                <c:pt idx="64">
                  <c:v>99.9</c:v>
                </c:pt>
                <c:pt idx="65">
                  <c:v>96.9</c:v>
                </c:pt>
                <c:pt idx="66">
                  <c:v>99.8</c:v>
                </c:pt>
                <c:pt idx="67">
                  <c:v>104.9</c:v>
                </c:pt>
                <c:pt idx="68">
                  <c:v>98.4</c:v>
                </c:pt>
                <c:pt idx="69">
                  <c:v>107.8</c:v>
                </c:pt>
                <c:pt idx="70">
                  <c:v>102.4</c:v>
                </c:pt>
                <c:pt idx="71">
                  <c:v>92.6</c:v>
                </c:pt>
                <c:pt idx="72">
                  <c:v>94.8</c:v>
                </c:pt>
                <c:pt idx="73">
                  <c:v>91.1</c:v>
                </c:pt>
                <c:pt idx="74">
                  <c:v>97.7</c:v>
                </c:pt>
                <c:pt idx="75">
                  <c:v>99.2</c:v>
                </c:pt>
                <c:pt idx="76">
                  <c:v>102.5</c:v>
                </c:pt>
                <c:pt idx="77">
                  <c:v>103.3</c:v>
                </c:pt>
                <c:pt idx="78">
                  <c:v>108.5</c:v>
                </c:pt>
                <c:pt idx="79">
                  <c:v>106.9</c:v>
                </c:pt>
                <c:pt idx="80">
                  <c:v>107.3</c:v>
                </c:pt>
                <c:pt idx="81">
                  <c:v>108.4</c:v>
                </c:pt>
                <c:pt idx="82">
                  <c:v>96.2</c:v>
                </c:pt>
                <c:pt idx="83">
                  <c:v>79.099999999999994</c:v>
                </c:pt>
                <c:pt idx="84">
                  <c:v>78.7</c:v>
                </c:pt>
                <c:pt idx="85">
                  <c:v>76.099999999999994</c:v>
                </c:pt>
                <c:pt idx="86">
                  <c:v>88.6</c:v>
                </c:pt>
                <c:pt idx="87">
                  <c:v>85.2</c:v>
                </c:pt>
                <c:pt idx="88">
                  <c:v>91.3</c:v>
                </c:pt>
                <c:pt idx="89">
                  <c:v>92.2</c:v>
                </c:pt>
                <c:pt idx="90">
                  <c:v>97.7</c:v>
                </c:pt>
                <c:pt idx="91">
                  <c:v>99.6</c:v>
                </c:pt>
                <c:pt idx="92">
                  <c:v>99.4</c:v>
                </c:pt>
                <c:pt idx="93">
                  <c:v>105.6</c:v>
                </c:pt>
                <c:pt idx="94">
                  <c:v>101.4</c:v>
                </c:pt>
                <c:pt idx="95">
                  <c:v>94.1</c:v>
                </c:pt>
                <c:pt idx="96">
                  <c:v>91.2</c:v>
                </c:pt>
                <c:pt idx="97">
                  <c:v>89</c:v>
                </c:pt>
                <c:pt idx="98">
                  <c:v>105.1</c:v>
                </c:pt>
                <c:pt idx="99">
                  <c:v>99.3</c:v>
                </c:pt>
                <c:pt idx="100">
                  <c:v>104.3</c:v>
                </c:pt>
                <c:pt idx="101">
                  <c:v>102.5</c:v>
                </c:pt>
                <c:pt idx="102">
                  <c:v>106.9</c:v>
                </c:pt>
              </c:numCache>
            </c:numRef>
          </c:val>
          <c:smooth val="0"/>
          <c:extLst>
            <c:ext xmlns:c16="http://schemas.microsoft.com/office/drawing/2014/chart" uri="{C3380CC4-5D6E-409C-BE32-E72D297353CC}">
              <c16:uniqueId val="{00000000-19C2-492B-B965-5005653455B0}"/>
            </c:ext>
          </c:extLst>
        </c:ser>
        <c:ser>
          <c:idx val="1"/>
          <c:order val="1"/>
          <c:tx>
            <c:v>xlDESSAZ SA</c:v>
          </c:tx>
          <c:spPr>
            <a:ln w="28575" cap="rnd">
              <a:solidFill>
                <a:schemeClr val="accent2"/>
              </a:solidFill>
              <a:round/>
            </a:ln>
            <a:effectLst/>
          </c:spPr>
          <c:marker>
            <c:symbol val="none"/>
          </c:marker>
          <c:cat>
            <c:numRef>
              <c:f>'Mult series mult spec'!$A$4:$A$106</c:f>
              <c:numCache>
                <c:formatCode>[$-416]mmm\-yy;@</c:formatCode>
                <c:ptCount val="103"/>
                <c:pt idx="0">
                  <c:v>37257</c:v>
                </c:pt>
                <c:pt idx="1">
                  <c:v>37288</c:v>
                </c:pt>
                <c:pt idx="2">
                  <c:v>37316</c:v>
                </c:pt>
                <c:pt idx="3">
                  <c:v>37347</c:v>
                </c:pt>
                <c:pt idx="4">
                  <c:v>37377</c:v>
                </c:pt>
                <c:pt idx="5">
                  <c:v>37408</c:v>
                </c:pt>
                <c:pt idx="6">
                  <c:v>37438</c:v>
                </c:pt>
                <c:pt idx="7">
                  <c:v>37469</c:v>
                </c:pt>
                <c:pt idx="8">
                  <c:v>37500</c:v>
                </c:pt>
                <c:pt idx="9">
                  <c:v>37530</c:v>
                </c:pt>
                <c:pt idx="10">
                  <c:v>37561</c:v>
                </c:pt>
                <c:pt idx="11">
                  <c:v>37591</c:v>
                </c:pt>
                <c:pt idx="12">
                  <c:v>37622</c:v>
                </c:pt>
                <c:pt idx="13">
                  <c:v>37653</c:v>
                </c:pt>
                <c:pt idx="14">
                  <c:v>37681</c:v>
                </c:pt>
                <c:pt idx="15">
                  <c:v>37712</c:v>
                </c:pt>
                <c:pt idx="16">
                  <c:v>37742</c:v>
                </c:pt>
                <c:pt idx="17">
                  <c:v>37773</c:v>
                </c:pt>
                <c:pt idx="18">
                  <c:v>37803</c:v>
                </c:pt>
                <c:pt idx="19">
                  <c:v>37834</c:v>
                </c:pt>
                <c:pt idx="20">
                  <c:v>37865</c:v>
                </c:pt>
                <c:pt idx="21">
                  <c:v>37895</c:v>
                </c:pt>
                <c:pt idx="22">
                  <c:v>37926</c:v>
                </c:pt>
                <c:pt idx="23">
                  <c:v>37956</c:v>
                </c:pt>
                <c:pt idx="24">
                  <c:v>37987</c:v>
                </c:pt>
                <c:pt idx="25">
                  <c:v>38018</c:v>
                </c:pt>
                <c:pt idx="26">
                  <c:v>38047</c:v>
                </c:pt>
                <c:pt idx="27">
                  <c:v>38078</c:v>
                </c:pt>
                <c:pt idx="28">
                  <c:v>38108</c:v>
                </c:pt>
                <c:pt idx="29">
                  <c:v>38139</c:v>
                </c:pt>
                <c:pt idx="30">
                  <c:v>38169</c:v>
                </c:pt>
                <c:pt idx="31">
                  <c:v>38200</c:v>
                </c:pt>
                <c:pt idx="32">
                  <c:v>38231</c:v>
                </c:pt>
                <c:pt idx="33">
                  <c:v>38261</c:v>
                </c:pt>
                <c:pt idx="34">
                  <c:v>38292</c:v>
                </c:pt>
                <c:pt idx="35">
                  <c:v>38322</c:v>
                </c:pt>
                <c:pt idx="36">
                  <c:v>38353</c:v>
                </c:pt>
                <c:pt idx="37">
                  <c:v>38384</c:v>
                </c:pt>
                <c:pt idx="38">
                  <c:v>38412</c:v>
                </c:pt>
                <c:pt idx="39">
                  <c:v>38443</c:v>
                </c:pt>
                <c:pt idx="40">
                  <c:v>38473</c:v>
                </c:pt>
                <c:pt idx="41">
                  <c:v>38504</c:v>
                </c:pt>
                <c:pt idx="42">
                  <c:v>38534</c:v>
                </c:pt>
                <c:pt idx="43">
                  <c:v>38565</c:v>
                </c:pt>
                <c:pt idx="44">
                  <c:v>38596</c:v>
                </c:pt>
                <c:pt idx="45">
                  <c:v>38626</c:v>
                </c:pt>
                <c:pt idx="46">
                  <c:v>38657</c:v>
                </c:pt>
                <c:pt idx="47">
                  <c:v>38687</c:v>
                </c:pt>
                <c:pt idx="48">
                  <c:v>38718</c:v>
                </c:pt>
                <c:pt idx="49">
                  <c:v>38749</c:v>
                </c:pt>
                <c:pt idx="50">
                  <c:v>38777</c:v>
                </c:pt>
                <c:pt idx="51">
                  <c:v>38808</c:v>
                </c:pt>
                <c:pt idx="52">
                  <c:v>38838</c:v>
                </c:pt>
                <c:pt idx="53">
                  <c:v>38869</c:v>
                </c:pt>
                <c:pt idx="54">
                  <c:v>38899</c:v>
                </c:pt>
                <c:pt idx="55">
                  <c:v>38930</c:v>
                </c:pt>
                <c:pt idx="56">
                  <c:v>38961</c:v>
                </c:pt>
                <c:pt idx="57">
                  <c:v>38991</c:v>
                </c:pt>
                <c:pt idx="58">
                  <c:v>39022</c:v>
                </c:pt>
                <c:pt idx="59">
                  <c:v>39052</c:v>
                </c:pt>
                <c:pt idx="60">
                  <c:v>39083</c:v>
                </c:pt>
                <c:pt idx="61">
                  <c:v>39114</c:v>
                </c:pt>
                <c:pt idx="62">
                  <c:v>39142</c:v>
                </c:pt>
                <c:pt idx="63">
                  <c:v>39173</c:v>
                </c:pt>
                <c:pt idx="64">
                  <c:v>39203</c:v>
                </c:pt>
                <c:pt idx="65">
                  <c:v>39234</c:v>
                </c:pt>
                <c:pt idx="66">
                  <c:v>39264</c:v>
                </c:pt>
                <c:pt idx="67">
                  <c:v>39295</c:v>
                </c:pt>
                <c:pt idx="68">
                  <c:v>39326</c:v>
                </c:pt>
                <c:pt idx="69">
                  <c:v>39356</c:v>
                </c:pt>
                <c:pt idx="70">
                  <c:v>39387</c:v>
                </c:pt>
                <c:pt idx="71">
                  <c:v>39417</c:v>
                </c:pt>
                <c:pt idx="72">
                  <c:v>39448</c:v>
                </c:pt>
                <c:pt idx="73">
                  <c:v>39479</c:v>
                </c:pt>
                <c:pt idx="74">
                  <c:v>39508</c:v>
                </c:pt>
                <c:pt idx="75">
                  <c:v>39539</c:v>
                </c:pt>
                <c:pt idx="76">
                  <c:v>39569</c:v>
                </c:pt>
                <c:pt idx="77">
                  <c:v>39600</c:v>
                </c:pt>
                <c:pt idx="78">
                  <c:v>39630</c:v>
                </c:pt>
                <c:pt idx="79">
                  <c:v>39661</c:v>
                </c:pt>
                <c:pt idx="80">
                  <c:v>39692</c:v>
                </c:pt>
                <c:pt idx="81">
                  <c:v>39722</c:v>
                </c:pt>
                <c:pt idx="82">
                  <c:v>39753</c:v>
                </c:pt>
                <c:pt idx="83">
                  <c:v>39783</c:v>
                </c:pt>
                <c:pt idx="84">
                  <c:v>39814</c:v>
                </c:pt>
                <c:pt idx="85">
                  <c:v>39845</c:v>
                </c:pt>
                <c:pt idx="86">
                  <c:v>39873</c:v>
                </c:pt>
                <c:pt idx="87">
                  <c:v>39904</c:v>
                </c:pt>
                <c:pt idx="88">
                  <c:v>39934</c:v>
                </c:pt>
                <c:pt idx="89">
                  <c:v>39965</c:v>
                </c:pt>
                <c:pt idx="90">
                  <c:v>39995</c:v>
                </c:pt>
                <c:pt idx="91">
                  <c:v>40026</c:v>
                </c:pt>
                <c:pt idx="92">
                  <c:v>40057</c:v>
                </c:pt>
                <c:pt idx="93">
                  <c:v>40087</c:v>
                </c:pt>
                <c:pt idx="94">
                  <c:v>40118</c:v>
                </c:pt>
                <c:pt idx="95">
                  <c:v>40148</c:v>
                </c:pt>
                <c:pt idx="96">
                  <c:v>40179</c:v>
                </c:pt>
                <c:pt idx="97">
                  <c:v>40210</c:v>
                </c:pt>
                <c:pt idx="98">
                  <c:v>40238</c:v>
                </c:pt>
                <c:pt idx="99">
                  <c:v>40269</c:v>
                </c:pt>
                <c:pt idx="100">
                  <c:v>40299</c:v>
                </c:pt>
                <c:pt idx="101">
                  <c:v>40330</c:v>
                </c:pt>
                <c:pt idx="102">
                  <c:v>40360</c:v>
                </c:pt>
              </c:numCache>
            </c:numRef>
          </c:cat>
          <c:val>
            <c:numRef>
              <c:f>'Mult series mult spec'!$I$4:$I$106</c:f>
              <c:numCache>
                <c:formatCode>0.0</c:formatCode>
                <c:ptCount val="103"/>
                <c:pt idx="0">
                  <c:v>77.7</c:v>
                </c:pt>
                <c:pt idx="1">
                  <c:v>80.2</c:v>
                </c:pt>
                <c:pt idx="2">
                  <c:v>79.8</c:v>
                </c:pt>
                <c:pt idx="3">
                  <c:v>79.599999999999994</c:v>
                </c:pt>
                <c:pt idx="4">
                  <c:v>79.099999999999994</c:v>
                </c:pt>
                <c:pt idx="5">
                  <c:v>79.400000000000006</c:v>
                </c:pt>
                <c:pt idx="6">
                  <c:v>79.7</c:v>
                </c:pt>
                <c:pt idx="7">
                  <c:v>78.599999999999994</c:v>
                </c:pt>
                <c:pt idx="8">
                  <c:v>79.599999999999994</c:v>
                </c:pt>
                <c:pt idx="9">
                  <c:v>80.099999999999994</c:v>
                </c:pt>
                <c:pt idx="10">
                  <c:v>80.3</c:v>
                </c:pt>
                <c:pt idx="11">
                  <c:v>79.599999999999994</c:v>
                </c:pt>
                <c:pt idx="12">
                  <c:v>79.7</c:v>
                </c:pt>
                <c:pt idx="13">
                  <c:v>79.7</c:v>
                </c:pt>
                <c:pt idx="14">
                  <c:v>79.8</c:v>
                </c:pt>
                <c:pt idx="15">
                  <c:v>79.400000000000006</c:v>
                </c:pt>
                <c:pt idx="16">
                  <c:v>77.8</c:v>
                </c:pt>
                <c:pt idx="17">
                  <c:v>78.2</c:v>
                </c:pt>
                <c:pt idx="18">
                  <c:v>77.400000000000006</c:v>
                </c:pt>
                <c:pt idx="19">
                  <c:v>78.5</c:v>
                </c:pt>
                <c:pt idx="20">
                  <c:v>81.3</c:v>
                </c:pt>
                <c:pt idx="21">
                  <c:v>81.599999999999994</c:v>
                </c:pt>
                <c:pt idx="22">
                  <c:v>82.6</c:v>
                </c:pt>
                <c:pt idx="23">
                  <c:v>81.2</c:v>
                </c:pt>
                <c:pt idx="24">
                  <c:v>82.7</c:v>
                </c:pt>
                <c:pt idx="25">
                  <c:v>84</c:v>
                </c:pt>
                <c:pt idx="26">
                  <c:v>84.5</c:v>
                </c:pt>
                <c:pt idx="27">
                  <c:v>85.1</c:v>
                </c:pt>
                <c:pt idx="28">
                  <c:v>85.9</c:v>
                </c:pt>
                <c:pt idx="29">
                  <c:v>86.1</c:v>
                </c:pt>
                <c:pt idx="30">
                  <c:v>86.7</c:v>
                </c:pt>
                <c:pt idx="31">
                  <c:v>87.6</c:v>
                </c:pt>
                <c:pt idx="32">
                  <c:v>88.2</c:v>
                </c:pt>
                <c:pt idx="33">
                  <c:v>87.5</c:v>
                </c:pt>
                <c:pt idx="34">
                  <c:v>87.5</c:v>
                </c:pt>
                <c:pt idx="35">
                  <c:v>88.3</c:v>
                </c:pt>
                <c:pt idx="36">
                  <c:v>88.7</c:v>
                </c:pt>
                <c:pt idx="37">
                  <c:v>87.4</c:v>
                </c:pt>
                <c:pt idx="38">
                  <c:v>88.2</c:v>
                </c:pt>
                <c:pt idx="39">
                  <c:v>88.3</c:v>
                </c:pt>
                <c:pt idx="40">
                  <c:v>91.3</c:v>
                </c:pt>
                <c:pt idx="41">
                  <c:v>89.5</c:v>
                </c:pt>
                <c:pt idx="42">
                  <c:v>88.9</c:v>
                </c:pt>
                <c:pt idx="43">
                  <c:v>89.1</c:v>
                </c:pt>
                <c:pt idx="44">
                  <c:v>88.3</c:v>
                </c:pt>
                <c:pt idx="45">
                  <c:v>87.6</c:v>
                </c:pt>
                <c:pt idx="46">
                  <c:v>88.6</c:v>
                </c:pt>
                <c:pt idx="47">
                  <c:v>90.5</c:v>
                </c:pt>
                <c:pt idx="48">
                  <c:v>90.8</c:v>
                </c:pt>
                <c:pt idx="49">
                  <c:v>91.4</c:v>
                </c:pt>
                <c:pt idx="50">
                  <c:v>90.7</c:v>
                </c:pt>
                <c:pt idx="51">
                  <c:v>91.4</c:v>
                </c:pt>
                <c:pt idx="52">
                  <c:v>92.2</c:v>
                </c:pt>
                <c:pt idx="53">
                  <c:v>90.6</c:v>
                </c:pt>
                <c:pt idx="54">
                  <c:v>91.6</c:v>
                </c:pt>
                <c:pt idx="55">
                  <c:v>91.4</c:v>
                </c:pt>
                <c:pt idx="56">
                  <c:v>90.4</c:v>
                </c:pt>
                <c:pt idx="57">
                  <c:v>90.7</c:v>
                </c:pt>
                <c:pt idx="58">
                  <c:v>92.1</c:v>
                </c:pt>
                <c:pt idx="59">
                  <c:v>93.3</c:v>
                </c:pt>
                <c:pt idx="60">
                  <c:v>92.7</c:v>
                </c:pt>
                <c:pt idx="61">
                  <c:v>93.9</c:v>
                </c:pt>
                <c:pt idx="62">
                  <c:v>94.9</c:v>
                </c:pt>
                <c:pt idx="63">
                  <c:v>96</c:v>
                </c:pt>
                <c:pt idx="64">
                  <c:v>96.3</c:v>
                </c:pt>
                <c:pt idx="65">
                  <c:v>97</c:v>
                </c:pt>
                <c:pt idx="66">
                  <c:v>96.5</c:v>
                </c:pt>
                <c:pt idx="67">
                  <c:v>97.9</c:v>
                </c:pt>
                <c:pt idx="68">
                  <c:v>97.1</c:v>
                </c:pt>
                <c:pt idx="69">
                  <c:v>99.5</c:v>
                </c:pt>
                <c:pt idx="70">
                  <c:v>98.5</c:v>
                </c:pt>
                <c:pt idx="71">
                  <c:v>98.9</c:v>
                </c:pt>
                <c:pt idx="72">
                  <c:v>100.6</c:v>
                </c:pt>
                <c:pt idx="73">
                  <c:v>100.2</c:v>
                </c:pt>
                <c:pt idx="74">
                  <c:v>100.5</c:v>
                </c:pt>
                <c:pt idx="75">
                  <c:v>100.4</c:v>
                </c:pt>
                <c:pt idx="76">
                  <c:v>101.1</c:v>
                </c:pt>
                <c:pt idx="77">
                  <c:v>102.9</c:v>
                </c:pt>
                <c:pt idx="78">
                  <c:v>103.2</c:v>
                </c:pt>
                <c:pt idx="79">
                  <c:v>101.9</c:v>
                </c:pt>
                <c:pt idx="80">
                  <c:v>103.4</c:v>
                </c:pt>
                <c:pt idx="81">
                  <c:v>100.2</c:v>
                </c:pt>
                <c:pt idx="82">
                  <c:v>94.4</c:v>
                </c:pt>
                <c:pt idx="83">
                  <c:v>83.8</c:v>
                </c:pt>
                <c:pt idx="84">
                  <c:v>85.6</c:v>
                </c:pt>
                <c:pt idx="85">
                  <c:v>87.6</c:v>
                </c:pt>
                <c:pt idx="86">
                  <c:v>88</c:v>
                </c:pt>
                <c:pt idx="87">
                  <c:v>89</c:v>
                </c:pt>
                <c:pt idx="88">
                  <c:v>90.4</c:v>
                </c:pt>
                <c:pt idx="89">
                  <c:v>91.6</c:v>
                </c:pt>
                <c:pt idx="90">
                  <c:v>92.6</c:v>
                </c:pt>
                <c:pt idx="91">
                  <c:v>94</c:v>
                </c:pt>
                <c:pt idx="92">
                  <c:v>95.6</c:v>
                </c:pt>
                <c:pt idx="93">
                  <c:v>97.3</c:v>
                </c:pt>
                <c:pt idx="94">
                  <c:v>98.9</c:v>
                </c:pt>
                <c:pt idx="95">
                  <c:v>99.1</c:v>
                </c:pt>
                <c:pt idx="96">
                  <c:v>100.7</c:v>
                </c:pt>
                <c:pt idx="97">
                  <c:v>100.5</c:v>
                </c:pt>
                <c:pt idx="98">
                  <c:v>103</c:v>
                </c:pt>
                <c:pt idx="99">
                  <c:v>103.2</c:v>
                </c:pt>
                <c:pt idx="100">
                  <c:v>103</c:v>
                </c:pt>
                <c:pt idx="101">
                  <c:v>102.3</c:v>
                </c:pt>
                <c:pt idx="102">
                  <c:v>101.8</c:v>
                </c:pt>
              </c:numCache>
            </c:numRef>
          </c:val>
          <c:smooth val="0"/>
          <c:extLst>
            <c:ext xmlns:c16="http://schemas.microsoft.com/office/drawing/2014/chart" uri="{C3380CC4-5D6E-409C-BE32-E72D297353CC}">
              <c16:uniqueId val="{00000001-19C2-492B-B965-5005653455B0}"/>
            </c:ext>
          </c:extLst>
        </c:ser>
        <c:dLbls>
          <c:showLegendKey val="0"/>
          <c:showVal val="0"/>
          <c:showCatName val="0"/>
          <c:showSerName val="0"/>
          <c:showPercent val="0"/>
          <c:showBubbleSize val="0"/>
        </c:dLbls>
        <c:smooth val="0"/>
        <c:axId val="780837056"/>
        <c:axId val="780837888"/>
      </c:lineChart>
      <c:dateAx>
        <c:axId val="780837056"/>
        <c:scaling>
          <c:orientation val="minMax"/>
        </c:scaling>
        <c:delete val="0"/>
        <c:axPos val="b"/>
        <c:numFmt formatCode="[$-416]mmm\-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780837888"/>
        <c:crosses val="autoZero"/>
        <c:auto val="1"/>
        <c:lblOffset val="100"/>
        <c:baseTimeUnit val="months"/>
      </c:dateAx>
      <c:valAx>
        <c:axId val="780837888"/>
        <c:scaling>
          <c:orientation val="minMax"/>
          <c:max val="120"/>
          <c:min val="60"/>
        </c:scaling>
        <c:delete val="0"/>
        <c:axPos val="l"/>
        <c:majorGridlines>
          <c:spPr>
            <a:ln w="9525" cap="flat" cmpd="sng" algn="ctr">
              <a:solidFill>
                <a:schemeClr val="tx1">
                  <a:lumMod val="15000"/>
                  <a:lumOff val="85000"/>
                </a:schemeClr>
              </a:solidFill>
              <a:round/>
            </a:ln>
            <a:effectLst/>
          </c:spPr>
        </c:majorGridlines>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780837056"/>
        <c:crosses val="autoZero"/>
        <c:crossBetween val="between"/>
        <c:majorUnit val="10"/>
      </c:valAx>
      <c:spPr>
        <a:noFill/>
        <a:ln>
          <a:noFill/>
        </a:ln>
        <a:effectLst/>
      </c:spPr>
    </c:plotArea>
    <c:legend>
      <c:legendPos val="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pt-BR"/>
              <a:t>Difference of SAs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pt-BR"/>
        </a:p>
      </c:txPr>
    </c:title>
    <c:autoTitleDeleted val="0"/>
    <c:plotArea>
      <c:layout/>
      <c:barChart>
        <c:barDir val="col"/>
        <c:grouping val="clustered"/>
        <c:varyColors val="0"/>
        <c:ser>
          <c:idx val="0"/>
          <c:order val="0"/>
          <c:tx>
            <c:strRef>
              <c:f>'Mult series mult spec'!$M$3</c:f>
              <c:strCache>
                <c:ptCount val="1"/>
                <c:pt idx="0">
                  <c:v>General</c:v>
                </c:pt>
              </c:strCache>
            </c:strRef>
          </c:tx>
          <c:spPr>
            <a:solidFill>
              <a:schemeClr val="accent1"/>
            </a:solidFill>
            <a:ln>
              <a:noFill/>
            </a:ln>
            <a:effectLst/>
          </c:spPr>
          <c:invertIfNegative val="0"/>
          <c:cat>
            <c:numRef>
              <c:f>'Mult series mult spec'!$A$4:$A$106</c:f>
              <c:numCache>
                <c:formatCode>[$-416]mmm\-yy;@</c:formatCode>
                <c:ptCount val="103"/>
                <c:pt idx="0">
                  <c:v>37257</c:v>
                </c:pt>
                <c:pt idx="1">
                  <c:v>37288</c:v>
                </c:pt>
                <c:pt idx="2">
                  <c:v>37316</c:v>
                </c:pt>
                <c:pt idx="3">
                  <c:v>37347</c:v>
                </c:pt>
                <c:pt idx="4">
                  <c:v>37377</c:v>
                </c:pt>
                <c:pt idx="5">
                  <c:v>37408</c:v>
                </c:pt>
                <c:pt idx="6">
                  <c:v>37438</c:v>
                </c:pt>
                <c:pt idx="7">
                  <c:v>37469</c:v>
                </c:pt>
                <c:pt idx="8">
                  <c:v>37500</c:v>
                </c:pt>
                <c:pt idx="9">
                  <c:v>37530</c:v>
                </c:pt>
                <c:pt idx="10">
                  <c:v>37561</c:v>
                </c:pt>
                <c:pt idx="11">
                  <c:v>37591</c:v>
                </c:pt>
                <c:pt idx="12">
                  <c:v>37622</c:v>
                </c:pt>
                <c:pt idx="13">
                  <c:v>37653</c:v>
                </c:pt>
                <c:pt idx="14">
                  <c:v>37681</c:v>
                </c:pt>
                <c:pt idx="15">
                  <c:v>37712</c:v>
                </c:pt>
                <c:pt idx="16">
                  <c:v>37742</c:v>
                </c:pt>
                <c:pt idx="17">
                  <c:v>37773</c:v>
                </c:pt>
                <c:pt idx="18">
                  <c:v>37803</c:v>
                </c:pt>
                <c:pt idx="19">
                  <c:v>37834</c:v>
                </c:pt>
                <c:pt idx="20">
                  <c:v>37865</c:v>
                </c:pt>
                <c:pt idx="21">
                  <c:v>37895</c:v>
                </c:pt>
                <c:pt idx="22">
                  <c:v>37926</c:v>
                </c:pt>
                <c:pt idx="23">
                  <c:v>37956</c:v>
                </c:pt>
                <c:pt idx="24">
                  <c:v>37987</c:v>
                </c:pt>
                <c:pt idx="25">
                  <c:v>38018</c:v>
                </c:pt>
                <c:pt idx="26">
                  <c:v>38047</c:v>
                </c:pt>
                <c:pt idx="27">
                  <c:v>38078</c:v>
                </c:pt>
                <c:pt idx="28">
                  <c:v>38108</c:v>
                </c:pt>
                <c:pt idx="29">
                  <c:v>38139</c:v>
                </c:pt>
                <c:pt idx="30">
                  <c:v>38169</c:v>
                </c:pt>
                <c:pt idx="31">
                  <c:v>38200</c:v>
                </c:pt>
                <c:pt idx="32">
                  <c:v>38231</c:v>
                </c:pt>
                <c:pt idx="33">
                  <c:v>38261</c:v>
                </c:pt>
                <c:pt idx="34">
                  <c:v>38292</c:v>
                </c:pt>
                <c:pt idx="35">
                  <c:v>38322</c:v>
                </c:pt>
                <c:pt idx="36">
                  <c:v>38353</c:v>
                </c:pt>
                <c:pt idx="37">
                  <c:v>38384</c:v>
                </c:pt>
                <c:pt idx="38">
                  <c:v>38412</c:v>
                </c:pt>
                <c:pt idx="39">
                  <c:v>38443</c:v>
                </c:pt>
                <c:pt idx="40">
                  <c:v>38473</c:v>
                </c:pt>
                <c:pt idx="41">
                  <c:v>38504</c:v>
                </c:pt>
                <c:pt idx="42">
                  <c:v>38534</c:v>
                </c:pt>
                <c:pt idx="43">
                  <c:v>38565</c:v>
                </c:pt>
                <c:pt idx="44">
                  <c:v>38596</c:v>
                </c:pt>
                <c:pt idx="45">
                  <c:v>38626</c:v>
                </c:pt>
                <c:pt idx="46">
                  <c:v>38657</c:v>
                </c:pt>
                <c:pt idx="47">
                  <c:v>38687</c:v>
                </c:pt>
                <c:pt idx="48">
                  <c:v>38718</c:v>
                </c:pt>
                <c:pt idx="49">
                  <c:v>38749</c:v>
                </c:pt>
                <c:pt idx="50">
                  <c:v>38777</c:v>
                </c:pt>
                <c:pt idx="51">
                  <c:v>38808</c:v>
                </c:pt>
                <c:pt idx="52">
                  <c:v>38838</c:v>
                </c:pt>
                <c:pt idx="53">
                  <c:v>38869</c:v>
                </c:pt>
                <c:pt idx="54">
                  <c:v>38899</c:v>
                </c:pt>
                <c:pt idx="55">
                  <c:v>38930</c:v>
                </c:pt>
                <c:pt idx="56">
                  <c:v>38961</c:v>
                </c:pt>
                <c:pt idx="57">
                  <c:v>38991</c:v>
                </c:pt>
                <c:pt idx="58">
                  <c:v>39022</c:v>
                </c:pt>
                <c:pt idx="59">
                  <c:v>39052</c:v>
                </c:pt>
                <c:pt idx="60">
                  <c:v>39083</c:v>
                </c:pt>
                <c:pt idx="61">
                  <c:v>39114</c:v>
                </c:pt>
                <c:pt idx="62">
                  <c:v>39142</c:v>
                </c:pt>
                <c:pt idx="63">
                  <c:v>39173</c:v>
                </c:pt>
                <c:pt idx="64">
                  <c:v>39203</c:v>
                </c:pt>
                <c:pt idx="65">
                  <c:v>39234</c:v>
                </c:pt>
                <c:pt idx="66">
                  <c:v>39264</c:v>
                </c:pt>
                <c:pt idx="67">
                  <c:v>39295</c:v>
                </c:pt>
                <c:pt idx="68">
                  <c:v>39326</c:v>
                </c:pt>
                <c:pt idx="69">
                  <c:v>39356</c:v>
                </c:pt>
                <c:pt idx="70">
                  <c:v>39387</c:v>
                </c:pt>
                <c:pt idx="71">
                  <c:v>39417</c:v>
                </c:pt>
                <c:pt idx="72">
                  <c:v>39448</c:v>
                </c:pt>
                <c:pt idx="73">
                  <c:v>39479</c:v>
                </c:pt>
                <c:pt idx="74">
                  <c:v>39508</c:v>
                </c:pt>
                <c:pt idx="75">
                  <c:v>39539</c:v>
                </c:pt>
                <c:pt idx="76">
                  <c:v>39569</c:v>
                </c:pt>
                <c:pt idx="77">
                  <c:v>39600</c:v>
                </c:pt>
                <c:pt idx="78">
                  <c:v>39630</c:v>
                </c:pt>
                <c:pt idx="79">
                  <c:v>39661</c:v>
                </c:pt>
                <c:pt idx="80">
                  <c:v>39692</c:v>
                </c:pt>
                <c:pt idx="81">
                  <c:v>39722</c:v>
                </c:pt>
                <c:pt idx="82">
                  <c:v>39753</c:v>
                </c:pt>
                <c:pt idx="83">
                  <c:v>39783</c:v>
                </c:pt>
                <c:pt idx="84">
                  <c:v>39814</c:v>
                </c:pt>
                <c:pt idx="85">
                  <c:v>39845</c:v>
                </c:pt>
                <c:pt idx="86">
                  <c:v>39873</c:v>
                </c:pt>
                <c:pt idx="87">
                  <c:v>39904</c:v>
                </c:pt>
                <c:pt idx="88">
                  <c:v>39934</c:v>
                </c:pt>
                <c:pt idx="89">
                  <c:v>39965</c:v>
                </c:pt>
                <c:pt idx="90">
                  <c:v>39995</c:v>
                </c:pt>
                <c:pt idx="91">
                  <c:v>40026</c:v>
                </c:pt>
                <c:pt idx="92">
                  <c:v>40057</c:v>
                </c:pt>
                <c:pt idx="93">
                  <c:v>40087</c:v>
                </c:pt>
                <c:pt idx="94">
                  <c:v>40118</c:v>
                </c:pt>
                <c:pt idx="95">
                  <c:v>40148</c:v>
                </c:pt>
                <c:pt idx="96">
                  <c:v>40179</c:v>
                </c:pt>
                <c:pt idx="97">
                  <c:v>40210</c:v>
                </c:pt>
                <c:pt idx="98">
                  <c:v>40238</c:v>
                </c:pt>
                <c:pt idx="99">
                  <c:v>40269</c:v>
                </c:pt>
                <c:pt idx="100">
                  <c:v>40299</c:v>
                </c:pt>
                <c:pt idx="101">
                  <c:v>40330</c:v>
                </c:pt>
                <c:pt idx="102">
                  <c:v>40360</c:v>
                </c:pt>
              </c:numCache>
            </c:numRef>
          </c:cat>
          <c:val>
            <c:numRef>
              <c:f>'Mult series mult spec'!$M$4:$M$106</c:f>
              <c:numCache>
                <c:formatCode>0.0%</c:formatCode>
                <c:ptCount val="103"/>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numCache>
            </c:numRef>
          </c:val>
          <c:extLst>
            <c:ext xmlns:c16="http://schemas.microsoft.com/office/drawing/2014/chart" uri="{C3380CC4-5D6E-409C-BE32-E72D297353CC}">
              <c16:uniqueId val="{00000000-A926-4E81-866A-4CFB08D6871A}"/>
            </c:ext>
          </c:extLst>
        </c:ser>
        <c:ser>
          <c:idx val="1"/>
          <c:order val="1"/>
          <c:tx>
            <c:strRef>
              <c:f>'Mult series mult spec'!$N$3</c:f>
              <c:strCache>
                <c:ptCount val="1"/>
                <c:pt idx="0">
                  <c:v>Extractive</c:v>
                </c:pt>
              </c:strCache>
            </c:strRef>
          </c:tx>
          <c:spPr>
            <a:solidFill>
              <a:schemeClr val="accent2"/>
            </a:solidFill>
            <a:ln>
              <a:noFill/>
            </a:ln>
            <a:effectLst/>
          </c:spPr>
          <c:invertIfNegative val="0"/>
          <c:cat>
            <c:numRef>
              <c:f>'Mult series mult spec'!$A$4:$A$106</c:f>
              <c:numCache>
                <c:formatCode>[$-416]mmm\-yy;@</c:formatCode>
                <c:ptCount val="103"/>
                <c:pt idx="0">
                  <c:v>37257</c:v>
                </c:pt>
                <c:pt idx="1">
                  <c:v>37288</c:v>
                </c:pt>
                <c:pt idx="2">
                  <c:v>37316</c:v>
                </c:pt>
                <c:pt idx="3">
                  <c:v>37347</c:v>
                </c:pt>
                <c:pt idx="4">
                  <c:v>37377</c:v>
                </c:pt>
                <c:pt idx="5">
                  <c:v>37408</c:v>
                </c:pt>
                <c:pt idx="6">
                  <c:v>37438</c:v>
                </c:pt>
                <c:pt idx="7">
                  <c:v>37469</c:v>
                </c:pt>
                <c:pt idx="8">
                  <c:v>37500</c:v>
                </c:pt>
                <c:pt idx="9">
                  <c:v>37530</c:v>
                </c:pt>
                <c:pt idx="10">
                  <c:v>37561</c:v>
                </c:pt>
                <c:pt idx="11">
                  <c:v>37591</c:v>
                </c:pt>
                <c:pt idx="12">
                  <c:v>37622</c:v>
                </c:pt>
                <c:pt idx="13">
                  <c:v>37653</c:v>
                </c:pt>
                <c:pt idx="14">
                  <c:v>37681</c:v>
                </c:pt>
                <c:pt idx="15">
                  <c:v>37712</c:v>
                </c:pt>
                <c:pt idx="16">
                  <c:v>37742</c:v>
                </c:pt>
                <c:pt idx="17">
                  <c:v>37773</c:v>
                </c:pt>
                <c:pt idx="18">
                  <c:v>37803</c:v>
                </c:pt>
                <c:pt idx="19">
                  <c:v>37834</c:v>
                </c:pt>
                <c:pt idx="20">
                  <c:v>37865</c:v>
                </c:pt>
                <c:pt idx="21">
                  <c:v>37895</c:v>
                </c:pt>
                <c:pt idx="22">
                  <c:v>37926</c:v>
                </c:pt>
                <c:pt idx="23">
                  <c:v>37956</c:v>
                </c:pt>
                <c:pt idx="24">
                  <c:v>37987</c:v>
                </c:pt>
                <c:pt idx="25">
                  <c:v>38018</c:v>
                </c:pt>
                <c:pt idx="26">
                  <c:v>38047</c:v>
                </c:pt>
                <c:pt idx="27">
                  <c:v>38078</c:v>
                </c:pt>
                <c:pt idx="28">
                  <c:v>38108</c:v>
                </c:pt>
                <c:pt idx="29">
                  <c:v>38139</c:v>
                </c:pt>
                <c:pt idx="30">
                  <c:v>38169</c:v>
                </c:pt>
                <c:pt idx="31">
                  <c:v>38200</c:v>
                </c:pt>
                <c:pt idx="32">
                  <c:v>38231</c:v>
                </c:pt>
                <c:pt idx="33">
                  <c:v>38261</c:v>
                </c:pt>
                <c:pt idx="34">
                  <c:v>38292</c:v>
                </c:pt>
                <c:pt idx="35">
                  <c:v>38322</c:v>
                </c:pt>
                <c:pt idx="36">
                  <c:v>38353</c:v>
                </c:pt>
                <c:pt idx="37">
                  <c:v>38384</c:v>
                </c:pt>
                <c:pt idx="38">
                  <c:v>38412</c:v>
                </c:pt>
                <c:pt idx="39">
                  <c:v>38443</c:v>
                </c:pt>
                <c:pt idx="40">
                  <c:v>38473</c:v>
                </c:pt>
                <c:pt idx="41">
                  <c:v>38504</c:v>
                </c:pt>
                <c:pt idx="42">
                  <c:v>38534</c:v>
                </c:pt>
                <c:pt idx="43">
                  <c:v>38565</c:v>
                </c:pt>
                <c:pt idx="44">
                  <c:v>38596</c:v>
                </c:pt>
                <c:pt idx="45">
                  <c:v>38626</c:v>
                </c:pt>
                <c:pt idx="46">
                  <c:v>38657</c:v>
                </c:pt>
                <c:pt idx="47">
                  <c:v>38687</c:v>
                </c:pt>
                <c:pt idx="48">
                  <c:v>38718</c:v>
                </c:pt>
                <c:pt idx="49">
                  <c:v>38749</c:v>
                </c:pt>
                <c:pt idx="50">
                  <c:v>38777</c:v>
                </c:pt>
                <c:pt idx="51">
                  <c:v>38808</c:v>
                </c:pt>
                <c:pt idx="52">
                  <c:v>38838</c:v>
                </c:pt>
                <c:pt idx="53">
                  <c:v>38869</c:v>
                </c:pt>
                <c:pt idx="54">
                  <c:v>38899</c:v>
                </c:pt>
                <c:pt idx="55">
                  <c:v>38930</c:v>
                </c:pt>
                <c:pt idx="56">
                  <c:v>38961</c:v>
                </c:pt>
                <c:pt idx="57">
                  <c:v>38991</c:v>
                </c:pt>
                <c:pt idx="58">
                  <c:v>39022</c:v>
                </c:pt>
                <c:pt idx="59">
                  <c:v>39052</c:v>
                </c:pt>
                <c:pt idx="60">
                  <c:v>39083</c:v>
                </c:pt>
                <c:pt idx="61">
                  <c:v>39114</c:v>
                </c:pt>
                <c:pt idx="62">
                  <c:v>39142</c:v>
                </c:pt>
                <c:pt idx="63">
                  <c:v>39173</c:v>
                </c:pt>
                <c:pt idx="64">
                  <c:v>39203</c:v>
                </c:pt>
                <c:pt idx="65">
                  <c:v>39234</c:v>
                </c:pt>
                <c:pt idx="66">
                  <c:v>39264</c:v>
                </c:pt>
                <c:pt idx="67">
                  <c:v>39295</c:v>
                </c:pt>
                <c:pt idx="68">
                  <c:v>39326</c:v>
                </c:pt>
                <c:pt idx="69">
                  <c:v>39356</c:v>
                </c:pt>
                <c:pt idx="70">
                  <c:v>39387</c:v>
                </c:pt>
                <c:pt idx="71">
                  <c:v>39417</c:v>
                </c:pt>
                <c:pt idx="72">
                  <c:v>39448</c:v>
                </c:pt>
                <c:pt idx="73">
                  <c:v>39479</c:v>
                </c:pt>
                <c:pt idx="74">
                  <c:v>39508</c:v>
                </c:pt>
                <c:pt idx="75">
                  <c:v>39539</c:v>
                </c:pt>
                <c:pt idx="76">
                  <c:v>39569</c:v>
                </c:pt>
                <c:pt idx="77">
                  <c:v>39600</c:v>
                </c:pt>
                <c:pt idx="78">
                  <c:v>39630</c:v>
                </c:pt>
                <c:pt idx="79">
                  <c:v>39661</c:v>
                </c:pt>
                <c:pt idx="80">
                  <c:v>39692</c:v>
                </c:pt>
                <c:pt idx="81">
                  <c:v>39722</c:v>
                </c:pt>
                <c:pt idx="82">
                  <c:v>39753</c:v>
                </c:pt>
                <c:pt idx="83">
                  <c:v>39783</c:v>
                </c:pt>
                <c:pt idx="84">
                  <c:v>39814</c:v>
                </c:pt>
                <c:pt idx="85">
                  <c:v>39845</c:v>
                </c:pt>
                <c:pt idx="86">
                  <c:v>39873</c:v>
                </c:pt>
                <c:pt idx="87">
                  <c:v>39904</c:v>
                </c:pt>
                <c:pt idx="88">
                  <c:v>39934</c:v>
                </c:pt>
                <c:pt idx="89">
                  <c:v>39965</c:v>
                </c:pt>
                <c:pt idx="90">
                  <c:v>39995</c:v>
                </c:pt>
                <c:pt idx="91">
                  <c:v>40026</c:v>
                </c:pt>
                <c:pt idx="92">
                  <c:v>40057</c:v>
                </c:pt>
                <c:pt idx="93">
                  <c:v>40087</c:v>
                </c:pt>
                <c:pt idx="94">
                  <c:v>40118</c:v>
                </c:pt>
                <c:pt idx="95">
                  <c:v>40148</c:v>
                </c:pt>
                <c:pt idx="96">
                  <c:v>40179</c:v>
                </c:pt>
                <c:pt idx="97">
                  <c:v>40210</c:v>
                </c:pt>
                <c:pt idx="98">
                  <c:v>40238</c:v>
                </c:pt>
                <c:pt idx="99">
                  <c:v>40269</c:v>
                </c:pt>
                <c:pt idx="100">
                  <c:v>40299</c:v>
                </c:pt>
                <c:pt idx="101">
                  <c:v>40330</c:v>
                </c:pt>
                <c:pt idx="102">
                  <c:v>40360</c:v>
                </c:pt>
              </c:numCache>
            </c:numRef>
          </c:cat>
          <c:val>
            <c:numRef>
              <c:f>'Mult series mult spec'!$N$4:$N$106</c:f>
              <c:numCache>
                <c:formatCode>0.0%</c:formatCode>
                <c:ptCount val="103"/>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numCache>
            </c:numRef>
          </c:val>
          <c:extLst>
            <c:ext xmlns:c16="http://schemas.microsoft.com/office/drawing/2014/chart" uri="{C3380CC4-5D6E-409C-BE32-E72D297353CC}">
              <c16:uniqueId val="{00000001-2CB7-491F-A27F-F46FEE077EE3}"/>
            </c:ext>
          </c:extLst>
        </c:ser>
        <c:ser>
          <c:idx val="2"/>
          <c:order val="2"/>
          <c:tx>
            <c:strRef>
              <c:f>'Mult series mult spec'!$O$3</c:f>
              <c:strCache>
                <c:ptCount val="1"/>
                <c:pt idx="0">
                  <c:v>Transform</c:v>
                </c:pt>
              </c:strCache>
            </c:strRef>
          </c:tx>
          <c:spPr>
            <a:solidFill>
              <a:schemeClr val="accent3"/>
            </a:solidFill>
            <a:ln>
              <a:noFill/>
            </a:ln>
            <a:effectLst/>
          </c:spPr>
          <c:invertIfNegative val="0"/>
          <c:cat>
            <c:numRef>
              <c:f>'Mult series mult spec'!$A$4:$A$106</c:f>
              <c:numCache>
                <c:formatCode>[$-416]mmm\-yy;@</c:formatCode>
                <c:ptCount val="103"/>
                <c:pt idx="0">
                  <c:v>37257</c:v>
                </c:pt>
                <c:pt idx="1">
                  <c:v>37288</c:v>
                </c:pt>
                <c:pt idx="2">
                  <c:v>37316</c:v>
                </c:pt>
                <c:pt idx="3">
                  <c:v>37347</c:v>
                </c:pt>
                <c:pt idx="4">
                  <c:v>37377</c:v>
                </c:pt>
                <c:pt idx="5">
                  <c:v>37408</c:v>
                </c:pt>
                <c:pt idx="6">
                  <c:v>37438</c:v>
                </c:pt>
                <c:pt idx="7">
                  <c:v>37469</c:v>
                </c:pt>
                <c:pt idx="8">
                  <c:v>37500</c:v>
                </c:pt>
                <c:pt idx="9">
                  <c:v>37530</c:v>
                </c:pt>
                <c:pt idx="10">
                  <c:v>37561</c:v>
                </c:pt>
                <c:pt idx="11">
                  <c:v>37591</c:v>
                </c:pt>
                <c:pt idx="12">
                  <c:v>37622</c:v>
                </c:pt>
                <c:pt idx="13">
                  <c:v>37653</c:v>
                </c:pt>
                <c:pt idx="14">
                  <c:v>37681</c:v>
                </c:pt>
                <c:pt idx="15">
                  <c:v>37712</c:v>
                </c:pt>
                <c:pt idx="16">
                  <c:v>37742</c:v>
                </c:pt>
                <c:pt idx="17">
                  <c:v>37773</c:v>
                </c:pt>
                <c:pt idx="18">
                  <c:v>37803</c:v>
                </c:pt>
                <c:pt idx="19">
                  <c:v>37834</c:v>
                </c:pt>
                <c:pt idx="20">
                  <c:v>37865</c:v>
                </c:pt>
                <c:pt idx="21">
                  <c:v>37895</c:v>
                </c:pt>
                <c:pt idx="22">
                  <c:v>37926</c:v>
                </c:pt>
                <c:pt idx="23">
                  <c:v>37956</c:v>
                </c:pt>
                <c:pt idx="24">
                  <c:v>37987</c:v>
                </c:pt>
                <c:pt idx="25">
                  <c:v>38018</c:v>
                </c:pt>
                <c:pt idx="26">
                  <c:v>38047</c:v>
                </c:pt>
                <c:pt idx="27">
                  <c:v>38078</c:v>
                </c:pt>
                <c:pt idx="28">
                  <c:v>38108</c:v>
                </c:pt>
                <c:pt idx="29">
                  <c:v>38139</c:v>
                </c:pt>
                <c:pt idx="30">
                  <c:v>38169</c:v>
                </c:pt>
                <c:pt idx="31">
                  <c:v>38200</c:v>
                </c:pt>
                <c:pt idx="32">
                  <c:v>38231</c:v>
                </c:pt>
                <c:pt idx="33">
                  <c:v>38261</c:v>
                </c:pt>
                <c:pt idx="34">
                  <c:v>38292</c:v>
                </c:pt>
                <c:pt idx="35">
                  <c:v>38322</c:v>
                </c:pt>
                <c:pt idx="36">
                  <c:v>38353</c:v>
                </c:pt>
                <c:pt idx="37">
                  <c:v>38384</c:v>
                </c:pt>
                <c:pt idx="38">
                  <c:v>38412</c:v>
                </c:pt>
                <c:pt idx="39">
                  <c:v>38443</c:v>
                </c:pt>
                <c:pt idx="40">
                  <c:v>38473</c:v>
                </c:pt>
                <c:pt idx="41">
                  <c:v>38504</c:v>
                </c:pt>
                <c:pt idx="42">
                  <c:v>38534</c:v>
                </c:pt>
                <c:pt idx="43">
                  <c:v>38565</c:v>
                </c:pt>
                <c:pt idx="44">
                  <c:v>38596</c:v>
                </c:pt>
                <c:pt idx="45">
                  <c:v>38626</c:v>
                </c:pt>
                <c:pt idx="46">
                  <c:v>38657</c:v>
                </c:pt>
                <c:pt idx="47">
                  <c:v>38687</c:v>
                </c:pt>
                <c:pt idx="48">
                  <c:v>38718</c:v>
                </c:pt>
                <c:pt idx="49">
                  <c:v>38749</c:v>
                </c:pt>
                <c:pt idx="50">
                  <c:v>38777</c:v>
                </c:pt>
                <c:pt idx="51">
                  <c:v>38808</c:v>
                </c:pt>
                <c:pt idx="52">
                  <c:v>38838</c:v>
                </c:pt>
                <c:pt idx="53">
                  <c:v>38869</c:v>
                </c:pt>
                <c:pt idx="54">
                  <c:v>38899</c:v>
                </c:pt>
                <c:pt idx="55">
                  <c:v>38930</c:v>
                </c:pt>
                <c:pt idx="56">
                  <c:v>38961</c:v>
                </c:pt>
                <c:pt idx="57">
                  <c:v>38991</c:v>
                </c:pt>
                <c:pt idx="58">
                  <c:v>39022</c:v>
                </c:pt>
                <c:pt idx="59">
                  <c:v>39052</c:v>
                </c:pt>
                <c:pt idx="60">
                  <c:v>39083</c:v>
                </c:pt>
                <c:pt idx="61">
                  <c:v>39114</c:v>
                </c:pt>
                <c:pt idx="62">
                  <c:v>39142</c:v>
                </c:pt>
                <c:pt idx="63">
                  <c:v>39173</c:v>
                </c:pt>
                <c:pt idx="64">
                  <c:v>39203</c:v>
                </c:pt>
                <c:pt idx="65">
                  <c:v>39234</c:v>
                </c:pt>
                <c:pt idx="66">
                  <c:v>39264</c:v>
                </c:pt>
                <c:pt idx="67">
                  <c:v>39295</c:v>
                </c:pt>
                <c:pt idx="68">
                  <c:v>39326</c:v>
                </c:pt>
                <c:pt idx="69">
                  <c:v>39356</c:v>
                </c:pt>
                <c:pt idx="70">
                  <c:v>39387</c:v>
                </c:pt>
                <c:pt idx="71">
                  <c:v>39417</c:v>
                </c:pt>
                <c:pt idx="72">
                  <c:v>39448</c:v>
                </c:pt>
                <c:pt idx="73">
                  <c:v>39479</c:v>
                </c:pt>
                <c:pt idx="74">
                  <c:v>39508</c:v>
                </c:pt>
                <c:pt idx="75">
                  <c:v>39539</c:v>
                </c:pt>
                <c:pt idx="76">
                  <c:v>39569</c:v>
                </c:pt>
                <c:pt idx="77">
                  <c:v>39600</c:v>
                </c:pt>
                <c:pt idx="78">
                  <c:v>39630</c:v>
                </c:pt>
                <c:pt idx="79">
                  <c:v>39661</c:v>
                </c:pt>
                <c:pt idx="80">
                  <c:v>39692</c:v>
                </c:pt>
                <c:pt idx="81">
                  <c:v>39722</c:v>
                </c:pt>
                <c:pt idx="82">
                  <c:v>39753</c:v>
                </c:pt>
                <c:pt idx="83">
                  <c:v>39783</c:v>
                </c:pt>
                <c:pt idx="84">
                  <c:v>39814</c:v>
                </c:pt>
                <c:pt idx="85">
                  <c:v>39845</c:v>
                </c:pt>
                <c:pt idx="86">
                  <c:v>39873</c:v>
                </c:pt>
                <c:pt idx="87">
                  <c:v>39904</c:v>
                </c:pt>
                <c:pt idx="88">
                  <c:v>39934</c:v>
                </c:pt>
                <c:pt idx="89">
                  <c:v>39965</c:v>
                </c:pt>
                <c:pt idx="90">
                  <c:v>39995</c:v>
                </c:pt>
                <c:pt idx="91">
                  <c:v>40026</c:v>
                </c:pt>
                <c:pt idx="92">
                  <c:v>40057</c:v>
                </c:pt>
                <c:pt idx="93">
                  <c:v>40087</c:v>
                </c:pt>
                <c:pt idx="94">
                  <c:v>40118</c:v>
                </c:pt>
                <c:pt idx="95">
                  <c:v>40148</c:v>
                </c:pt>
                <c:pt idx="96">
                  <c:v>40179</c:v>
                </c:pt>
                <c:pt idx="97">
                  <c:v>40210</c:v>
                </c:pt>
                <c:pt idx="98">
                  <c:v>40238</c:v>
                </c:pt>
                <c:pt idx="99">
                  <c:v>40269</c:v>
                </c:pt>
                <c:pt idx="100">
                  <c:v>40299</c:v>
                </c:pt>
                <c:pt idx="101">
                  <c:v>40330</c:v>
                </c:pt>
                <c:pt idx="102">
                  <c:v>40360</c:v>
                </c:pt>
              </c:numCache>
            </c:numRef>
          </c:cat>
          <c:val>
            <c:numRef>
              <c:f>'Mult series mult spec'!$O$4:$O$106</c:f>
              <c:numCache>
                <c:formatCode>0.0%</c:formatCode>
                <c:ptCount val="103"/>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1.1235955056179137E-3</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9.8522167487679127E-4</c:v>
                </c:pt>
              </c:numCache>
            </c:numRef>
          </c:val>
          <c:extLst>
            <c:ext xmlns:c16="http://schemas.microsoft.com/office/drawing/2014/chart" uri="{C3380CC4-5D6E-409C-BE32-E72D297353CC}">
              <c16:uniqueId val="{00000002-2CB7-491F-A27F-F46FEE077EE3}"/>
            </c:ext>
          </c:extLst>
        </c:ser>
        <c:dLbls>
          <c:showLegendKey val="0"/>
          <c:showVal val="0"/>
          <c:showCatName val="0"/>
          <c:showSerName val="0"/>
          <c:showPercent val="0"/>
          <c:showBubbleSize val="0"/>
        </c:dLbls>
        <c:gapWidth val="0"/>
        <c:axId val="780837056"/>
        <c:axId val="780837888"/>
      </c:barChart>
      <c:dateAx>
        <c:axId val="780837056"/>
        <c:scaling>
          <c:orientation val="minMax"/>
        </c:scaling>
        <c:delete val="0"/>
        <c:axPos val="b"/>
        <c:numFmt formatCode="[$-416]mmm\-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780837888"/>
        <c:crosses val="autoZero"/>
        <c:auto val="1"/>
        <c:lblOffset val="100"/>
        <c:baseTimeUnit val="months"/>
      </c:dateAx>
      <c:valAx>
        <c:axId val="780837888"/>
        <c:scaling>
          <c:orientation val="minMax"/>
          <c:max val="1.0000000000000002E-2"/>
          <c:min val="-1.0000000000000002E-2"/>
        </c:scaling>
        <c:delete val="0"/>
        <c:axPos val="l"/>
        <c:majorGridlines>
          <c:spPr>
            <a:ln w="9525" cap="flat" cmpd="sng" algn="ctr">
              <a:solidFill>
                <a:schemeClr val="tx1">
                  <a:lumMod val="15000"/>
                  <a:lumOff val="85000"/>
                </a:schemeClr>
              </a:solidFill>
              <a:round/>
            </a:ln>
            <a:effectLst/>
          </c:spPr>
        </c:majorGridlines>
        <c:numFmt formatCode="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780837056"/>
        <c:crosses val="autoZero"/>
        <c:crossBetween val="between"/>
      </c:valAx>
      <c:spPr>
        <a:noFill/>
        <a:ln>
          <a:noFill/>
        </a:ln>
        <a:effectLst/>
      </c:spPr>
    </c:plotArea>
    <c:legend>
      <c:legendPos val="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lgn="l">
              <a:defRPr sz="12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pt-BR" sz="1200"/>
              <a:t>Industrial Production</a:t>
            </a:r>
            <a:br>
              <a:rPr lang="pt-BR" sz="1200"/>
            </a:br>
            <a:r>
              <a:rPr lang="pt-BR" sz="1000"/>
              <a:t>index, average of 2012</a:t>
            </a:r>
            <a:r>
              <a:rPr lang="pt-BR" sz="1000" baseline="0"/>
              <a:t> = 100</a:t>
            </a:r>
            <a:endParaRPr lang="pt-BR" sz="1000"/>
          </a:p>
        </c:rich>
      </c:tx>
      <c:layout>
        <c:manualLayout>
          <c:xMode val="edge"/>
          <c:yMode val="edge"/>
          <c:x val="1.5139597647597036E-2"/>
          <c:y val="2.929934199522367E-2"/>
        </c:manualLayout>
      </c:layout>
      <c:overlay val="0"/>
      <c:spPr>
        <a:noFill/>
        <a:ln>
          <a:noFill/>
        </a:ln>
        <a:effectLst/>
      </c:spPr>
      <c:txPr>
        <a:bodyPr rot="0" spcFirstLastPara="1" vertOverflow="ellipsis" vert="horz" wrap="square" anchor="ctr" anchorCtr="1"/>
        <a:lstStyle/>
        <a:p>
          <a:pPr algn="l">
            <a:defRPr sz="12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pt-BR"/>
        </a:p>
      </c:txPr>
    </c:title>
    <c:autoTitleDeleted val="0"/>
    <c:plotArea>
      <c:layout/>
      <c:areaChart>
        <c:grouping val="standard"/>
        <c:varyColors val="0"/>
        <c:ser>
          <c:idx val="0"/>
          <c:order val="2"/>
          <c:tx>
            <c:strRef>
              <c:f>Decomposition!$M$2</c:f>
              <c:strCache>
                <c:ptCount val="1"/>
                <c:pt idx="0">
                  <c:v>After Covid</c:v>
                </c:pt>
              </c:strCache>
            </c:strRef>
          </c:tx>
          <c:spPr>
            <a:solidFill>
              <a:schemeClr val="bg1">
                <a:lumMod val="95000"/>
                <a:alpha val="30000"/>
              </a:schemeClr>
            </a:solidFill>
            <a:ln>
              <a:noFill/>
            </a:ln>
            <a:effectLst>
              <a:outerShdw blurRad="57150" dist="19050" dir="5400000" algn="ctr" rotWithShape="0">
                <a:srgbClr val="000000">
                  <a:alpha val="63000"/>
                </a:srgbClr>
              </a:outerShdw>
            </a:effectLst>
          </c:spPr>
          <c:cat>
            <c:numRef>
              <c:f>Decomposition!$A$3:$A$242</c:f>
              <c:numCache>
                <c:formatCode>[$-416]mmm\-yy;@</c:formatCode>
                <c:ptCount val="240"/>
                <c:pt idx="0">
                  <c:v>37257</c:v>
                </c:pt>
                <c:pt idx="1">
                  <c:v>37288</c:v>
                </c:pt>
                <c:pt idx="2">
                  <c:v>37316</c:v>
                </c:pt>
                <c:pt idx="3">
                  <c:v>37347</c:v>
                </c:pt>
                <c:pt idx="4">
                  <c:v>37377</c:v>
                </c:pt>
                <c:pt idx="5">
                  <c:v>37408</c:v>
                </c:pt>
                <c:pt idx="6">
                  <c:v>37438</c:v>
                </c:pt>
                <c:pt idx="7">
                  <c:v>37469</c:v>
                </c:pt>
                <c:pt idx="8">
                  <c:v>37500</c:v>
                </c:pt>
                <c:pt idx="9">
                  <c:v>37530</c:v>
                </c:pt>
                <c:pt idx="10">
                  <c:v>37561</c:v>
                </c:pt>
                <c:pt idx="11">
                  <c:v>37591</c:v>
                </c:pt>
                <c:pt idx="12">
                  <c:v>37622</c:v>
                </c:pt>
                <c:pt idx="13">
                  <c:v>37653</c:v>
                </c:pt>
                <c:pt idx="14">
                  <c:v>37681</c:v>
                </c:pt>
                <c:pt idx="15">
                  <c:v>37712</c:v>
                </c:pt>
                <c:pt idx="16">
                  <c:v>37742</c:v>
                </c:pt>
                <c:pt idx="17">
                  <c:v>37773</c:v>
                </c:pt>
                <c:pt idx="18">
                  <c:v>37803</c:v>
                </c:pt>
                <c:pt idx="19">
                  <c:v>37834</c:v>
                </c:pt>
                <c:pt idx="20">
                  <c:v>37865</c:v>
                </c:pt>
                <c:pt idx="21">
                  <c:v>37895</c:v>
                </c:pt>
                <c:pt idx="22">
                  <c:v>37926</c:v>
                </c:pt>
                <c:pt idx="23">
                  <c:v>37956</c:v>
                </c:pt>
                <c:pt idx="24">
                  <c:v>37987</c:v>
                </c:pt>
                <c:pt idx="25">
                  <c:v>38018</c:v>
                </c:pt>
                <c:pt idx="26">
                  <c:v>38047</c:v>
                </c:pt>
                <c:pt idx="27">
                  <c:v>38078</c:v>
                </c:pt>
                <c:pt idx="28">
                  <c:v>38108</c:v>
                </c:pt>
                <c:pt idx="29">
                  <c:v>38139</c:v>
                </c:pt>
                <c:pt idx="30">
                  <c:v>38169</c:v>
                </c:pt>
                <c:pt idx="31">
                  <c:v>38200</c:v>
                </c:pt>
                <c:pt idx="32">
                  <c:v>38231</c:v>
                </c:pt>
                <c:pt idx="33">
                  <c:v>38261</c:v>
                </c:pt>
                <c:pt idx="34">
                  <c:v>38292</c:v>
                </c:pt>
                <c:pt idx="35">
                  <c:v>38322</c:v>
                </c:pt>
                <c:pt idx="36">
                  <c:v>38353</c:v>
                </c:pt>
                <c:pt idx="37">
                  <c:v>38384</c:v>
                </c:pt>
                <c:pt idx="38">
                  <c:v>38412</c:v>
                </c:pt>
                <c:pt idx="39">
                  <c:v>38443</c:v>
                </c:pt>
                <c:pt idx="40">
                  <c:v>38473</c:v>
                </c:pt>
                <c:pt idx="41">
                  <c:v>38504</c:v>
                </c:pt>
                <c:pt idx="42">
                  <c:v>38534</c:v>
                </c:pt>
                <c:pt idx="43">
                  <c:v>38565</c:v>
                </c:pt>
                <c:pt idx="44">
                  <c:v>38596</c:v>
                </c:pt>
                <c:pt idx="45">
                  <c:v>38626</c:v>
                </c:pt>
                <c:pt idx="46">
                  <c:v>38657</c:v>
                </c:pt>
                <c:pt idx="47">
                  <c:v>38687</c:v>
                </c:pt>
                <c:pt idx="48">
                  <c:v>38718</c:v>
                </c:pt>
                <c:pt idx="49">
                  <c:v>38749</c:v>
                </c:pt>
                <c:pt idx="50">
                  <c:v>38777</c:v>
                </c:pt>
                <c:pt idx="51">
                  <c:v>38808</c:v>
                </c:pt>
                <c:pt idx="52">
                  <c:v>38838</c:v>
                </c:pt>
                <c:pt idx="53">
                  <c:v>38869</c:v>
                </c:pt>
                <c:pt idx="54">
                  <c:v>38899</c:v>
                </c:pt>
                <c:pt idx="55">
                  <c:v>38930</c:v>
                </c:pt>
                <c:pt idx="56">
                  <c:v>38961</c:v>
                </c:pt>
                <c:pt idx="57">
                  <c:v>38991</c:v>
                </c:pt>
                <c:pt idx="58">
                  <c:v>39022</c:v>
                </c:pt>
                <c:pt idx="59">
                  <c:v>39052</c:v>
                </c:pt>
                <c:pt idx="60">
                  <c:v>39083</c:v>
                </c:pt>
                <c:pt idx="61">
                  <c:v>39114</c:v>
                </c:pt>
                <c:pt idx="62">
                  <c:v>39142</c:v>
                </c:pt>
                <c:pt idx="63">
                  <c:v>39173</c:v>
                </c:pt>
                <c:pt idx="64">
                  <c:v>39203</c:v>
                </c:pt>
                <c:pt idx="65">
                  <c:v>39234</c:v>
                </c:pt>
                <c:pt idx="66">
                  <c:v>39264</c:v>
                </c:pt>
                <c:pt idx="67">
                  <c:v>39295</c:v>
                </c:pt>
                <c:pt idx="68">
                  <c:v>39326</c:v>
                </c:pt>
                <c:pt idx="69">
                  <c:v>39356</c:v>
                </c:pt>
                <c:pt idx="70">
                  <c:v>39387</c:v>
                </c:pt>
                <c:pt idx="71">
                  <c:v>39417</c:v>
                </c:pt>
                <c:pt idx="72">
                  <c:v>39448</c:v>
                </c:pt>
                <c:pt idx="73">
                  <c:v>39479</c:v>
                </c:pt>
                <c:pt idx="74">
                  <c:v>39508</c:v>
                </c:pt>
                <c:pt idx="75">
                  <c:v>39539</c:v>
                </c:pt>
                <c:pt idx="76">
                  <c:v>39569</c:v>
                </c:pt>
                <c:pt idx="77">
                  <c:v>39600</c:v>
                </c:pt>
                <c:pt idx="78">
                  <c:v>39630</c:v>
                </c:pt>
                <c:pt idx="79">
                  <c:v>39661</c:v>
                </c:pt>
                <c:pt idx="80">
                  <c:v>39692</c:v>
                </c:pt>
                <c:pt idx="81">
                  <c:v>39722</c:v>
                </c:pt>
                <c:pt idx="82">
                  <c:v>39753</c:v>
                </c:pt>
                <c:pt idx="83">
                  <c:v>39783</c:v>
                </c:pt>
                <c:pt idx="84">
                  <c:v>39814</c:v>
                </c:pt>
                <c:pt idx="85">
                  <c:v>39845</c:v>
                </c:pt>
                <c:pt idx="86">
                  <c:v>39873</c:v>
                </c:pt>
                <c:pt idx="87">
                  <c:v>39904</c:v>
                </c:pt>
                <c:pt idx="88">
                  <c:v>39934</c:v>
                </c:pt>
                <c:pt idx="89">
                  <c:v>39965</c:v>
                </c:pt>
                <c:pt idx="90">
                  <c:v>39995</c:v>
                </c:pt>
                <c:pt idx="91">
                  <c:v>40026</c:v>
                </c:pt>
                <c:pt idx="92">
                  <c:v>40057</c:v>
                </c:pt>
                <c:pt idx="93">
                  <c:v>40087</c:v>
                </c:pt>
                <c:pt idx="94">
                  <c:v>40118</c:v>
                </c:pt>
                <c:pt idx="95">
                  <c:v>40148</c:v>
                </c:pt>
                <c:pt idx="96">
                  <c:v>40179</c:v>
                </c:pt>
                <c:pt idx="97">
                  <c:v>40210</c:v>
                </c:pt>
                <c:pt idx="98">
                  <c:v>40238</c:v>
                </c:pt>
                <c:pt idx="99">
                  <c:v>40269</c:v>
                </c:pt>
                <c:pt idx="100">
                  <c:v>40299</c:v>
                </c:pt>
                <c:pt idx="101">
                  <c:v>40330</c:v>
                </c:pt>
                <c:pt idx="102">
                  <c:v>40360</c:v>
                </c:pt>
                <c:pt idx="103">
                  <c:v>40391</c:v>
                </c:pt>
                <c:pt idx="104">
                  <c:v>40422</c:v>
                </c:pt>
                <c:pt idx="105">
                  <c:v>40452</c:v>
                </c:pt>
                <c:pt idx="106">
                  <c:v>40483</c:v>
                </c:pt>
                <c:pt idx="107">
                  <c:v>40513</c:v>
                </c:pt>
                <c:pt idx="108">
                  <c:v>40544</c:v>
                </c:pt>
                <c:pt idx="109">
                  <c:v>40575</c:v>
                </c:pt>
                <c:pt idx="110">
                  <c:v>40603</c:v>
                </c:pt>
                <c:pt idx="111">
                  <c:v>40634</c:v>
                </c:pt>
                <c:pt idx="112">
                  <c:v>40664</c:v>
                </c:pt>
                <c:pt idx="113">
                  <c:v>40695</c:v>
                </c:pt>
                <c:pt idx="114">
                  <c:v>40725</c:v>
                </c:pt>
                <c:pt idx="115">
                  <c:v>40756</c:v>
                </c:pt>
                <c:pt idx="116">
                  <c:v>40787</c:v>
                </c:pt>
                <c:pt idx="117">
                  <c:v>40817</c:v>
                </c:pt>
                <c:pt idx="118">
                  <c:v>40848</c:v>
                </c:pt>
                <c:pt idx="119">
                  <c:v>40878</c:v>
                </c:pt>
                <c:pt idx="120">
                  <c:v>40909</c:v>
                </c:pt>
                <c:pt idx="121">
                  <c:v>40940</c:v>
                </c:pt>
                <c:pt idx="122">
                  <c:v>40969</c:v>
                </c:pt>
                <c:pt idx="123">
                  <c:v>41000</c:v>
                </c:pt>
                <c:pt idx="124">
                  <c:v>41030</c:v>
                </c:pt>
                <c:pt idx="125">
                  <c:v>41061</c:v>
                </c:pt>
                <c:pt idx="126">
                  <c:v>41091</c:v>
                </c:pt>
                <c:pt idx="127">
                  <c:v>41122</c:v>
                </c:pt>
                <c:pt idx="128">
                  <c:v>41153</c:v>
                </c:pt>
                <c:pt idx="129">
                  <c:v>41183</c:v>
                </c:pt>
                <c:pt idx="130">
                  <c:v>41214</c:v>
                </c:pt>
                <c:pt idx="131">
                  <c:v>41244</c:v>
                </c:pt>
                <c:pt idx="132">
                  <c:v>41275</c:v>
                </c:pt>
                <c:pt idx="133">
                  <c:v>41306</c:v>
                </c:pt>
                <c:pt idx="134">
                  <c:v>41334</c:v>
                </c:pt>
                <c:pt idx="135">
                  <c:v>41365</c:v>
                </c:pt>
                <c:pt idx="136">
                  <c:v>41395</c:v>
                </c:pt>
                <c:pt idx="137">
                  <c:v>41426</c:v>
                </c:pt>
                <c:pt idx="138">
                  <c:v>41456</c:v>
                </c:pt>
                <c:pt idx="139">
                  <c:v>41487</c:v>
                </c:pt>
                <c:pt idx="140">
                  <c:v>41518</c:v>
                </c:pt>
                <c:pt idx="141">
                  <c:v>41548</c:v>
                </c:pt>
                <c:pt idx="142">
                  <c:v>41579</c:v>
                </c:pt>
                <c:pt idx="143">
                  <c:v>41609</c:v>
                </c:pt>
                <c:pt idx="144">
                  <c:v>41640</c:v>
                </c:pt>
                <c:pt idx="145">
                  <c:v>41671</c:v>
                </c:pt>
                <c:pt idx="146">
                  <c:v>41699</c:v>
                </c:pt>
                <c:pt idx="147">
                  <c:v>41730</c:v>
                </c:pt>
                <c:pt idx="148">
                  <c:v>41760</c:v>
                </c:pt>
                <c:pt idx="149">
                  <c:v>41791</c:v>
                </c:pt>
                <c:pt idx="150">
                  <c:v>41821</c:v>
                </c:pt>
                <c:pt idx="151">
                  <c:v>41852</c:v>
                </c:pt>
                <c:pt idx="152">
                  <c:v>41883</c:v>
                </c:pt>
                <c:pt idx="153">
                  <c:v>41913</c:v>
                </c:pt>
                <c:pt idx="154">
                  <c:v>41944</c:v>
                </c:pt>
                <c:pt idx="155">
                  <c:v>41974</c:v>
                </c:pt>
                <c:pt idx="156">
                  <c:v>42005</c:v>
                </c:pt>
                <c:pt idx="157">
                  <c:v>42036</c:v>
                </c:pt>
                <c:pt idx="158">
                  <c:v>42064</c:v>
                </c:pt>
                <c:pt idx="159">
                  <c:v>42095</c:v>
                </c:pt>
                <c:pt idx="160">
                  <c:v>42125</c:v>
                </c:pt>
                <c:pt idx="161">
                  <c:v>42156</c:v>
                </c:pt>
                <c:pt idx="162">
                  <c:v>42186</c:v>
                </c:pt>
                <c:pt idx="163">
                  <c:v>42217</c:v>
                </c:pt>
                <c:pt idx="164">
                  <c:v>42248</c:v>
                </c:pt>
                <c:pt idx="165">
                  <c:v>42278</c:v>
                </c:pt>
                <c:pt idx="166">
                  <c:v>42309</c:v>
                </c:pt>
                <c:pt idx="167">
                  <c:v>42339</c:v>
                </c:pt>
                <c:pt idx="168">
                  <c:v>42370</c:v>
                </c:pt>
                <c:pt idx="169">
                  <c:v>42401</c:v>
                </c:pt>
                <c:pt idx="170">
                  <c:v>42430</c:v>
                </c:pt>
                <c:pt idx="171">
                  <c:v>42461</c:v>
                </c:pt>
                <c:pt idx="172">
                  <c:v>42491</c:v>
                </c:pt>
                <c:pt idx="173">
                  <c:v>42522</c:v>
                </c:pt>
                <c:pt idx="174">
                  <c:v>42552</c:v>
                </c:pt>
                <c:pt idx="175">
                  <c:v>42583</c:v>
                </c:pt>
                <c:pt idx="176">
                  <c:v>42614</c:v>
                </c:pt>
                <c:pt idx="177">
                  <c:v>42644</c:v>
                </c:pt>
                <c:pt idx="178">
                  <c:v>42675</c:v>
                </c:pt>
                <c:pt idx="179">
                  <c:v>42705</c:v>
                </c:pt>
                <c:pt idx="180">
                  <c:v>42736</c:v>
                </c:pt>
                <c:pt idx="181">
                  <c:v>42767</c:v>
                </c:pt>
                <c:pt idx="182">
                  <c:v>42795</c:v>
                </c:pt>
                <c:pt idx="183">
                  <c:v>42826</c:v>
                </c:pt>
                <c:pt idx="184">
                  <c:v>42856</c:v>
                </c:pt>
                <c:pt idx="185">
                  <c:v>42887</c:v>
                </c:pt>
                <c:pt idx="186">
                  <c:v>42917</c:v>
                </c:pt>
                <c:pt idx="187">
                  <c:v>42948</c:v>
                </c:pt>
                <c:pt idx="188">
                  <c:v>42979</c:v>
                </c:pt>
                <c:pt idx="189">
                  <c:v>43009</c:v>
                </c:pt>
                <c:pt idx="190">
                  <c:v>43040</c:v>
                </c:pt>
                <c:pt idx="191">
                  <c:v>43070</c:v>
                </c:pt>
                <c:pt idx="192">
                  <c:v>43101</c:v>
                </c:pt>
                <c:pt idx="193">
                  <c:v>43132</c:v>
                </c:pt>
                <c:pt idx="194">
                  <c:v>43160</c:v>
                </c:pt>
                <c:pt idx="195">
                  <c:v>43191</c:v>
                </c:pt>
                <c:pt idx="196">
                  <c:v>43221</c:v>
                </c:pt>
                <c:pt idx="197">
                  <c:v>43252</c:v>
                </c:pt>
                <c:pt idx="198">
                  <c:v>43282</c:v>
                </c:pt>
                <c:pt idx="199">
                  <c:v>43313</c:v>
                </c:pt>
                <c:pt idx="200">
                  <c:v>43344</c:v>
                </c:pt>
                <c:pt idx="201">
                  <c:v>43374</c:v>
                </c:pt>
                <c:pt idx="202">
                  <c:v>43405</c:v>
                </c:pt>
                <c:pt idx="203">
                  <c:v>43435</c:v>
                </c:pt>
                <c:pt idx="204">
                  <c:v>43466</c:v>
                </c:pt>
                <c:pt idx="205">
                  <c:v>43497</c:v>
                </c:pt>
                <c:pt idx="206">
                  <c:v>43525</c:v>
                </c:pt>
                <c:pt idx="207">
                  <c:v>43556</c:v>
                </c:pt>
                <c:pt idx="208">
                  <c:v>43586</c:v>
                </c:pt>
                <c:pt idx="209">
                  <c:v>43617</c:v>
                </c:pt>
                <c:pt idx="210">
                  <c:v>43647</c:v>
                </c:pt>
                <c:pt idx="211">
                  <c:v>43678</c:v>
                </c:pt>
                <c:pt idx="212">
                  <c:v>43709</c:v>
                </c:pt>
                <c:pt idx="213">
                  <c:v>43739</c:v>
                </c:pt>
                <c:pt idx="214">
                  <c:v>43770</c:v>
                </c:pt>
                <c:pt idx="215">
                  <c:v>43800</c:v>
                </c:pt>
                <c:pt idx="216">
                  <c:v>43831</c:v>
                </c:pt>
                <c:pt idx="217">
                  <c:v>43862</c:v>
                </c:pt>
                <c:pt idx="218">
                  <c:v>43891</c:v>
                </c:pt>
                <c:pt idx="219">
                  <c:v>43922</c:v>
                </c:pt>
                <c:pt idx="220">
                  <c:v>43952</c:v>
                </c:pt>
                <c:pt idx="221">
                  <c:v>43983</c:v>
                </c:pt>
                <c:pt idx="222">
                  <c:v>44013</c:v>
                </c:pt>
                <c:pt idx="223">
                  <c:v>44044</c:v>
                </c:pt>
                <c:pt idx="224">
                  <c:v>44075</c:v>
                </c:pt>
                <c:pt idx="225">
                  <c:v>44105</c:v>
                </c:pt>
                <c:pt idx="226">
                  <c:v>44136</c:v>
                </c:pt>
                <c:pt idx="227">
                  <c:v>44166</c:v>
                </c:pt>
                <c:pt idx="228">
                  <c:v>44197</c:v>
                </c:pt>
                <c:pt idx="229">
                  <c:v>44228</c:v>
                </c:pt>
                <c:pt idx="230">
                  <c:v>44256</c:v>
                </c:pt>
                <c:pt idx="231">
                  <c:v>44287</c:v>
                </c:pt>
                <c:pt idx="232">
                  <c:v>44317</c:v>
                </c:pt>
                <c:pt idx="233">
                  <c:v>44348</c:v>
                </c:pt>
                <c:pt idx="234">
                  <c:v>44378</c:v>
                </c:pt>
                <c:pt idx="235">
                  <c:v>44409</c:v>
                </c:pt>
                <c:pt idx="236">
                  <c:v>44440</c:v>
                </c:pt>
                <c:pt idx="237">
                  <c:v>44470</c:v>
                </c:pt>
                <c:pt idx="238">
                  <c:v>44501</c:v>
                </c:pt>
                <c:pt idx="239">
                  <c:v>44531</c:v>
                </c:pt>
              </c:numCache>
            </c:numRef>
          </c:cat>
          <c:val>
            <c:numRef>
              <c:f>Decomposition!$M$3:$M$242</c:f>
              <c:numCache>
                <c:formatCode>0%</c:formatCode>
                <c:ptCount val="240"/>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pt idx="84">
                  <c:v>#N/A</c:v>
                </c:pt>
                <c:pt idx="85">
                  <c:v>#N/A</c:v>
                </c:pt>
                <c:pt idx="86">
                  <c:v>#N/A</c:v>
                </c:pt>
                <c:pt idx="87">
                  <c:v>#N/A</c:v>
                </c:pt>
                <c:pt idx="88">
                  <c:v>#N/A</c:v>
                </c:pt>
                <c:pt idx="89">
                  <c:v>#N/A</c:v>
                </c:pt>
                <c:pt idx="90">
                  <c:v>#N/A</c:v>
                </c:pt>
                <c:pt idx="91">
                  <c:v>#N/A</c:v>
                </c:pt>
                <c:pt idx="92">
                  <c:v>#N/A</c:v>
                </c:pt>
                <c:pt idx="93">
                  <c:v>#N/A</c:v>
                </c:pt>
                <c:pt idx="94">
                  <c:v>#N/A</c:v>
                </c:pt>
                <c:pt idx="95">
                  <c:v>#N/A</c:v>
                </c:pt>
                <c:pt idx="96">
                  <c:v>#N/A</c:v>
                </c:pt>
                <c:pt idx="97">
                  <c:v>#N/A</c:v>
                </c:pt>
                <c:pt idx="98">
                  <c:v>#N/A</c:v>
                </c:pt>
                <c:pt idx="99">
                  <c:v>#N/A</c:v>
                </c:pt>
                <c:pt idx="100">
                  <c:v>#N/A</c:v>
                </c:pt>
                <c:pt idx="101">
                  <c:v>#N/A</c:v>
                </c:pt>
                <c:pt idx="102">
                  <c:v>#N/A</c:v>
                </c:pt>
                <c:pt idx="103">
                  <c:v>#N/A</c:v>
                </c:pt>
                <c:pt idx="104">
                  <c:v>#N/A</c:v>
                </c:pt>
                <c:pt idx="105">
                  <c:v>#N/A</c:v>
                </c:pt>
                <c:pt idx="106">
                  <c:v>#N/A</c:v>
                </c:pt>
                <c:pt idx="107">
                  <c:v>#N/A</c:v>
                </c:pt>
                <c:pt idx="108">
                  <c:v>#N/A</c:v>
                </c:pt>
                <c:pt idx="109">
                  <c:v>#N/A</c:v>
                </c:pt>
                <c:pt idx="110">
                  <c:v>#N/A</c:v>
                </c:pt>
                <c:pt idx="111">
                  <c:v>#N/A</c:v>
                </c:pt>
                <c:pt idx="112">
                  <c:v>#N/A</c:v>
                </c:pt>
                <c:pt idx="113">
                  <c:v>#N/A</c:v>
                </c:pt>
                <c:pt idx="114">
                  <c:v>#N/A</c:v>
                </c:pt>
                <c:pt idx="115">
                  <c:v>#N/A</c:v>
                </c:pt>
                <c:pt idx="116">
                  <c:v>#N/A</c:v>
                </c:pt>
                <c:pt idx="117">
                  <c:v>#N/A</c:v>
                </c:pt>
                <c:pt idx="118">
                  <c:v>#N/A</c:v>
                </c:pt>
                <c:pt idx="119">
                  <c:v>#N/A</c:v>
                </c:pt>
                <c:pt idx="120">
                  <c:v>#N/A</c:v>
                </c:pt>
                <c:pt idx="121">
                  <c:v>#N/A</c:v>
                </c:pt>
                <c:pt idx="122">
                  <c:v>#N/A</c:v>
                </c:pt>
                <c:pt idx="123">
                  <c:v>#N/A</c:v>
                </c:pt>
                <c:pt idx="124">
                  <c:v>#N/A</c:v>
                </c:pt>
                <c:pt idx="125">
                  <c:v>#N/A</c:v>
                </c:pt>
                <c:pt idx="126">
                  <c:v>#N/A</c:v>
                </c:pt>
                <c:pt idx="127">
                  <c:v>#N/A</c:v>
                </c:pt>
                <c:pt idx="128">
                  <c:v>#N/A</c:v>
                </c:pt>
                <c:pt idx="129">
                  <c:v>#N/A</c:v>
                </c:pt>
                <c:pt idx="130">
                  <c:v>#N/A</c:v>
                </c:pt>
                <c:pt idx="131">
                  <c:v>#N/A</c:v>
                </c:pt>
                <c:pt idx="132">
                  <c:v>#N/A</c:v>
                </c:pt>
                <c:pt idx="133">
                  <c:v>#N/A</c:v>
                </c:pt>
                <c:pt idx="134">
                  <c:v>#N/A</c:v>
                </c:pt>
                <c:pt idx="135">
                  <c:v>#N/A</c:v>
                </c:pt>
                <c:pt idx="136">
                  <c:v>#N/A</c:v>
                </c:pt>
                <c:pt idx="137">
                  <c:v>#N/A</c:v>
                </c:pt>
                <c:pt idx="138">
                  <c:v>#N/A</c:v>
                </c:pt>
                <c:pt idx="139">
                  <c:v>#N/A</c:v>
                </c:pt>
                <c:pt idx="140">
                  <c:v>#N/A</c:v>
                </c:pt>
                <c:pt idx="141">
                  <c:v>#N/A</c:v>
                </c:pt>
                <c:pt idx="142">
                  <c:v>#N/A</c:v>
                </c:pt>
                <c:pt idx="143">
                  <c:v>#N/A</c:v>
                </c:pt>
                <c:pt idx="144">
                  <c:v>#N/A</c:v>
                </c:pt>
                <c:pt idx="145">
                  <c:v>#N/A</c:v>
                </c:pt>
                <c:pt idx="146">
                  <c:v>#N/A</c:v>
                </c:pt>
                <c:pt idx="147">
                  <c:v>#N/A</c:v>
                </c:pt>
                <c:pt idx="148">
                  <c:v>#N/A</c:v>
                </c:pt>
                <c:pt idx="149">
                  <c:v>#N/A</c:v>
                </c:pt>
                <c:pt idx="150">
                  <c:v>#N/A</c:v>
                </c:pt>
                <c:pt idx="151">
                  <c:v>#N/A</c:v>
                </c:pt>
                <c:pt idx="152">
                  <c:v>#N/A</c:v>
                </c:pt>
                <c:pt idx="153">
                  <c:v>#N/A</c:v>
                </c:pt>
                <c:pt idx="154">
                  <c:v>#N/A</c:v>
                </c:pt>
                <c:pt idx="155">
                  <c:v>#N/A</c:v>
                </c:pt>
                <c:pt idx="156">
                  <c:v>#N/A</c:v>
                </c:pt>
                <c:pt idx="157">
                  <c:v>#N/A</c:v>
                </c:pt>
                <c:pt idx="158">
                  <c:v>#N/A</c:v>
                </c:pt>
                <c:pt idx="159">
                  <c:v>#N/A</c:v>
                </c:pt>
                <c:pt idx="160">
                  <c:v>#N/A</c:v>
                </c:pt>
                <c:pt idx="161">
                  <c:v>#N/A</c:v>
                </c:pt>
                <c:pt idx="162">
                  <c:v>#N/A</c:v>
                </c:pt>
                <c:pt idx="163">
                  <c:v>#N/A</c:v>
                </c:pt>
                <c:pt idx="164">
                  <c:v>#N/A</c:v>
                </c:pt>
                <c:pt idx="165">
                  <c:v>#N/A</c:v>
                </c:pt>
                <c:pt idx="166">
                  <c:v>#N/A</c:v>
                </c:pt>
                <c:pt idx="167">
                  <c:v>#N/A</c:v>
                </c:pt>
                <c:pt idx="168">
                  <c:v>#N/A</c:v>
                </c:pt>
                <c:pt idx="169">
                  <c:v>#N/A</c:v>
                </c:pt>
                <c:pt idx="170">
                  <c:v>#N/A</c:v>
                </c:pt>
                <c:pt idx="171">
                  <c:v>#N/A</c:v>
                </c:pt>
                <c:pt idx="172">
                  <c:v>#N/A</c:v>
                </c:pt>
                <c:pt idx="173">
                  <c:v>#N/A</c:v>
                </c:pt>
                <c:pt idx="174">
                  <c:v>#N/A</c:v>
                </c:pt>
                <c:pt idx="175">
                  <c:v>#N/A</c:v>
                </c:pt>
                <c:pt idx="176">
                  <c:v>#N/A</c:v>
                </c:pt>
                <c:pt idx="177">
                  <c:v>#N/A</c:v>
                </c:pt>
                <c:pt idx="178">
                  <c:v>#N/A</c:v>
                </c:pt>
                <c:pt idx="179">
                  <c:v>#N/A</c:v>
                </c:pt>
                <c:pt idx="180">
                  <c:v>#N/A</c:v>
                </c:pt>
                <c:pt idx="181">
                  <c:v>#N/A</c:v>
                </c:pt>
                <c:pt idx="182">
                  <c:v>#N/A</c:v>
                </c:pt>
                <c:pt idx="183">
                  <c:v>#N/A</c:v>
                </c:pt>
                <c:pt idx="184">
                  <c:v>#N/A</c:v>
                </c:pt>
                <c:pt idx="185">
                  <c:v>#N/A</c:v>
                </c:pt>
                <c:pt idx="186">
                  <c:v>#N/A</c:v>
                </c:pt>
                <c:pt idx="187">
                  <c:v>#N/A</c:v>
                </c:pt>
                <c:pt idx="188">
                  <c:v>#N/A</c:v>
                </c:pt>
                <c:pt idx="189">
                  <c:v>#N/A</c:v>
                </c:pt>
                <c:pt idx="190">
                  <c:v>#N/A</c:v>
                </c:pt>
                <c:pt idx="191">
                  <c:v>#N/A</c:v>
                </c:pt>
                <c:pt idx="192">
                  <c:v>#N/A</c:v>
                </c:pt>
                <c:pt idx="193">
                  <c:v>#N/A</c:v>
                </c:pt>
                <c:pt idx="194">
                  <c:v>#N/A</c:v>
                </c:pt>
                <c:pt idx="195">
                  <c:v>#N/A</c:v>
                </c:pt>
                <c:pt idx="196">
                  <c:v>#N/A</c:v>
                </c:pt>
                <c:pt idx="197">
                  <c:v>#N/A</c:v>
                </c:pt>
                <c:pt idx="198">
                  <c:v>#N/A</c:v>
                </c:pt>
                <c:pt idx="199">
                  <c:v>#N/A</c:v>
                </c:pt>
                <c:pt idx="200">
                  <c:v>#N/A</c:v>
                </c:pt>
                <c:pt idx="201">
                  <c:v>#N/A</c:v>
                </c:pt>
                <c:pt idx="202">
                  <c:v>#N/A</c:v>
                </c:pt>
                <c:pt idx="203">
                  <c:v>#N/A</c:v>
                </c:pt>
                <c:pt idx="204">
                  <c:v>#N/A</c:v>
                </c:pt>
                <c:pt idx="205">
                  <c:v>#N/A</c:v>
                </c:pt>
                <c:pt idx="206">
                  <c:v>#N/A</c:v>
                </c:pt>
                <c:pt idx="207">
                  <c:v>#N/A</c:v>
                </c:pt>
                <c:pt idx="208">
                  <c:v>#N/A</c:v>
                </c:pt>
                <c:pt idx="209">
                  <c:v>#N/A</c:v>
                </c:pt>
                <c:pt idx="210">
                  <c:v>#N/A</c:v>
                </c:pt>
                <c:pt idx="211">
                  <c:v>#N/A</c:v>
                </c:pt>
                <c:pt idx="212">
                  <c:v>#N/A</c:v>
                </c:pt>
                <c:pt idx="213">
                  <c:v>#N/A</c:v>
                </c:pt>
                <c:pt idx="214">
                  <c:v>#N/A</c:v>
                </c:pt>
                <c:pt idx="215">
                  <c:v>#N/A</c:v>
                </c:pt>
                <c:pt idx="216">
                  <c:v>#N/A</c:v>
                </c:pt>
                <c:pt idx="217">
                  <c:v>#N/A</c:v>
                </c:pt>
                <c:pt idx="218">
                  <c:v>99999999</c:v>
                </c:pt>
                <c:pt idx="219">
                  <c:v>99999999</c:v>
                </c:pt>
                <c:pt idx="220">
                  <c:v>99999999</c:v>
                </c:pt>
                <c:pt idx="221">
                  <c:v>99999999</c:v>
                </c:pt>
                <c:pt idx="222">
                  <c:v>99999999</c:v>
                </c:pt>
                <c:pt idx="223">
                  <c:v>99999999</c:v>
                </c:pt>
                <c:pt idx="224">
                  <c:v>99999999</c:v>
                </c:pt>
                <c:pt idx="225">
                  <c:v>99999999</c:v>
                </c:pt>
                <c:pt idx="226">
                  <c:v>99999999</c:v>
                </c:pt>
                <c:pt idx="227">
                  <c:v>99999999</c:v>
                </c:pt>
                <c:pt idx="228">
                  <c:v>99999999</c:v>
                </c:pt>
                <c:pt idx="229">
                  <c:v>99999999</c:v>
                </c:pt>
                <c:pt idx="230">
                  <c:v>99999999</c:v>
                </c:pt>
                <c:pt idx="231">
                  <c:v>99999999</c:v>
                </c:pt>
                <c:pt idx="232">
                  <c:v>99999999</c:v>
                </c:pt>
                <c:pt idx="233">
                  <c:v>99999999</c:v>
                </c:pt>
                <c:pt idx="234">
                  <c:v>99999999</c:v>
                </c:pt>
                <c:pt idx="235">
                  <c:v>99999999</c:v>
                </c:pt>
                <c:pt idx="236">
                  <c:v>99999999</c:v>
                </c:pt>
                <c:pt idx="237">
                  <c:v>99999999</c:v>
                </c:pt>
                <c:pt idx="238">
                  <c:v>99999999</c:v>
                </c:pt>
                <c:pt idx="239">
                  <c:v>99999999</c:v>
                </c:pt>
              </c:numCache>
            </c:numRef>
          </c:val>
          <c:extLst>
            <c:ext xmlns:c16="http://schemas.microsoft.com/office/drawing/2014/chart" uri="{C3380CC4-5D6E-409C-BE32-E72D297353CC}">
              <c16:uniqueId val="{00000004-BE00-4CBE-982C-AA5DFBD7850E}"/>
            </c:ext>
          </c:extLst>
        </c:ser>
        <c:dLbls>
          <c:showLegendKey val="0"/>
          <c:showVal val="0"/>
          <c:showCatName val="0"/>
          <c:showSerName val="0"/>
          <c:showPercent val="0"/>
          <c:showBubbleSize val="0"/>
        </c:dLbls>
        <c:axId val="122457088"/>
        <c:axId val="122458752"/>
      </c:areaChart>
      <c:lineChart>
        <c:grouping val="standard"/>
        <c:varyColors val="0"/>
        <c:ser>
          <c:idx val="1"/>
          <c:order val="0"/>
          <c:tx>
            <c:strRef>
              <c:f>Decomposition!$B$2</c:f>
              <c:strCache>
                <c:ptCount val="1"/>
                <c:pt idx="0">
                  <c:v>Industrial Production</c:v>
                </c:pt>
              </c:strCache>
            </c:strRef>
          </c:tx>
          <c:spPr>
            <a:ln w="34925" cap="rnd">
              <a:solidFill>
                <a:schemeClr val="accent1"/>
              </a:solidFill>
              <a:round/>
            </a:ln>
            <a:effectLst>
              <a:outerShdw blurRad="57150" dist="19050" dir="5400000" algn="ctr" rotWithShape="0">
                <a:srgbClr val="000000">
                  <a:alpha val="63000"/>
                </a:srgbClr>
              </a:outerShdw>
            </a:effectLst>
          </c:spPr>
          <c:marker>
            <c:symbol val="none"/>
          </c:marker>
          <c:cat>
            <c:numRef>
              <c:f>Decomposition!$A$3:$A$242</c:f>
              <c:numCache>
                <c:formatCode>[$-416]mmm\-yy;@</c:formatCode>
                <c:ptCount val="240"/>
                <c:pt idx="0">
                  <c:v>37257</c:v>
                </c:pt>
                <c:pt idx="1">
                  <c:v>37288</c:v>
                </c:pt>
                <c:pt idx="2">
                  <c:v>37316</c:v>
                </c:pt>
                <c:pt idx="3">
                  <c:v>37347</c:v>
                </c:pt>
                <c:pt idx="4">
                  <c:v>37377</c:v>
                </c:pt>
                <c:pt idx="5">
                  <c:v>37408</c:v>
                </c:pt>
                <c:pt idx="6">
                  <c:v>37438</c:v>
                </c:pt>
                <c:pt idx="7">
                  <c:v>37469</c:v>
                </c:pt>
                <c:pt idx="8">
                  <c:v>37500</c:v>
                </c:pt>
                <c:pt idx="9">
                  <c:v>37530</c:v>
                </c:pt>
                <c:pt idx="10">
                  <c:v>37561</c:v>
                </c:pt>
                <c:pt idx="11">
                  <c:v>37591</c:v>
                </c:pt>
                <c:pt idx="12">
                  <c:v>37622</c:v>
                </c:pt>
                <c:pt idx="13">
                  <c:v>37653</c:v>
                </c:pt>
                <c:pt idx="14">
                  <c:v>37681</c:v>
                </c:pt>
                <c:pt idx="15">
                  <c:v>37712</c:v>
                </c:pt>
                <c:pt idx="16">
                  <c:v>37742</c:v>
                </c:pt>
                <c:pt idx="17">
                  <c:v>37773</c:v>
                </c:pt>
                <c:pt idx="18">
                  <c:v>37803</c:v>
                </c:pt>
                <c:pt idx="19">
                  <c:v>37834</c:v>
                </c:pt>
                <c:pt idx="20">
                  <c:v>37865</c:v>
                </c:pt>
                <c:pt idx="21">
                  <c:v>37895</c:v>
                </c:pt>
                <c:pt idx="22">
                  <c:v>37926</c:v>
                </c:pt>
                <c:pt idx="23">
                  <c:v>37956</c:v>
                </c:pt>
                <c:pt idx="24">
                  <c:v>37987</c:v>
                </c:pt>
                <c:pt idx="25">
                  <c:v>38018</c:v>
                </c:pt>
                <c:pt idx="26">
                  <c:v>38047</c:v>
                </c:pt>
                <c:pt idx="27">
                  <c:v>38078</c:v>
                </c:pt>
                <c:pt idx="28">
                  <c:v>38108</c:v>
                </c:pt>
                <c:pt idx="29">
                  <c:v>38139</c:v>
                </c:pt>
                <c:pt idx="30">
                  <c:v>38169</c:v>
                </c:pt>
                <c:pt idx="31">
                  <c:v>38200</c:v>
                </c:pt>
                <c:pt idx="32">
                  <c:v>38231</c:v>
                </c:pt>
                <c:pt idx="33">
                  <c:v>38261</c:v>
                </c:pt>
                <c:pt idx="34">
                  <c:v>38292</c:v>
                </c:pt>
                <c:pt idx="35">
                  <c:v>38322</c:v>
                </c:pt>
                <c:pt idx="36">
                  <c:v>38353</c:v>
                </c:pt>
                <c:pt idx="37">
                  <c:v>38384</c:v>
                </c:pt>
                <c:pt idx="38">
                  <c:v>38412</c:v>
                </c:pt>
                <c:pt idx="39">
                  <c:v>38443</c:v>
                </c:pt>
                <c:pt idx="40">
                  <c:v>38473</c:v>
                </c:pt>
                <c:pt idx="41">
                  <c:v>38504</c:v>
                </c:pt>
                <c:pt idx="42">
                  <c:v>38534</c:v>
                </c:pt>
                <c:pt idx="43">
                  <c:v>38565</c:v>
                </c:pt>
                <c:pt idx="44">
                  <c:v>38596</c:v>
                </c:pt>
                <c:pt idx="45">
                  <c:v>38626</c:v>
                </c:pt>
                <c:pt idx="46">
                  <c:v>38657</c:v>
                </c:pt>
                <c:pt idx="47">
                  <c:v>38687</c:v>
                </c:pt>
                <c:pt idx="48">
                  <c:v>38718</c:v>
                </c:pt>
                <c:pt idx="49">
                  <c:v>38749</c:v>
                </c:pt>
                <c:pt idx="50">
                  <c:v>38777</c:v>
                </c:pt>
                <c:pt idx="51">
                  <c:v>38808</c:v>
                </c:pt>
                <c:pt idx="52">
                  <c:v>38838</c:v>
                </c:pt>
                <c:pt idx="53">
                  <c:v>38869</c:v>
                </c:pt>
                <c:pt idx="54">
                  <c:v>38899</c:v>
                </c:pt>
                <c:pt idx="55">
                  <c:v>38930</c:v>
                </c:pt>
                <c:pt idx="56">
                  <c:v>38961</c:v>
                </c:pt>
                <c:pt idx="57">
                  <c:v>38991</c:v>
                </c:pt>
                <c:pt idx="58">
                  <c:v>39022</c:v>
                </c:pt>
                <c:pt idx="59">
                  <c:v>39052</c:v>
                </c:pt>
                <c:pt idx="60">
                  <c:v>39083</c:v>
                </c:pt>
                <c:pt idx="61">
                  <c:v>39114</c:v>
                </c:pt>
                <c:pt idx="62">
                  <c:v>39142</c:v>
                </c:pt>
                <c:pt idx="63">
                  <c:v>39173</c:v>
                </c:pt>
                <c:pt idx="64">
                  <c:v>39203</c:v>
                </c:pt>
                <c:pt idx="65">
                  <c:v>39234</c:v>
                </c:pt>
                <c:pt idx="66">
                  <c:v>39264</c:v>
                </c:pt>
                <c:pt idx="67">
                  <c:v>39295</c:v>
                </c:pt>
                <c:pt idx="68">
                  <c:v>39326</c:v>
                </c:pt>
                <c:pt idx="69">
                  <c:v>39356</c:v>
                </c:pt>
                <c:pt idx="70">
                  <c:v>39387</c:v>
                </c:pt>
                <c:pt idx="71">
                  <c:v>39417</c:v>
                </c:pt>
                <c:pt idx="72">
                  <c:v>39448</c:v>
                </c:pt>
                <c:pt idx="73">
                  <c:v>39479</c:v>
                </c:pt>
                <c:pt idx="74">
                  <c:v>39508</c:v>
                </c:pt>
                <c:pt idx="75">
                  <c:v>39539</c:v>
                </c:pt>
                <c:pt idx="76">
                  <c:v>39569</c:v>
                </c:pt>
                <c:pt idx="77">
                  <c:v>39600</c:v>
                </c:pt>
                <c:pt idx="78">
                  <c:v>39630</c:v>
                </c:pt>
                <c:pt idx="79">
                  <c:v>39661</c:v>
                </c:pt>
                <c:pt idx="80">
                  <c:v>39692</c:v>
                </c:pt>
                <c:pt idx="81">
                  <c:v>39722</c:v>
                </c:pt>
                <c:pt idx="82">
                  <c:v>39753</c:v>
                </c:pt>
                <c:pt idx="83">
                  <c:v>39783</c:v>
                </c:pt>
                <c:pt idx="84">
                  <c:v>39814</c:v>
                </c:pt>
                <c:pt idx="85">
                  <c:v>39845</c:v>
                </c:pt>
                <c:pt idx="86">
                  <c:v>39873</c:v>
                </c:pt>
                <c:pt idx="87">
                  <c:v>39904</c:v>
                </c:pt>
                <c:pt idx="88">
                  <c:v>39934</c:v>
                </c:pt>
                <c:pt idx="89">
                  <c:v>39965</c:v>
                </c:pt>
                <c:pt idx="90">
                  <c:v>39995</c:v>
                </c:pt>
                <c:pt idx="91">
                  <c:v>40026</c:v>
                </c:pt>
                <c:pt idx="92">
                  <c:v>40057</c:v>
                </c:pt>
                <c:pt idx="93">
                  <c:v>40087</c:v>
                </c:pt>
                <c:pt idx="94">
                  <c:v>40118</c:v>
                </c:pt>
                <c:pt idx="95">
                  <c:v>40148</c:v>
                </c:pt>
                <c:pt idx="96">
                  <c:v>40179</c:v>
                </c:pt>
                <c:pt idx="97">
                  <c:v>40210</c:v>
                </c:pt>
                <c:pt idx="98">
                  <c:v>40238</c:v>
                </c:pt>
                <c:pt idx="99">
                  <c:v>40269</c:v>
                </c:pt>
                <c:pt idx="100">
                  <c:v>40299</c:v>
                </c:pt>
                <c:pt idx="101">
                  <c:v>40330</c:v>
                </c:pt>
                <c:pt idx="102">
                  <c:v>40360</c:v>
                </c:pt>
                <c:pt idx="103">
                  <c:v>40391</c:v>
                </c:pt>
                <c:pt idx="104">
                  <c:v>40422</c:v>
                </c:pt>
                <c:pt idx="105">
                  <c:v>40452</c:v>
                </c:pt>
                <c:pt idx="106">
                  <c:v>40483</c:v>
                </c:pt>
                <c:pt idx="107">
                  <c:v>40513</c:v>
                </c:pt>
                <c:pt idx="108">
                  <c:v>40544</c:v>
                </c:pt>
                <c:pt idx="109">
                  <c:v>40575</c:v>
                </c:pt>
                <c:pt idx="110">
                  <c:v>40603</c:v>
                </c:pt>
                <c:pt idx="111">
                  <c:v>40634</c:v>
                </c:pt>
                <c:pt idx="112">
                  <c:v>40664</c:v>
                </c:pt>
                <c:pt idx="113">
                  <c:v>40695</c:v>
                </c:pt>
                <c:pt idx="114">
                  <c:v>40725</c:v>
                </c:pt>
                <c:pt idx="115">
                  <c:v>40756</c:v>
                </c:pt>
                <c:pt idx="116">
                  <c:v>40787</c:v>
                </c:pt>
                <c:pt idx="117">
                  <c:v>40817</c:v>
                </c:pt>
                <c:pt idx="118">
                  <c:v>40848</c:v>
                </c:pt>
                <c:pt idx="119">
                  <c:v>40878</c:v>
                </c:pt>
                <c:pt idx="120">
                  <c:v>40909</c:v>
                </c:pt>
                <c:pt idx="121">
                  <c:v>40940</c:v>
                </c:pt>
                <c:pt idx="122">
                  <c:v>40969</c:v>
                </c:pt>
                <c:pt idx="123">
                  <c:v>41000</c:v>
                </c:pt>
                <c:pt idx="124">
                  <c:v>41030</c:v>
                </c:pt>
                <c:pt idx="125">
                  <c:v>41061</c:v>
                </c:pt>
                <c:pt idx="126">
                  <c:v>41091</c:v>
                </c:pt>
                <c:pt idx="127">
                  <c:v>41122</c:v>
                </c:pt>
                <c:pt idx="128">
                  <c:v>41153</c:v>
                </c:pt>
                <c:pt idx="129">
                  <c:v>41183</c:v>
                </c:pt>
                <c:pt idx="130">
                  <c:v>41214</c:v>
                </c:pt>
                <c:pt idx="131">
                  <c:v>41244</c:v>
                </c:pt>
                <c:pt idx="132">
                  <c:v>41275</c:v>
                </c:pt>
                <c:pt idx="133">
                  <c:v>41306</c:v>
                </c:pt>
                <c:pt idx="134">
                  <c:v>41334</c:v>
                </c:pt>
                <c:pt idx="135">
                  <c:v>41365</c:v>
                </c:pt>
                <c:pt idx="136">
                  <c:v>41395</c:v>
                </c:pt>
                <c:pt idx="137">
                  <c:v>41426</c:v>
                </c:pt>
                <c:pt idx="138">
                  <c:v>41456</c:v>
                </c:pt>
                <c:pt idx="139">
                  <c:v>41487</c:v>
                </c:pt>
                <c:pt idx="140">
                  <c:v>41518</c:v>
                </c:pt>
                <c:pt idx="141">
                  <c:v>41548</c:v>
                </c:pt>
                <c:pt idx="142">
                  <c:v>41579</c:v>
                </c:pt>
                <c:pt idx="143">
                  <c:v>41609</c:v>
                </c:pt>
                <c:pt idx="144">
                  <c:v>41640</c:v>
                </c:pt>
                <c:pt idx="145">
                  <c:v>41671</c:v>
                </c:pt>
                <c:pt idx="146">
                  <c:v>41699</c:v>
                </c:pt>
                <c:pt idx="147">
                  <c:v>41730</c:v>
                </c:pt>
                <c:pt idx="148">
                  <c:v>41760</c:v>
                </c:pt>
                <c:pt idx="149">
                  <c:v>41791</c:v>
                </c:pt>
                <c:pt idx="150">
                  <c:v>41821</c:v>
                </c:pt>
                <c:pt idx="151">
                  <c:v>41852</c:v>
                </c:pt>
                <c:pt idx="152">
                  <c:v>41883</c:v>
                </c:pt>
                <c:pt idx="153">
                  <c:v>41913</c:v>
                </c:pt>
                <c:pt idx="154">
                  <c:v>41944</c:v>
                </c:pt>
                <c:pt idx="155">
                  <c:v>41974</c:v>
                </c:pt>
                <c:pt idx="156">
                  <c:v>42005</c:v>
                </c:pt>
                <c:pt idx="157">
                  <c:v>42036</c:v>
                </c:pt>
                <c:pt idx="158">
                  <c:v>42064</c:v>
                </c:pt>
                <c:pt idx="159">
                  <c:v>42095</c:v>
                </c:pt>
                <c:pt idx="160">
                  <c:v>42125</c:v>
                </c:pt>
                <c:pt idx="161">
                  <c:v>42156</c:v>
                </c:pt>
                <c:pt idx="162">
                  <c:v>42186</c:v>
                </c:pt>
                <c:pt idx="163">
                  <c:v>42217</c:v>
                </c:pt>
                <c:pt idx="164">
                  <c:v>42248</c:v>
                </c:pt>
                <c:pt idx="165">
                  <c:v>42278</c:v>
                </c:pt>
                <c:pt idx="166">
                  <c:v>42309</c:v>
                </c:pt>
                <c:pt idx="167">
                  <c:v>42339</c:v>
                </c:pt>
                <c:pt idx="168">
                  <c:v>42370</c:v>
                </c:pt>
                <c:pt idx="169">
                  <c:v>42401</c:v>
                </c:pt>
                <c:pt idx="170">
                  <c:v>42430</c:v>
                </c:pt>
                <c:pt idx="171">
                  <c:v>42461</c:v>
                </c:pt>
                <c:pt idx="172">
                  <c:v>42491</c:v>
                </c:pt>
                <c:pt idx="173">
                  <c:v>42522</c:v>
                </c:pt>
                <c:pt idx="174">
                  <c:v>42552</c:v>
                </c:pt>
                <c:pt idx="175">
                  <c:v>42583</c:v>
                </c:pt>
                <c:pt idx="176">
                  <c:v>42614</c:v>
                </c:pt>
                <c:pt idx="177">
                  <c:v>42644</c:v>
                </c:pt>
                <c:pt idx="178">
                  <c:v>42675</c:v>
                </c:pt>
                <c:pt idx="179">
                  <c:v>42705</c:v>
                </c:pt>
                <c:pt idx="180">
                  <c:v>42736</c:v>
                </c:pt>
                <c:pt idx="181">
                  <c:v>42767</c:v>
                </c:pt>
                <c:pt idx="182">
                  <c:v>42795</c:v>
                </c:pt>
                <c:pt idx="183">
                  <c:v>42826</c:v>
                </c:pt>
                <c:pt idx="184">
                  <c:v>42856</c:v>
                </c:pt>
                <c:pt idx="185">
                  <c:v>42887</c:v>
                </c:pt>
                <c:pt idx="186">
                  <c:v>42917</c:v>
                </c:pt>
                <c:pt idx="187">
                  <c:v>42948</c:v>
                </c:pt>
                <c:pt idx="188">
                  <c:v>42979</c:v>
                </c:pt>
                <c:pt idx="189">
                  <c:v>43009</c:v>
                </c:pt>
                <c:pt idx="190">
                  <c:v>43040</c:v>
                </c:pt>
                <c:pt idx="191">
                  <c:v>43070</c:v>
                </c:pt>
                <c:pt idx="192">
                  <c:v>43101</c:v>
                </c:pt>
                <c:pt idx="193">
                  <c:v>43132</c:v>
                </c:pt>
                <c:pt idx="194">
                  <c:v>43160</c:v>
                </c:pt>
                <c:pt idx="195">
                  <c:v>43191</c:v>
                </c:pt>
                <c:pt idx="196">
                  <c:v>43221</c:v>
                </c:pt>
                <c:pt idx="197">
                  <c:v>43252</c:v>
                </c:pt>
                <c:pt idx="198">
                  <c:v>43282</c:v>
                </c:pt>
                <c:pt idx="199">
                  <c:v>43313</c:v>
                </c:pt>
                <c:pt idx="200">
                  <c:v>43344</c:v>
                </c:pt>
                <c:pt idx="201">
                  <c:v>43374</c:v>
                </c:pt>
                <c:pt idx="202">
                  <c:v>43405</c:v>
                </c:pt>
                <c:pt idx="203">
                  <c:v>43435</c:v>
                </c:pt>
                <c:pt idx="204">
                  <c:v>43466</c:v>
                </c:pt>
                <c:pt idx="205">
                  <c:v>43497</c:v>
                </c:pt>
                <c:pt idx="206">
                  <c:v>43525</c:v>
                </c:pt>
                <c:pt idx="207">
                  <c:v>43556</c:v>
                </c:pt>
                <c:pt idx="208">
                  <c:v>43586</c:v>
                </c:pt>
                <c:pt idx="209">
                  <c:v>43617</c:v>
                </c:pt>
                <c:pt idx="210">
                  <c:v>43647</c:v>
                </c:pt>
                <c:pt idx="211">
                  <c:v>43678</c:v>
                </c:pt>
                <c:pt idx="212">
                  <c:v>43709</c:v>
                </c:pt>
                <c:pt idx="213">
                  <c:v>43739</c:v>
                </c:pt>
                <c:pt idx="214">
                  <c:v>43770</c:v>
                </c:pt>
                <c:pt idx="215">
                  <c:v>43800</c:v>
                </c:pt>
                <c:pt idx="216">
                  <c:v>43831</c:v>
                </c:pt>
                <c:pt idx="217">
                  <c:v>43862</c:v>
                </c:pt>
                <c:pt idx="218">
                  <c:v>43891</c:v>
                </c:pt>
                <c:pt idx="219">
                  <c:v>43922</c:v>
                </c:pt>
                <c:pt idx="220">
                  <c:v>43952</c:v>
                </c:pt>
                <c:pt idx="221">
                  <c:v>43983</c:v>
                </c:pt>
                <c:pt idx="222">
                  <c:v>44013</c:v>
                </c:pt>
                <c:pt idx="223">
                  <c:v>44044</c:v>
                </c:pt>
                <c:pt idx="224">
                  <c:v>44075</c:v>
                </c:pt>
                <c:pt idx="225">
                  <c:v>44105</c:v>
                </c:pt>
                <c:pt idx="226">
                  <c:v>44136</c:v>
                </c:pt>
                <c:pt idx="227">
                  <c:v>44166</c:v>
                </c:pt>
                <c:pt idx="228">
                  <c:v>44197</c:v>
                </c:pt>
                <c:pt idx="229">
                  <c:v>44228</c:v>
                </c:pt>
                <c:pt idx="230">
                  <c:v>44256</c:v>
                </c:pt>
                <c:pt idx="231">
                  <c:v>44287</c:v>
                </c:pt>
                <c:pt idx="232">
                  <c:v>44317</c:v>
                </c:pt>
                <c:pt idx="233">
                  <c:v>44348</c:v>
                </c:pt>
                <c:pt idx="234">
                  <c:v>44378</c:v>
                </c:pt>
                <c:pt idx="235">
                  <c:v>44409</c:v>
                </c:pt>
                <c:pt idx="236">
                  <c:v>44440</c:v>
                </c:pt>
                <c:pt idx="237">
                  <c:v>44470</c:v>
                </c:pt>
                <c:pt idx="238">
                  <c:v>44501</c:v>
                </c:pt>
                <c:pt idx="239">
                  <c:v>44531</c:v>
                </c:pt>
              </c:numCache>
            </c:numRef>
          </c:cat>
          <c:val>
            <c:numRef>
              <c:f>Decomposition!$B$3:$B$242</c:f>
              <c:numCache>
                <c:formatCode>0.0</c:formatCode>
                <c:ptCount val="240"/>
                <c:pt idx="0">
                  <c:v>72.400000000000006</c:v>
                </c:pt>
                <c:pt idx="1">
                  <c:v>69.7</c:v>
                </c:pt>
                <c:pt idx="2">
                  <c:v>77.400000000000006</c:v>
                </c:pt>
                <c:pt idx="3">
                  <c:v>79.599999999999994</c:v>
                </c:pt>
                <c:pt idx="4">
                  <c:v>80.400000000000006</c:v>
                </c:pt>
                <c:pt idx="5">
                  <c:v>77.5</c:v>
                </c:pt>
                <c:pt idx="6">
                  <c:v>83.3</c:v>
                </c:pt>
                <c:pt idx="7">
                  <c:v>83.6</c:v>
                </c:pt>
                <c:pt idx="8">
                  <c:v>82.1</c:v>
                </c:pt>
                <c:pt idx="9">
                  <c:v>89.2</c:v>
                </c:pt>
                <c:pt idx="10">
                  <c:v>83.9</c:v>
                </c:pt>
                <c:pt idx="11">
                  <c:v>74.599999999999994</c:v>
                </c:pt>
                <c:pt idx="12">
                  <c:v>74</c:v>
                </c:pt>
                <c:pt idx="13">
                  <c:v>71.8</c:v>
                </c:pt>
                <c:pt idx="14">
                  <c:v>77.400000000000006</c:v>
                </c:pt>
                <c:pt idx="15">
                  <c:v>76.5</c:v>
                </c:pt>
                <c:pt idx="16">
                  <c:v>79.7</c:v>
                </c:pt>
                <c:pt idx="17">
                  <c:v>76.3</c:v>
                </c:pt>
                <c:pt idx="18">
                  <c:v>81.3</c:v>
                </c:pt>
                <c:pt idx="19">
                  <c:v>81.599999999999994</c:v>
                </c:pt>
                <c:pt idx="20">
                  <c:v>85.7</c:v>
                </c:pt>
                <c:pt idx="21">
                  <c:v>90</c:v>
                </c:pt>
                <c:pt idx="22">
                  <c:v>84.6</c:v>
                </c:pt>
                <c:pt idx="23">
                  <c:v>77.900000000000006</c:v>
                </c:pt>
                <c:pt idx="24">
                  <c:v>76.8</c:v>
                </c:pt>
                <c:pt idx="25">
                  <c:v>74</c:v>
                </c:pt>
                <c:pt idx="26">
                  <c:v>86.9</c:v>
                </c:pt>
                <c:pt idx="27">
                  <c:v>82.2</c:v>
                </c:pt>
                <c:pt idx="28">
                  <c:v>86.3</c:v>
                </c:pt>
                <c:pt idx="29">
                  <c:v>86.1</c:v>
                </c:pt>
                <c:pt idx="30">
                  <c:v>90.1</c:v>
                </c:pt>
                <c:pt idx="31">
                  <c:v>92.1</c:v>
                </c:pt>
                <c:pt idx="32">
                  <c:v>92.1</c:v>
                </c:pt>
                <c:pt idx="33">
                  <c:v>93.5</c:v>
                </c:pt>
                <c:pt idx="34">
                  <c:v>91.8</c:v>
                </c:pt>
                <c:pt idx="35">
                  <c:v>84.7</c:v>
                </c:pt>
                <c:pt idx="36">
                  <c:v>81</c:v>
                </c:pt>
                <c:pt idx="37">
                  <c:v>76.400000000000006</c:v>
                </c:pt>
                <c:pt idx="38">
                  <c:v>88</c:v>
                </c:pt>
                <c:pt idx="39">
                  <c:v>87</c:v>
                </c:pt>
                <c:pt idx="40">
                  <c:v>91.1</c:v>
                </c:pt>
                <c:pt idx="41">
                  <c:v>91.4</c:v>
                </c:pt>
                <c:pt idx="42">
                  <c:v>90.5</c:v>
                </c:pt>
                <c:pt idx="43">
                  <c:v>95.6</c:v>
                </c:pt>
                <c:pt idx="44">
                  <c:v>92</c:v>
                </c:pt>
                <c:pt idx="45">
                  <c:v>93.7</c:v>
                </c:pt>
                <c:pt idx="46">
                  <c:v>92.4</c:v>
                </c:pt>
                <c:pt idx="47">
                  <c:v>86.6</c:v>
                </c:pt>
                <c:pt idx="48">
                  <c:v>83.7</c:v>
                </c:pt>
                <c:pt idx="49">
                  <c:v>80.2</c:v>
                </c:pt>
                <c:pt idx="50">
                  <c:v>92.4</c:v>
                </c:pt>
                <c:pt idx="51">
                  <c:v>85.7</c:v>
                </c:pt>
                <c:pt idx="52">
                  <c:v>95.4</c:v>
                </c:pt>
                <c:pt idx="53">
                  <c:v>91.1</c:v>
                </c:pt>
                <c:pt idx="54">
                  <c:v>93.8</c:v>
                </c:pt>
                <c:pt idx="55">
                  <c:v>98.6</c:v>
                </c:pt>
                <c:pt idx="56">
                  <c:v>93.2</c:v>
                </c:pt>
                <c:pt idx="57">
                  <c:v>97.5</c:v>
                </c:pt>
                <c:pt idx="58">
                  <c:v>95.9</c:v>
                </c:pt>
                <c:pt idx="59">
                  <c:v>87</c:v>
                </c:pt>
                <c:pt idx="60">
                  <c:v>87</c:v>
                </c:pt>
                <c:pt idx="61">
                  <c:v>82.6</c:v>
                </c:pt>
                <c:pt idx="62">
                  <c:v>96.4</c:v>
                </c:pt>
                <c:pt idx="63">
                  <c:v>90.6</c:v>
                </c:pt>
                <c:pt idx="64">
                  <c:v>99.9</c:v>
                </c:pt>
                <c:pt idx="65">
                  <c:v>96.9</c:v>
                </c:pt>
                <c:pt idx="66">
                  <c:v>99.8</c:v>
                </c:pt>
                <c:pt idx="67">
                  <c:v>104.9</c:v>
                </c:pt>
                <c:pt idx="68">
                  <c:v>98.4</c:v>
                </c:pt>
                <c:pt idx="69">
                  <c:v>107.8</c:v>
                </c:pt>
                <c:pt idx="70">
                  <c:v>102.4</c:v>
                </c:pt>
                <c:pt idx="71">
                  <c:v>92.6</c:v>
                </c:pt>
                <c:pt idx="72">
                  <c:v>94.8</c:v>
                </c:pt>
                <c:pt idx="73">
                  <c:v>91.1</c:v>
                </c:pt>
                <c:pt idx="74">
                  <c:v>97.7</c:v>
                </c:pt>
                <c:pt idx="75">
                  <c:v>99.2</c:v>
                </c:pt>
                <c:pt idx="76">
                  <c:v>102.5</c:v>
                </c:pt>
                <c:pt idx="77">
                  <c:v>103.3</c:v>
                </c:pt>
                <c:pt idx="78">
                  <c:v>108.5</c:v>
                </c:pt>
                <c:pt idx="79">
                  <c:v>106.9</c:v>
                </c:pt>
                <c:pt idx="80">
                  <c:v>107.3</c:v>
                </c:pt>
                <c:pt idx="81">
                  <c:v>108.4</c:v>
                </c:pt>
                <c:pt idx="82">
                  <c:v>96.2</c:v>
                </c:pt>
                <c:pt idx="83">
                  <c:v>79.099999999999994</c:v>
                </c:pt>
                <c:pt idx="84">
                  <c:v>78.7</c:v>
                </c:pt>
                <c:pt idx="85">
                  <c:v>76.099999999999994</c:v>
                </c:pt>
                <c:pt idx="86">
                  <c:v>88.6</c:v>
                </c:pt>
                <c:pt idx="87">
                  <c:v>85.2</c:v>
                </c:pt>
                <c:pt idx="88">
                  <c:v>91.3</c:v>
                </c:pt>
                <c:pt idx="89">
                  <c:v>92.2</c:v>
                </c:pt>
                <c:pt idx="90">
                  <c:v>97.7</c:v>
                </c:pt>
                <c:pt idx="91">
                  <c:v>99.6</c:v>
                </c:pt>
                <c:pt idx="92">
                  <c:v>99.4</c:v>
                </c:pt>
                <c:pt idx="93">
                  <c:v>105.6</c:v>
                </c:pt>
                <c:pt idx="94">
                  <c:v>101.4</c:v>
                </c:pt>
                <c:pt idx="95">
                  <c:v>94.1</c:v>
                </c:pt>
                <c:pt idx="96">
                  <c:v>91.2</c:v>
                </c:pt>
                <c:pt idx="97">
                  <c:v>89</c:v>
                </c:pt>
                <c:pt idx="98">
                  <c:v>105.1</c:v>
                </c:pt>
                <c:pt idx="99">
                  <c:v>99.3</c:v>
                </c:pt>
                <c:pt idx="100">
                  <c:v>104.3</c:v>
                </c:pt>
                <c:pt idx="101">
                  <c:v>102.5</c:v>
                </c:pt>
                <c:pt idx="102">
                  <c:v>106.9</c:v>
                </c:pt>
                <c:pt idx="103">
                  <c:v>108.1</c:v>
                </c:pt>
                <c:pt idx="104">
                  <c:v>105.8</c:v>
                </c:pt>
                <c:pt idx="105">
                  <c:v>107.7</c:v>
                </c:pt>
                <c:pt idx="106">
                  <c:v>106.8</c:v>
                </c:pt>
                <c:pt idx="107">
                  <c:v>96.6</c:v>
                </c:pt>
                <c:pt idx="108">
                  <c:v>93.2</c:v>
                </c:pt>
                <c:pt idx="109">
                  <c:v>95.4</c:v>
                </c:pt>
                <c:pt idx="110">
                  <c:v>104.4</c:v>
                </c:pt>
                <c:pt idx="111">
                  <c:v>97.5</c:v>
                </c:pt>
                <c:pt idx="112">
                  <c:v>107.1</c:v>
                </c:pt>
                <c:pt idx="113">
                  <c:v>102.8</c:v>
                </c:pt>
                <c:pt idx="114">
                  <c:v>106.1</c:v>
                </c:pt>
                <c:pt idx="115">
                  <c:v>110.8</c:v>
                </c:pt>
                <c:pt idx="116">
                  <c:v>104.8</c:v>
                </c:pt>
                <c:pt idx="117">
                  <c:v>106.3</c:v>
                </c:pt>
                <c:pt idx="118">
                  <c:v>104.2</c:v>
                </c:pt>
                <c:pt idx="119">
                  <c:v>95.7</c:v>
                </c:pt>
                <c:pt idx="120">
                  <c:v>88.7</c:v>
                </c:pt>
                <c:pt idx="121">
                  <c:v>89.8</c:v>
                </c:pt>
                <c:pt idx="122">
                  <c:v>99.7</c:v>
                </c:pt>
                <c:pt idx="123">
                  <c:v>92.8</c:v>
                </c:pt>
                <c:pt idx="124">
                  <c:v>102.5</c:v>
                </c:pt>
                <c:pt idx="125">
                  <c:v>98.3</c:v>
                </c:pt>
                <c:pt idx="126">
                  <c:v>104.5</c:v>
                </c:pt>
                <c:pt idx="127">
                  <c:v>111.5</c:v>
                </c:pt>
                <c:pt idx="128">
                  <c:v>103.4</c:v>
                </c:pt>
                <c:pt idx="129">
                  <c:v>111.8</c:v>
                </c:pt>
                <c:pt idx="130">
                  <c:v>104.8</c:v>
                </c:pt>
                <c:pt idx="131">
                  <c:v>92.2</c:v>
                </c:pt>
                <c:pt idx="132">
                  <c:v>94.5</c:v>
                </c:pt>
                <c:pt idx="133">
                  <c:v>88.1</c:v>
                </c:pt>
                <c:pt idx="134">
                  <c:v>97.7</c:v>
                </c:pt>
                <c:pt idx="135">
                  <c:v>101.8</c:v>
                </c:pt>
                <c:pt idx="136">
                  <c:v>105</c:v>
                </c:pt>
                <c:pt idx="137">
                  <c:v>101.7</c:v>
                </c:pt>
                <c:pt idx="138">
                  <c:v>108</c:v>
                </c:pt>
                <c:pt idx="139">
                  <c:v>112</c:v>
                </c:pt>
                <c:pt idx="140">
                  <c:v>107.3</c:v>
                </c:pt>
                <c:pt idx="141">
                  <c:v>112.6</c:v>
                </c:pt>
                <c:pt idx="142">
                  <c:v>106.1</c:v>
                </c:pt>
                <c:pt idx="143">
                  <c:v>90.1</c:v>
                </c:pt>
                <c:pt idx="144">
                  <c:v>92.6</c:v>
                </c:pt>
                <c:pt idx="145">
                  <c:v>92.3</c:v>
                </c:pt>
                <c:pt idx="146">
                  <c:v>97.3</c:v>
                </c:pt>
                <c:pt idx="147">
                  <c:v>96</c:v>
                </c:pt>
                <c:pt idx="148">
                  <c:v>101.7</c:v>
                </c:pt>
                <c:pt idx="149">
                  <c:v>94.9</c:v>
                </c:pt>
                <c:pt idx="150">
                  <c:v>104.4</c:v>
                </c:pt>
                <c:pt idx="151">
                  <c:v>106.3</c:v>
                </c:pt>
                <c:pt idx="152">
                  <c:v>105.6</c:v>
                </c:pt>
                <c:pt idx="153">
                  <c:v>109.3</c:v>
                </c:pt>
                <c:pt idx="154">
                  <c:v>99.8</c:v>
                </c:pt>
                <c:pt idx="155">
                  <c:v>87.7</c:v>
                </c:pt>
                <c:pt idx="156">
                  <c:v>88.1</c:v>
                </c:pt>
                <c:pt idx="157">
                  <c:v>83.7</c:v>
                </c:pt>
                <c:pt idx="158">
                  <c:v>94.3</c:v>
                </c:pt>
                <c:pt idx="159">
                  <c:v>88.8</c:v>
                </c:pt>
                <c:pt idx="160">
                  <c:v>93.1</c:v>
                </c:pt>
                <c:pt idx="161">
                  <c:v>92.5</c:v>
                </c:pt>
                <c:pt idx="162">
                  <c:v>95.5</c:v>
                </c:pt>
                <c:pt idx="163">
                  <c:v>97.6</c:v>
                </c:pt>
                <c:pt idx="164">
                  <c:v>94.3</c:v>
                </c:pt>
                <c:pt idx="165">
                  <c:v>97.2</c:v>
                </c:pt>
                <c:pt idx="166">
                  <c:v>87.6</c:v>
                </c:pt>
                <c:pt idx="167">
                  <c:v>77.2</c:v>
                </c:pt>
                <c:pt idx="168">
                  <c:v>76.3</c:v>
                </c:pt>
                <c:pt idx="169">
                  <c:v>75.8</c:v>
                </c:pt>
                <c:pt idx="170">
                  <c:v>83.7</c:v>
                </c:pt>
                <c:pt idx="171">
                  <c:v>83</c:v>
                </c:pt>
                <c:pt idx="172">
                  <c:v>86.3</c:v>
                </c:pt>
                <c:pt idx="173">
                  <c:v>87.7</c:v>
                </c:pt>
                <c:pt idx="174">
                  <c:v>89.6</c:v>
                </c:pt>
                <c:pt idx="175">
                  <c:v>93</c:v>
                </c:pt>
                <c:pt idx="176">
                  <c:v>90.7</c:v>
                </c:pt>
                <c:pt idx="177">
                  <c:v>90.2</c:v>
                </c:pt>
                <c:pt idx="178">
                  <c:v>86.5</c:v>
                </c:pt>
                <c:pt idx="179">
                  <c:v>77.2</c:v>
                </c:pt>
                <c:pt idx="180">
                  <c:v>77.900000000000006</c:v>
                </c:pt>
                <c:pt idx="181">
                  <c:v>75.900000000000006</c:v>
                </c:pt>
                <c:pt idx="182">
                  <c:v>85.4</c:v>
                </c:pt>
                <c:pt idx="183">
                  <c:v>79.3</c:v>
                </c:pt>
                <c:pt idx="184">
                  <c:v>90.1</c:v>
                </c:pt>
                <c:pt idx="185">
                  <c:v>88.4</c:v>
                </c:pt>
                <c:pt idx="186">
                  <c:v>92.1</c:v>
                </c:pt>
                <c:pt idx="187">
                  <c:v>96.7</c:v>
                </c:pt>
                <c:pt idx="188">
                  <c:v>93</c:v>
                </c:pt>
                <c:pt idx="189">
                  <c:v>95.1</c:v>
                </c:pt>
                <c:pt idx="190">
                  <c:v>90.6</c:v>
                </c:pt>
                <c:pt idx="191">
                  <c:v>81</c:v>
                </c:pt>
                <c:pt idx="192">
                  <c:v>82.3</c:v>
                </c:pt>
                <c:pt idx="193">
                  <c:v>77.3</c:v>
                </c:pt>
                <c:pt idx="194">
                  <c:v>86.2</c:v>
                </c:pt>
                <c:pt idx="195">
                  <c:v>86.5</c:v>
                </c:pt>
                <c:pt idx="196">
                  <c:v>84.4</c:v>
                </c:pt>
                <c:pt idx="197">
                  <c:v>91.1</c:v>
                </c:pt>
                <c:pt idx="198">
                  <c:v>95.8</c:v>
                </c:pt>
                <c:pt idx="199">
                  <c:v>98.2</c:v>
                </c:pt>
                <c:pt idx="200">
                  <c:v>90.7</c:v>
                </c:pt>
                <c:pt idx="201">
                  <c:v>95.8</c:v>
                </c:pt>
                <c:pt idx="202">
                  <c:v>89.5</c:v>
                </c:pt>
                <c:pt idx="203">
                  <c:v>78</c:v>
                </c:pt>
                <c:pt idx="204">
                  <c:v>80.7</c:v>
                </c:pt>
                <c:pt idx="205">
                  <c:v>79.099999999999994</c:v>
                </c:pt>
                <c:pt idx="206">
                  <c:v>81</c:v>
                </c:pt>
                <c:pt idx="207">
                  <c:v>83.3</c:v>
                </c:pt>
                <c:pt idx="208">
                  <c:v>91</c:v>
                </c:pt>
                <c:pt idx="209">
                  <c:v>85.8</c:v>
                </c:pt>
                <c:pt idx="210">
                  <c:v>93.4</c:v>
                </c:pt>
                <c:pt idx="211">
                  <c:v>96.2</c:v>
                </c:pt>
                <c:pt idx="212">
                  <c:v>91.8</c:v>
                </c:pt>
                <c:pt idx="213">
                  <c:v>97</c:v>
                </c:pt>
                <c:pt idx="214">
                  <c:v>88</c:v>
                </c:pt>
                <c:pt idx="215">
                  <c:v>76.900000000000006</c:v>
                </c:pt>
                <c:pt idx="216">
                  <c:v>80</c:v>
                </c:pt>
                <c:pt idx="217">
                  <c:v>78.900000000000006</c:v>
                </c:pt>
                <c:pt idx="218">
                  <c:v>77.900000000000006</c:v>
                </c:pt>
                <c:pt idx="219">
                  <c:v>60.3</c:v>
                </c:pt>
                <c:pt idx="220">
                  <c:v>71.2</c:v>
                </c:pt>
                <c:pt idx="221">
                  <c:v>78.400000000000006</c:v>
                </c:pt>
                <c:pt idx="222">
                  <c:v>91</c:v>
                </c:pt>
                <c:pt idx="223">
                  <c:v>93.9</c:v>
                </c:pt>
                <c:pt idx="224">
                  <c:v>95.4</c:v>
                </c:pt>
                <c:pt idx="225">
                  <c:v>97.3</c:v>
                </c:pt>
                <c:pt idx="226">
                  <c:v>90.2</c:v>
                </c:pt>
                <c:pt idx="227" formatCode="General">
                  <c:v>83.3</c:v>
                </c:pt>
                <c:pt idx="228" formatCode="General">
                  <c:v>81.900000000000006</c:v>
                </c:pt>
                <c:pt idx="229" formatCode="General">
                  <c:v>79.099999999999994</c:v>
                </c:pt>
                <c:pt idx="230" formatCode="General">
                  <c:v>86.1</c:v>
                </c:pt>
                <c:pt idx="231" formatCode="General">
                  <c:v>81.3</c:v>
                </c:pt>
                <c:pt idx="232" formatCode="General">
                  <c:v>88.4</c:v>
                </c:pt>
                <c:pt idx="233" formatCode="General">
                  <c:v>87.9</c:v>
                </c:pt>
                <c:pt idx="234" formatCode="General">
                  <c:v>92.2</c:v>
                </c:pt>
                <c:pt idx="235" formatCode="General">
                  <c:v>93.4</c:v>
                </c:pt>
                <c:pt idx="236" formatCode="General">
                  <c:v>91.5</c:v>
                </c:pt>
                <c:pt idx="237" formatCode="General">
                  <c:v>89.7</c:v>
                </c:pt>
                <c:pt idx="238" formatCode="General">
                  <c:v>86.2</c:v>
                </c:pt>
                <c:pt idx="239" formatCode="General">
                  <c:v>79.2</c:v>
                </c:pt>
              </c:numCache>
            </c:numRef>
          </c:val>
          <c:smooth val="0"/>
          <c:extLst>
            <c:ext xmlns:c16="http://schemas.microsoft.com/office/drawing/2014/chart" uri="{C3380CC4-5D6E-409C-BE32-E72D297353CC}">
              <c16:uniqueId val="{00000000-BE00-4CBE-982C-AA5DFBD7850E}"/>
            </c:ext>
          </c:extLst>
        </c:ser>
        <c:ser>
          <c:idx val="2"/>
          <c:order val="1"/>
          <c:tx>
            <c:v>Seasonally Adjusted</c:v>
          </c:tx>
          <c:spPr>
            <a:ln w="34925" cap="rnd">
              <a:solidFill>
                <a:schemeClr val="accent2"/>
              </a:solidFill>
              <a:round/>
            </a:ln>
            <a:effectLst>
              <a:outerShdw blurRad="57150" dist="19050" dir="5400000" algn="ctr" rotWithShape="0">
                <a:srgbClr val="000000">
                  <a:alpha val="63000"/>
                </a:srgbClr>
              </a:outerShdw>
            </a:effectLst>
          </c:spPr>
          <c:marker>
            <c:symbol val="none"/>
          </c:marker>
          <c:cat>
            <c:numRef>
              <c:f>Decomposition!$A$3:$A$242</c:f>
              <c:numCache>
                <c:formatCode>[$-416]mmm\-yy;@</c:formatCode>
                <c:ptCount val="240"/>
                <c:pt idx="0">
                  <c:v>37257</c:v>
                </c:pt>
                <c:pt idx="1">
                  <c:v>37288</c:v>
                </c:pt>
                <c:pt idx="2">
                  <c:v>37316</c:v>
                </c:pt>
                <c:pt idx="3">
                  <c:v>37347</c:v>
                </c:pt>
                <c:pt idx="4">
                  <c:v>37377</c:v>
                </c:pt>
                <c:pt idx="5">
                  <c:v>37408</c:v>
                </c:pt>
                <c:pt idx="6">
                  <c:v>37438</c:v>
                </c:pt>
                <c:pt idx="7">
                  <c:v>37469</c:v>
                </c:pt>
                <c:pt idx="8">
                  <c:v>37500</c:v>
                </c:pt>
                <c:pt idx="9">
                  <c:v>37530</c:v>
                </c:pt>
                <c:pt idx="10">
                  <c:v>37561</c:v>
                </c:pt>
                <c:pt idx="11">
                  <c:v>37591</c:v>
                </c:pt>
                <c:pt idx="12">
                  <c:v>37622</c:v>
                </c:pt>
                <c:pt idx="13">
                  <c:v>37653</c:v>
                </c:pt>
                <c:pt idx="14">
                  <c:v>37681</c:v>
                </c:pt>
                <c:pt idx="15">
                  <c:v>37712</c:v>
                </c:pt>
                <c:pt idx="16">
                  <c:v>37742</c:v>
                </c:pt>
                <c:pt idx="17">
                  <c:v>37773</c:v>
                </c:pt>
                <c:pt idx="18">
                  <c:v>37803</c:v>
                </c:pt>
                <c:pt idx="19">
                  <c:v>37834</c:v>
                </c:pt>
                <c:pt idx="20">
                  <c:v>37865</c:v>
                </c:pt>
                <c:pt idx="21">
                  <c:v>37895</c:v>
                </c:pt>
                <c:pt idx="22">
                  <c:v>37926</c:v>
                </c:pt>
                <c:pt idx="23">
                  <c:v>37956</c:v>
                </c:pt>
                <c:pt idx="24">
                  <c:v>37987</c:v>
                </c:pt>
                <c:pt idx="25">
                  <c:v>38018</c:v>
                </c:pt>
                <c:pt idx="26">
                  <c:v>38047</c:v>
                </c:pt>
                <c:pt idx="27">
                  <c:v>38078</c:v>
                </c:pt>
                <c:pt idx="28">
                  <c:v>38108</c:v>
                </c:pt>
                <c:pt idx="29">
                  <c:v>38139</c:v>
                </c:pt>
                <c:pt idx="30">
                  <c:v>38169</c:v>
                </c:pt>
                <c:pt idx="31">
                  <c:v>38200</c:v>
                </c:pt>
                <c:pt idx="32">
                  <c:v>38231</c:v>
                </c:pt>
                <c:pt idx="33">
                  <c:v>38261</c:v>
                </c:pt>
                <c:pt idx="34">
                  <c:v>38292</c:v>
                </c:pt>
                <c:pt idx="35">
                  <c:v>38322</c:v>
                </c:pt>
                <c:pt idx="36">
                  <c:v>38353</c:v>
                </c:pt>
                <c:pt idx="37">
                  <c:v>38384</c:v>
                </c:pt>
                <c:pt idx="38">
                  <c:v>38412</c:v>
                </c:pt>
                <c:pt idx="39">
                  <c:v>38443</c:v>
                </c:pt>
                <c:pt idx="40">
                  <c:v>38473</c:v>
                </c:pt>
                <c:pt idx="41">
                  <c:v>38504</c:v>
                </c:pt>
                <c:pt idx="42">
                  <c:v>38534</c:v>
                </c:pt>
                <c:pt idx="43">
                  <c:v>38565</c:v>
                </c:pt>
                <c:pt idx="44">
                  <c:v>38596</c:v>
                </c:pt>
                <c:pt idx="45">
                  <c:v>38626</c:v>
                </c:pt>
                <c:pt idx="46">
                  <c:v>38657</c:v>
                </c:pt>
                <c:pt idx="47">
                  <c:v>38687</c:v>
                </c:pt>
                <c:pt idx="48">
                  <c:v>38718</c:v>
                </c:pt>
                <c:pt idx="49">
                  <c:v>38749</c:v>
                </c:pt>
                <c:pt idx="50">
                  <c:v>38777</c:v>
                </c:pt>
                <c:pt idx="51">
                  <c:v>38808</c:v>
                </c:pt>
                <c:pt idx="52">
                  <c:v>38838</c:v>
                </c:pt>
                <c:pt idx="53">
                  <c:v>38869</c:v>
                </c:pt>
                <c:pt idx="54">
                  <c:v>38899</c:v>
                </c:pt>
                <c:pt idx="55">
                  <c:v>38930</c:v>
                </c:pt>
                <c:pt idx="56">
                  <c:v>38961</c:v>
                </c:pt>
                <c:pt idx="57">
                  <c:v>38991</c:v>
                </c:pt>
                <c:pt idx="58">
                  <c:v>39022</c:v>
                </c:pt>
                <c:pt idx="59">
                  <c:v>39052</c:v>
                </c:pt>
                <c:pt idx="60">
                  <c:v>39083</c:v>
                </c:pt>
                <c:pt idx="61">
                  <c:v>39114</c:v>
                </c:pt>
                <c:pt idx="62">
                  <c:v>39142</c:v>
                </c:pt>
                <c:pt idx="63">
                  <c:v>39173</c:v>
                </c:pt>
                <c:pt idx="64">
                  <c:v>39203</c:v>
                </c:pt>
                <c:pt idx="65">
                  <c:v>39234</c:v>
                </c:pt>
                <c:pt idx="66">
                  <c:v>39264</c:v>
                </c:pt>
                <c:pt idx="67">
                  <c:v>39295</c:v>
                </c:pt>
                <c:pt idx="68">
                  <c:v>39326</c:v>
                </c:pt>
                <c:pt idx="69">
                  <c:v>39356</c:v>
                </c:pt>
                <c:pt idx="70">
                  <c:v>39387</c:v>
                </c:pt>
                <c:pt idx="71">
                  <c:v>39417</c:v>
                </c:pt>
                <c:pt idx="72">
                  <c:v>39448</c:v>
                </c:pt>
                <c:pt idx="73">
                  <c:v>39479</c:v>
                </c:pt>
                <c:pt idx="74">
                  <c:v>39508</c:v>
                </c:pt>
                <c:pt idx="75">
                  <c:v>39539</c:v>
                </c:pt>
                <c:pt idx="76">
                  <c:v>39569</c:v>
                </c:pt>
                <c:pt idx="77">
                  <c:v>39600</c:v>
                </c:pt>
                <c:pt idx="78">
                  <c:v>39630</c:v>
                </c:pt>
                <c:pt idx="79">
                  <c:v>39661</c:v>
                </c:pt>
                <c:pt idx="80">
                  <c:v>39692</c:v>
                </c:pt>
                <c:pt idx="81">
                  <c:v>39722</c:v>
                </c:pt>
                <c:pt idx="82">
                  <c:v>39753</c:v>
                </c:pt>
                <c:pt idx="83">
                  <c:v>39783</c:v>
                </c:pt>
                <c:pt idx="84">
                  <c:v>39814</c:v>
                </c:pt>
                <c:pt idx="85">
                  <c:v>39845</c:v>
                </c:pt>
                <c:pt idx="86">
                  <c:v>39873</c:v>
                </c:pt>
                <c:pt idx="87">
                  <c:v>39904</c:v>
                </c:pt>
                <c:pt idx="88">
                  <c:v>39934</c:v>
                </c:pt>
                <c:pt idx="89">
                  <c:v>39965</c:v>
                </c:pt>
                <c:pt idx="90">
                  <c:v>39995</c:v>
                </c:pt>
                <c:pt idx="91">
                  <c:v>40026</c:v>
                </c:pt>
                <c:pt idx="92">
                  <c:v>40057</c:v>
                </c:pt>
                <c:pt idx="93">
                  <c:v>40087</c:v>
                </c:pt>
                <c:pt idx="94">
                  <c:v>40118</c:v>
                </c:pt>
                <c:pt idx="95">
                  <c:v>40148</c:v>
                </c:pt>
                <c:pt idx="96">
                  <c:v>40179</c:v>
                </c:pt>
                <c:pt idx="97">
                  <c:v>40210</c:v>
                </c:pt>
                <c:pt idx="98">
                  <c:v>40238</c:v>
                </c:pt>
                <c:pt idx="99">
                  <c:v>40269</c:v>
                </c:pt>
                <c:pt idx="100">
                  <c:v>40299</c:v>
                </c:pt>
                <c:pt idx="101">
                  <c:v>40330</c:v>
                </c:pt>
                <c:pt idx="102">
                  <c:v>40360</c:v>
                </c:pt>
                <c:pt idx="103">
                  <c:v>40391</c:v>
                </c:pt>
                <c:pt idx="104">
                  <c:v>40422</c:v>
                </c:pt>
                <c:pt idx="105">
                  <c:v>40452</c:v>
                </c:pt>
                <c:pt idx="106">
                  <c:v>40483</c:v>
                </c:pt>
                <c:pt idx="107">
                  <c:v>40513</c:v>
                </c:pt>
                <c:pt idx="108">
                  <c:v>40544</c:v>
                </c:pt>
                <c:pt idx="109">
                  <c:v>40575</c:v>
                </c:pt>
                <c:pt idx="110">
                  <c:v>40603</c:v>
                </c:pt>
                <c:pt idx="111">
                  <c:v>40634</c:v>
                </c:pt>
                <c:pt idx="112">
                  <c:v>40664</c:v>
                </c:pt>
                <c:pt idx="113">
                  <c:v>40695</c:v>
                </c:pt>
                <c:pt idx="114">
                  <c:v>40725</c:v>
                </c:pt>
                <c:pt idx="115">
                  <c:v>40756</c:v>
                </c:pt>
                <c:pt idx="116">
                  <c:v>40787</c:v>
                </c:pt>
                <c:pt idx="117">
                  <c:v>40817</c:v>
                </c:pt>
                <c:pt idx="118">
                  <c:v>40848</c:v>
                </c:pt>
                <c:pt idx="119">
                  <c:v>40878</c:v>
                </c:pt>
                <c:pt idx="120">
                  <c:v>40909</c:v>
                </c:pt>
                <c:pt idx="121">
                  <c:v>40940</c:v>
                </c:pt>
                <c:pt idx="122">
                  <c:v>40969</c:v>
                </c:pt>
                <c:pt idx="123">
                  <c:v>41000</c:v>
                </c:pt>
                <c:pt idx="124">
                  <c:v>41030</c:v>
                </c:pt>
                <c:pt idx="125">
                  <c:v>41061</c:v>
                </c:pt>
                <c:pt idx="126">
                  <c:v>41091</c:v>
                </c:pt>
                <c:pt idx="127">
                  <c:v>41122</c:v>
                </c:pt>
                <c:pt idx="128">
                  <c:v>41153</c:v>
                </c:pt>
                <c:pt idx="129">
                  <c:v>41183</c:v>
                </c:pt>
                <c:pt idx="130">
                  <c:v>41214</c:v>
                </c:pt>
                <c:pt idx="131">
                  <c:v>41244</c:v>
                </c:pt>
                <c:pt idx="132">
                  <c:v>41275</c:v>
                </c:pt>
                <c:pt idx="133">
                  <c:v>41306</c:v>
                </c:pt>
                <c:pt idx="134">
                  <c:v>41334</c:v>
                </c:pt>
                <c:pt idx="135">
                  <c:v>41365</c:v>
                </c:pt>
                <c:pt idx="136">
                  <c:v>41395</c:v>
                </c:pt>
                <c:pt idx="137">
                  <c:v>41426</c:v>
                </c:pt>
                <c:pt idx="138">
                  <c:v>41456</c:v>
                </c:pt>
                <c:pt idx="139">
                  <c:v>41487</c:v>
                </c:pt>
                <c:pt idx="140">
                  <c:v>41518</c:v>
                </c:pt>
                <c:pt idx="141">
                  <c:v>41548</c:v>
                </c:pt>
                <c:pt idx="142">
                  <c:v>41579</c:v>
                </c:pt>
                <c:pt idx="143">
                  <c:v>41609</c:v>
                </c:pt>
                <c:pt idx="144">
                  <c:v>41640</c:v>
                </c:pt>
                <c:pt idx="145">
                  <c:v>41671</c:v>
                </c:pt>
                <c:pt idx="146">
                  <c:v>41699</c:v>
                </c:pt>
                <c:pt idx="147">
                  <c:v>41730</c:v>
                </c:pt>
                <c:pt idx="148">
                  <c:v>41760</c:v>
                </c:pt>
                <c:pt idx="149">
                  <c:v>41791</c:v>
                </c:pt>
                <c:pt idx="150">
                  <c:v>41821</c:v>
                </c:pt>
                <c:pt idx="151">
                  <c:v>41852</c:v>
                </c:pt>
                <c:pt idx="152">
                  <c:v>41883</c:v>
                </c:pt>
                <c:pt idx="153">
                  <c:v>41913</c:v>
                </c:pt>
                <c:pt idx="154">
                  <c:v>41944</c:v>
                </c:pt>
                <c:pt idx="155">
                  <c:v>41974</c:v>
                </c:pt>
                <c:pt idx="156">
                  <c:v>42005</c:v>
                </c:pt>
                <c:pt idx="157">
                  <c:v>42036</c:v>
                </c:pt>
                <c:pt idx="158">
                  <c:v>42064</c:v>
                </c:pt>
                <c:pt idx="159">
                  <c:v>42095</c:v>
                </c:pt>
                <c:pt idx="160">
                  <c:v>42125</c:v>
                </c:pt>
                <c:pt idx="161">
                  <c:v>42156</c:v>
                </c:pt>
                <c:pt idx="162">
                  <c:v>42186</c:v>
                </c:pt>
                <c:pt idx="163">
                  <c:v>42217</c:v>
                </c:pt>
                <c:pt idx="164">
                  <c:v>42248</c:v>
                </c:pt>
                <c:pt idx="165">
                  <c:v>42278</c:v>
                </c:pt>
                <c:pt idx="166">
                  <c:v>42309</c:v>
                </c:pt>
                <c:pt idx="167">
                  <c:v>42339</c:v>
                </c:pt>
                <c:pt idx="168">
                  <c:v>42370</c:v>
                </c:pt>
                <c:pt idx="169">
                  <c:v>42401</c:v>
                </c:pt>
                <c:pt idx="170">
                  <c:v>42430</c:v>
                </c:pt>
                <c:pt idx="171">
                  <c:v>42461</c:v>
                </c:pt>
                <c:pt idx="172">
                  <c:v>42491</c:v>
                </c:pt>
                <c:pt idx="173">
                  <c:v>42522</c:v>
                </c:pt>
                <c:pt idx="174">
                  <c:v>42552</c:v>
                </c:pt>
                <c:pt idx="175">
                  <c:v>42583</c:v>
                </c:pt>
                <c:pt idx="176">
                  <c:v>42614</c:v>
                </c:pt>
                <c:pt idx="177">
                  <c:v>42644</c:v>
                </c:pt>
                <c:pt idx="178">
                  <c:v>42675</c:v>
                </c:pt>
                <c:pt idx="179">
                  <c:v>42705</c:v>
                </c:pt>
                <c:pt idx="180">
                  <c:v>42736</c:v>
                </c:pt>
                <c:pt idx="181">
                  <c:v>42767</c:v>
                </c:pt>
                <c:pt idx="182">
                  <c:v>42795</c:v>
                </c:pt>
                <c:pt idx="183">
                  <c:v>42826</c:v>
                </c:pt>
                <c:pt idx="184">
                  <c:v>42856</c:v>
                </c:pt>
                <c:pt idx="185">
                  <c:v>42887</c:v>
                </c:pt>
                <c:pt idx="186">
                  <c:v>42917</c:v>
                </c:pt>
                <c:pt idx="187">
                  <c:v>42948</c:v>
                </c:pt>
                <c:pt idx="188">
                  <c:v>42979</c:v>
                </c:pt>
                <c:pt idx="189">
                  <c:v>43009</c:v>
                </c:pt>
                <c:pt idx="190">
                  <c:v>43040</c:v>
                </c:pt>
                <c:pt idx="191">
                  <c:v>43070</c:v>
                </c:pt>
                <c:pt idx="192">
                  <c:v>43101</c:v>
                </c:pt>
                <c:pt idx="193">
                  <c:v>43132</c:v>
                </c:pt>
                <c:pt idx="194">
                  <c:v>43160</c:v>
                </c:pt>
                <c:pt idx="195">
                  <c:v>43191</c:v>
                </c:pt>
                <c:pt idx="196">
                  <c:v>43221</c:v>
                </c:pt>
                <c:pt idx="197">
                  <c:v>43252</c:v>
                </c:pt>
                <c:pt idx="198">
                  <c:v>43282</c:v>
                </c:pt>
                <c:pt idx="199">
                  <c:v>43313</c:v>
                </c:pt>
                <c:pt idx="200">
                  <c:v>43344</c:v>
                </c:pt>
                <c:pt idx="201">
                  <c:v>43374</c:v>
                </c:pt>
                <c:pt idx="202">
                  <c:v>43405</c:v>
                </c:pt>
                <c:pt idx="203">
                  <c:v>43435</c:v>
                </c:pt>
                <c:pt idx="204">
                  <c:v>43466</c:v>
                </c:pt>
                <c:pt idx="205">
                  <c:v>43497</c:v>
                </c:pt>
                <c:pt idx="206">
                  <c:v>43525</c:v>
                </c:pt>
                <c:pt idx="207">
                  <c:v>43556</c:v>
                </c:pt>
                <c:pt idx="208">
                  <c:v>43586</c:v>
                </c:pt>
                <c:pt idx="209">
                  <c:v>43617</c:v>
                </c:pt>
                <c:pt idx="210">
                  <c:v>43647</c:v>
                </c:pt>
                <c:pt idx="211">
                  <c:v>43678</c:v>
                </c:pt>
                <c:pt idx="212">
                  <c:v>43709</c:v>
                </c:pt>
                <c:pt idx="213">
                  <c:v>43739</c:v>
                </c:pt>
                <c:pt idx="214">
                  <c:v>43770</c:v>
                </c:pt>
                <c:pt idx="215">
                  <c:v>43800</c:v>
                </c:pt>
                <c:pt idx="216">
                  <c:v>43831</c:v>
                </c:pt>
                <c:pt idx="217">
                  <c:v>43862</c:v>
                </c:pt>
                <c:pt idx="218">
                  <c:v>43891</c:v>
                </c:pt>
                <c:pt idx="219">
                  <c:v>43922</c:v>
                </c:pt>
                <c:pt idx="220">
                  <c:v>43952</c:v>
                </c:pt>
                <c:pt idx="221">
                  <c:v>43983</c:v>
                </c:pt>
                <c:pt idx="222">
                  <c:v>44013</c:v>
                </c:pt>
                <c:pt idx="223">
                  <c:v>44044</c:v>
                </c:pt>
                <c:pt idx="224">
                  <c:v>44075</c:v>
                </c:pt>
                <c:pt idx="225">
                  <c:v>44105</c:v>
                </c:pt>
                <c:pt idx="226">
                  <c:v>44136</c:v>
                </c:pt>
                <c:pt idx="227">
                  <c:v>44166</c:v>
                </c:pt>
                <c:pt idx="228">
                  <c:v>44197</c:v>
                </c:pt>
                <c:pt idx="229">
                  <c:v>44228</c:v>
                </c:pt>
                <c:pt idx="230">
                  <c:v>44256</c:v>
                </c:pt>
                <c:pt idx="231">
                  <c:v>44287</c:v>
                </c:pt>
                <c:pt idx="232">
                  <c:v>44317</c:v>
                </c:pt>
                <c:pt idx="233">
                  <c:v>44348</c:v>
                </c:pt>
                <c:pt idx="234">
                  <c:v>44378</c:v>
                </c:pt>
                <c:pt idx="235">
                  <c:v>44409</c:v>
                </c:pt>
                <c:pt idx="236">
                  <c:v>44440</c:v>
                </c:pt>
                <c:pt idx="237">
                  <c:v>44470</c:v>
                </c:pt>
                <c:pt idx="238">
                  <c:v>44501</c:v>
                </c:pt>
                <c:pt idx="239">
                  <c:v>44531</c:v>
                </c:pt>
              </c:numCache>
            </c:numRef>
          </c:cat>
          <c:val>
            <c:numRef>
              <c:f>Decomposition!$E$3:$E$242</c:f>
              <c:numCache>
                <c:formatCode>0.0</c:formatCode>
                <c:ptCount val="240"/>
                <c:pt idx="0">
                  <c:v>77.7</c:v>
                </c:pt>
                <c:pt idx="1">
                  <c:v>80.2</c:v>
                </c:pt>
                <c:pt idx="2">
                  <c:v>79.8</c:v>
                </c:pt>
                <c:pt idx="3">
                  <c:v>79.599999999999994</c:v>
                </c:pt>
                <c:pt idx="4">
                  <c:v>79.099999999999994</c:v>
                </c:pt>
                <c:pt idx="5">
                  <c:v>79.400000000000006</c:v>
                </c:pt>
                <c:pt idx="6">
                  <c:v>79.7</c:v>
                </c:pt>
                <c:pt idx="7">
                  <c:v>78.599999999999994</c:v>
                </c:pt>
                <c:pt idx="8">
                  <c:v>79.599999999999994</c:v>
                </c:pt>
                <c:pt idx="9">
                  <c:v>80.099999999999994</c:v>
                </c:pt>
                <c:pt idx="10">
                  <c:v>80.3</c:v>
                </c:pt>
                <c:pt idx="11">
                  <c:v>79.599999999999994</c:v>
                </c:pt>
                <c:pt idx="12">
                  <c:v>79.7</c:v>
                </c:pt>
                <c:pt idx="13">
                  <c:v>79.7</c:v>
                </c:pt>
                <c:pt idx="14">
                  <c:v>79.8</c:v>
                </c:pt>
                <c:pt idx="15">
                  <c:v>79.400000000000006</c:v>
                </c:pt>
                <c:pt idx="16">
                  <c:v>77.8</c:v>
                </c:pt>
                <c:pt idx="17">
                  <c:v>78.2</c:v>
                </c:pt>
                <c:pt idx="18">
                  <c:v>77.400000000000006</c:v>
                </c:pt>
                <c:pt idx="19">
                  <c:v>78.5</c:v>
                </c:pt>
                <c:pt idx="20">
                  <c:v>81.3</c:v>
                </c:pt>
                <c:pt idx="21">
                  <c:v>81.599999999999994</c:v>
                </c:pt>
                <c:pt idx="22">
                  <c:v>82.6</c:v>
                </c:pt>
                <c:pt idx="23">
                  <c:v>81.2</c:v>
                </c:pt>
                <c:pt idx="24">
                  <c:v>82.7</c:v>
                </c:pt>
                <c:pt idx="25">
                  <c:v>84</c:v>
                </c:pt>
                <c:pt idx="26">
                  <c:v>84.5</c:v>
                </c:pt>
                <c:pt idx="27">
                  <c:v>85.1</c:v>
                </c:pt>
                <c:pt idx="28">
                  <c:v>85.9</c:v>
                </c:pt>
                <c:pt idx="29">
                  <c:v>86.1</c:v>
                </c:pt>
                <c:pt idx="30">
                  <c:v>86.7</c:v>
                </c:pt>
                <c:pt idx="31">
                  <c:v>87.6</c:v>
                </c:pt>
                <c:pt idx="32">
                  <c:v>88.2</c:v>
                </c:pt>
                <c:pt idx="33">
                  <c:v>87.5</c:v>
                </c:pt>
                <c:pt idx="34">
                  <c:v>87.5</c:v>
                </c:pt>
                <c:pt idx="35">
                  <c:v>88.3</c:v>
                </c:pt>
                <c:pt idx="36">
                  <c:v>88.7</c:v>
                </c:pt>
                <c:pt idx="37">
                  <c:v>87.4</c:v>
                </c:pt>
                <c:pt idx="38">
                  <c:v>88.2</c:v>
                </c:pt>
                <c:pt idx="39">
                  <c:v>88.3</c:v>
                </c:pt>
                <c:pt idx="40">
                  <c:v>91.3</c:v>
                </c:pt>
                <c:pt idx="41">
                  <c:v>89.5</c:v>
                </c:pt>
                <c:pt idx="42">
                  <c:v>88.9</c:v>
                </c:pt>
                <c:pt idx="43">
                  <c:v>89.1</c:v>
                </c:pt>
                <c:pt idx="44">
                  <c:v>88.3</c:v>
                </c:pt>
                <c:pt idx="45">
                  <c:v>87.6</c:v>
                </c:pt>
                <c:pt idx="46">
                  <c:v>88.6</c:v>
                </c:pt>
                <c:pt idx="47">
                  <c:v>90.5</c:v>
                </c:pt>
                <c:pt idx="48">
                  <c:v>90.8</c:v>
                </c:pt>
                <c:pt idx="49">
                  <c:v>91.4</c:v>
                </c:pt>
                <c:pt idx="50">
                  <c:v>90.7</c:v>
                </c:pt>
                <c:pt idx="51">
                  <c:v>91.4</c:v>
                </c:pt>
                <c:pt idx="52">
                  <c:v>92.2</c:v>
                </c:pt>
                <c:pt idx="53">
                  <c:v>90.6</c:v>
                </c:pt>
                <c:pt idx="54">
                  <c:v>91.6</c:v>
                </c:pt>
                <c:pt idx="55">
                  <c:v>91.4</c:v>
                </c:pt>
                <c:pt idx="56">
                  <c:v>90.4</c:v>
                </c:pt>
                <c:pt idx="57">
                  <c:v>90.7</c:v>
                </c:pt>
                <c:pt idx="58">
                  <c:v>92.1</c:v>
                </c:pt>
                <c:pt idx="59">
                  <c:v>93.3</c:v>
                </c:pt>
                <c:pt idx="60">
                  <c:v>92.7</c:v>
                </c:pt>
                <c:pt idx="61">
                  <c:v>93.9</c:v>
                </c:pt>
                <c:pt idx="62">
                  <c:v>94.9</c:v>
                </c:pt>
                <c:pt idx="63">
                  <c:v>96</c:v>
                </c:pt>
                <c:pt idx="64">
                  <c:v>96.3</c:v>
                </c:pt>
                <c:pt idx="65">
                  <c:v>97</c:v>
                </c:pt>
                <c:pt idx="66">
                  <c:v>96.5</c:v>
                </c:pt>
                <c:pt idx="67">
                  <c:v>97.9</c:v>
                </c:pt>
                <c:pt idx="68">
                  <c:v>97.1</c:v>
                </c:pt>
                <c:pt idx="69">
                  <c:v>99.5</c:v>
                </c:pt>
                <c:pt idx="70">
                  <c:v>98.5</c:v>
                </c:pt>
                <c:pt idx="71">
                  <c:v>98.9</c:v>
                </c:pt>
                <c:pt idx="72">
                  <c:v>100.6</c:v>
                </c:pt>
                <c:pt idx="73">
                  <c:v>100.2</c:v>
                </c:pt>
                <c:pt idx="74">
                  <c:v>100.5</c:v>
                </c:pt>
                <c:pt idx="75">
                  <c:v>100.4</c:v>
                </c:pt>
                <c:pt idx="76">
                  <c:v>101.1</c:v>
                </c:pt>
                <c:pt idx="77">
                  <c:v>102.9</c:v>
                </c:pt>
                <c:pt idx="78">
                  <c:v>103.2</c:v>
                </c:pt>
                <c:pt idx="79">
                  <c:v>101.9</c:v>
                </c:pt>
                <c:pt idx="80">
                  <c:v>103.4</c:v>
                </c:pt>
                <c:pt idx="81">
                  <c:v>100.2</c:v>
                </c:pt>
                <c:pt idx="82">
                  <c:v>94.4</c:v>
                </c:pt>
                <c:pt idx="83">
                  <c:v>83.8</c:v>
                </c:pt>
                <c:pt idx="84">
                  <c:v>85.6</c:v>
                </c:pt>
                <c:pt idx="85">
                  <c:v>87.6</c:v>
                </c:pt>
                <c:pt idx="86">
                  <c:v>88</c:v>
                </c:pt>
                <c:pt idx="87">
                  <c:v>89</c:v>
                </c:pt>
                <c:pt idx="88">
                  <c:v>90.4</c:v>
                </c:pt>
                <c:pt idx="89">
                  <c:v>91.6</c:v>
                </c:pt>
                <c:pt idx="90">
                  <c:v>92.6</c:v>
                </c:pt>
                <c:pt idx="91">
                  <c:v>94</c:v>
                </c:pt>
                <c:pt idx="92">
                  <c:v>95.6</c:v>
                </c:pt>
                <c:pt idx="93">
                  <c:v>97.3</c:v>
                </c:pt>
                <c:pt idx="94">
                  <c:v>98.9</c:v>
                </c:pt>
                <c:pt idx="95">
                  <c:v>99.1</c:v>
                </c:pt>
                <c:pt idx="96">
                  <c:v>100.7</c:v>
                </c:pt>
                <c:pt idx="97">
                  <c:v>100.5</c:v>
                </c:pt>
                <c:pt idx="98">
                  <c:v>103</c:v>
                </c:pt>
                <c:pt idx="99">
                  <c:v>103.2</c:v>
                </c:pt>
                <c:pt idx="100">
                  <c:v>103</c:v>
                </c:pt>
                <c:pt idx="101">
                  <c:v>102.3</c:v>
                </c:pt>
                <c:pt idx="102">
                  <c:v>101.8</c:v>
                </c:pt>
                <c:pt idx="103">
                  <c:v>101.4</c:v>
                </c:pt>
                <c:pt idx="104">
                  <c:v>101.6</c:v>
                </c:pt>
                <c:pt idx="105">
                  <c:v>101.3</c:v>
                </c:pt>
                <c:pt idx="106">
                  <c:v>102.2</c:v>
                </c:pt>
                <c:pt idx="107">
                  <c:v>102.7</c:v>
                </c:pt>
                <c:pt idx="108">
                  <c:v>102.8</c:v>
                </c:pt>
                <c:pt idx="109">
                  <c:v>104.2</c:v>
                </c:pt>
                <c:pt idx="110">
                  <c:v>104.8</c:v>
                </c:pt>
                <c:pt idx="111">
                  <c:v>102.1</c:v>
                </c:pt>
                <c:pt idx="112">
                  <c:v>105.2</c:v>
                </c:pt>
                <c:pt idx="113">
                  <c:v>102.7</c:v>
                </c:pt>
                <c:pt idx="114">
                  <c:v>103.1</c:v>
                </c:pt>
                <c:pt idx="115">
                  <c:v>102.1</c:v>
                </c:pt>
                <c:pt idx="116">
                  <c:v>100.2</c:v>
                </c:pt>
                <c:pt idx="117">
                  <c:v>99.2</c:v>
                </c:pt>
                <c:pt idx="118">
                  <c:v>99.9</c:v>
                </c:pt>
                <c:pt idx="119">
                  <c:v>102.5</c:v>
                </c:pt>
                <c:pt idx="120">
                  <c:v>98</c:v>
                </c:pt>
                <c:pt idx="121">
                  <c:v>99</c:v>
                </c:pt>
                <c:pt idx="122">
                  <c:v>98.3</c:v>
                </c:pt>
                <c:pt idx="123">
                  <c:v>98.5</c:v>
                </c:pt>
                <c:pt idx="124">
                  <c:v>98.9</c:v>
                </c:pt>
                <c:pt idx="125">
                  <c:v>99</c:v>
                </c:pt>
                <c:pt idx="126">
                  <c:v>100.5</c:v>
                </c:pt>
                <c:pt idx="127">
                  <c:v>102.5</c:v>
                </c:pt>
                <c:pt idx="128">
                  <c:v>100.6</c:v>
                </c:pt>
                <c:pt idx="129">
                  <c:v>102.1</c:v>
                </c:pt>
                <c:pt idx="130">
                  <c:v>100.6</c:v>
                </c:pt>
                <c:pt idx="131">
                  <c:v>101.3</c:v>
                </c:pt>
                <c:pt idx="132">
                  <c:v>102.1</c:v>
                </c:pt>
                <c:pt idx="133">
                  <c:v>99.7</c:v>
                </c:pt>
                <c:pt idx="134">
                  <c:v>101.2</c:v>
                </c:pt>
                <c:pt idx="135">
                  <c:v>103</c:v>
                </c:pt>
                <c:pt idx="136">
                  <c:v>102.5</c:v>
                </c:pt>
                <c:pt idx="137">
                  <c:v>103.2</c:v>
                </c:pt>
                <c:pt idx="138">
                  <c:v>102.4</c:v>
                </c:pt>
                <c:pt idx="139">
                  <c:v>102.9</c:v>
                </c:pt>
                <c:pt idx="140">
                  <c:v>103.5</c:v>
                </c:pt>
                <c:pt idx="141">
                  <c:v>102.5</c:v>
                </c:pt>
                <c:pt idx="142">
                  <c:v>103</c:v>
                </c:pt>
                <c:pt idx="143">
                  <c:v>99</c:v>
                </c:pt>
                <c:pt idx="144">
                  <c:v>100.6</c:v>
                </c:pt>
                <c:pt idx="145">
                  <c:v>101.2</c:v>
                </c:pt>
                <c:pt idx="146">
                  <c:v>101</c:v>
                </c:pt>
                <c:pt idx="147">
                  <c:v>100.2</c:v>
                </c:pt>
                <c:pt idx="148">
                  <c:v>98.8</c:v>
                </c:pt>
                <c:pt idx="149">
                  <c:v>96.1</c:v>
                </c:pt>
                <c:pt idx="150">
                  <c:v>98.3</c:v>
                </c:pt>
                <c:pt idx="151">
                  <c:v>99.2</c:v>
                </c:pt>
                <c:pt idx="152">
                  <c:v>99.4</c:v>
                </c:pt>
                <c:pt idx="153">
                  <c:v>99.7</c:v>
                </c:pt>
                <c:pt idx="154">
                  <c:v>98.6</c:v>
                </c:pt>
                <c:pt idx="155">
                  <c:v>95.4</c:v>
                </c:pt>
                <c:pt idx="156">
                  <c:v>96</c:v>
                </c:pt>
                <c:pt idx="157">
                  <c:v>95.4</c:v>
                </c:pt>
                <c:pt idx="158">
                  <c:v>95</c:v>
                </c:pt>
                <c:pt idx="159">
                  <c:v>93</c:v>
                </c:pt>
                <c:pt idx="160">
                  <c:v>92.2</c:v>
                </c:pt>
                <c:pt idx="161">
                  <c:v>91.3</c:v>
                </c:pt>
                <c:pt idx="162">
                  <c:v>89.5</c:v>
                </c:pt>
                <c:pt idx="163">
                  <c:v>90.3</c:v>
                </c:pt>
                <c:pt idx="164">
                  <c:v>88.2</c:v>
                </c:pt>
                <c:pt idx="165">
                  <c:v>88.1</c:v>
                </c:pt>
                <c:pt idx="166">
                  <c:v>86.4</c:v>
                </c:pt>
                <c:pt idx="167">
                  <c:v>84.8</c:v>
                </c:pt>
                <c:pt idx="168">
                  <c:v>86.1</c:v>
                </c:pt>
                <c:pt idx="169">
                  <c:v>84.8</c:v>
                </c:pt>
                <c:pt idx="170">
                  <c:v>85.6</c:v>
                </c:pt>
                <c:pt idx="171">
                  <c:v>85.4</c:v>
                </c:pt>
                <c:pt idx="172">
                  <c:v>85.8</c:v>
                </c:pt>
                <c:pt idx="173">
                  <c:v>84.8</c:v>
                </c:pt>
                <c:pt idx="174">
                  <c:v>85.5</c:v>
                </c:pt>
                <c:pt idx="175">
                  <c:v>83.5</c:v>
                </c:pt>
                <c:pt idx="176">
                  <c:v>84.4</c:v>
                </c:pt>
                <c:pt idx="177">
                  <c:v>83.4</c:v>
                </c:pt>
                <c:pt idx="178">
                  <c:v>84</c:v>
                </c:pt>
                <c:pt idx="179">
                  <c:v>85.5</c:v>
                </c:pt>
                <c:pt idx="180">
                  <c:v>86.4</c:v>
                </c:pt>
                <c:pt idx="181">
                  <c:v>87.4</c:v>
                </c:pt>
                <c:pt idx="182">
                  <c:v>85.6</c:v>
                </c:pt>
                <c:pt idx="183">
                  <c:v>85.9</c:v>
                </c:pt>
                <c:pt idx="184">
                  <c:v>86.2</c:v>
                </c:pt>
                <c:pt idx="185">
                  <c:v>87</c:v>
                </c:pt>
                <c:pt idx="186">
                  <c:v>87.3</c:v>
                </c:pt>
                <c:pt idx="187">
                  <c:v>87</c:v>
                </c:pt>
                <c:pt idx="188">
                  <c:v>87.4</c:v>
                </c:pt>
                <c:pt idx="189">
                  <c:v>88.1</c:v>
                </c:pt>
                <c:pt idx="190">
                  <c:v>88.4</c:v>
                </c:pt>
                <c:pt idx="191">
                  <c:v>91.3</c:v>
                </c:pt>
                <c:pt idx="192">
                  <c:v>88.9</c:v>
                </c:pt>
                <c:pt idx="193">
                  <c:v>88.5</c:v>
                </c:pt>
                <c:pt idx="194">
                  <c:v>89.7</c:v>
                </c:pt>
                <c:pt idx="195">
                  <c:v>90.1</c:v>
                </c:pt>
                <c:pt idx="196">
                  <c:v>80.2</c:v>
                </c:pt>
                <c:pt idx="197">
                  <c:v>90.3</c:v>
                </c:pt>
                <c:pt idx="198">
                  <c:v>90.1</c:v>
                </c:pt>
                <c:pt idx="199">
                  <c:v>88.9</c:v>
                </c:pt>
                <c:pt idx="200">
                  <c:v>86.5</c:v>
                </c:pt>
                <c:pt idx="201">
                  <c:v>87.5</c:v>
                </c:pt>
                <c:pt idx="202">
                  <c:v>87.5</c:v>
                </c:pt>
                <c:pt idx="203">
                  <c:v>87.8</c:v>
                </c:pt>
                <c:pt idx="204">
                  <c:v>86.8</c:v>
                </c:pt>
                <c:pt idx="205">
                  <c:v>87.3</c:v>
                </c:pt>
                <c:pt idx="206">
                  <c:v>87.1</c:v>
                </c:pt>
                <c:pt idx="207">
                  <c:v>87.5</c:v>
                </c:pt>
                <c:pt idx="208">
                  <c:v>87.4</c:v>
                </c:pt>
                <c:pt idx="209">
                  <c:v>86.6</c:v>
                </c:pt>
                <c:pt idx="210">
                  <c:v>86</c:v>
                </c:pt>
                <c:pt idx="211">
                  <c:v>87</c:v>
                </c:pt>
                <c:pt idx="212">
                  <c:v>86.9</c:v>
                </c:pt>
                <c:pt idx="213">
                  <c:v>88.7</c:v>
                </c:pt>
                <c:pt idx="214">
                  <c:v>86.9</c:v>
                </c:pt>
                <c:pt idx="215">
                  <c:v>85.8</c:v>
                </c:pt>
                <c:pt idx="216">
                  <c:v>86.4</c:v>
                </c:pt>
                <c:pt idx="217">
                  <c:v>87.4</c:v>
                </c:pt>
                <c:pt idx="218">
                  <c:v>80.7</c:v>
                </c:pt>
                <c:pt idx="219">
                  <c:v>64.900000000000006</c:v>
                </c:pt>
                <c:pt idx="220">
                  <c:v>70.099999999999994</c:v>
                </c:pt>
                <c:pt idx="221">
                  <c:v>76.8</c:v>
                </c:pt>
                <c:pt idx="222">
                  <c:v>83.9</c:v>
                </c:pt>
                <c:pt idx="223">
                  <c:v>86.3</c:v>
                </c:pt>
                <c:pt idx="224">
                  <c:v>88.7</c:v>
                </c:pt>
                <c:pt idx="225">
                  <c:v>89.7</c:v>
                </c:pt>
                <c:pt idx="226">
                  <c:v>90.2</c:v>
                </c:pt>
                <c:pt idx="227">
                  <c:v>90.3</c:v>
                </c:pt>
                <c:pt idx="228">
                  <c:v>90.5</c:v>
                </c:pt>
                <c:pt idx="229">
                  <c:v>89.6</c:v>
                </c:pt>
                <c:pt idx="230">
                  <c:v>87.5</c:v>
                </c:pt>
                <c:pt idx="231">
                  <c:v>86.1</c:v>
                </c:pt>
                <c:pt idx="232">
                  <c:v>87.1</c:v>
                </c:pt>
                <c:pt idx="233">
                  <c:v>86.7</c:v>
                </c:pt>
                <c:pt idx="234">
                  <c:v>85.3</c:v>
                </c:pt>
                <c:pt idx="235">
                  <c:v>85.1</c:v>
                </c:pt>
                <c:pt idx="236">
                  <c:v>84.6</c:v>
                </c:pt>
                <c:pt idx="237">
                  <c:v>84.2</c:v>
                </c:pt>
                <c:pt idx="238">
                  <c:v>84.2</c:v>
                </c:pt>
                <c:pt idx="239">
                  <c:v>86.6</c:v>
                </c:pt>
              </c:numCache>
            </c:numRef>
          </c:val>
          <c:smooth val="0"/>
          <c:extLst>
            <c:ext xmlns:c16="http://schemas.microsoft.com/office/drawing/2014/chart" uri="{C3380CC4-5D6E-409C-BE32-E72D297353CC}">
              <c16:uniqueId val="{00000001-BE00-4CBE-982C-AA5DFBD7850E}"/>
            </c:ext>
          </c:extLst>
        </c:ser>
        <c:dLbls>
          <c:showLegendKey val="0"/>
          <c:showVal val="0"/>
          <c:showCatName val="0"/>
          <c:showSerName val="0"/>
          <c:showPercent val="0"/>
          <c:showBubbleSize val="0"/>
        </c:dLbls>
        <c:marker val="1"/>
        <c:smooth val="0"/>
        <c:axId val="122457088"/>
        <c:axId val="122458752"/>
      </c:lineChart>
      <c:dateAx>
        <c:axId val="122457088"/>
        <c:scaling>
          <c:orientation val="minMax"/>
          <c:min val="43435"/>
        </c:scaling>
        <c:delete val="0"/>
        <c:axPos val="b"/>
        <c:numFmt formatCode="[$-416]mmm\-yy;@" sourceLinked="1"/>
        <c:majorTickMark val="none"/>
        <c:minorTickMark val="none"/>
        <c:tickLblPos val="nextTo"/>
        <c:spPr>
          <a:noFill/>
          <a:ln w="12700" cap="flat" cmpd="sng" algn="ctr">
            <a:solidFill>
              <a:schemeClr val="lt1">
                <a:lumMod val="95000"/>
                <a:alpha val="54000"/>
              </a:schemeClr>
            </a:solidFill>
            <a:round/>
          </a:ln>
          <a:effectLst/>
        </c:spPr>
        <c:txPr>
          <a:bodyPr rot="-60000000" spcFirstLastPara="1" vertOverflow="ellipsis" vert="horz" wrap="square" anchor="ctr" anchorCtr="1"/>
          <a:lstStyle/>
          <a:p>
            <a:pPr>
              <a:defRPr sz="1050" b="0" i="0" u="none" strike="noStrike" kern="1200" baseline="0">
                <a:solidFill>
                  <a:schemeClr val="lt1">
                    <a:lumMod val="85000"/>
                  </a:schemeClr>
                </a:solidFill>
                <a:latin typeface="+mn-lt"/>
                <a:ea typeface="+mn-ea"/>
                <a:cs typeface="+mn-cs"/>
              </a:defRPr>
            </a:pPr>
            <a:endParaRPr lang="pt-BR"/>
          </a:p>
        </c:txPr>
        <c:crossAx val="122458752"/>
        <c:crosses val="autoZero"/>
        <c:auto val="1"/>
        <c:lblOffset val="100"/>
        <c:baseTimeUnit val="months"/>
        <c:majorUnit val="6"/>
        <c:majorTimeUnit val="months"/>
      </c:dateAx>
      <c:valAx>
        <c:axId val="122458752"/>
        <c:scaling>
          <c:orientation val="minMax"/>
          <c:max val="100"/>
          <c:min val="50"/>
        </c:scaling>
        <c:delete val="0"/>
        <c:axPos val="l"/>
        <c:majorGridlines>
          <c:spPr>
            <a:ln w="9525" cap="flat" cmpd="sng" algn="ctr">
              <a:solidFill>
                <a:schemeClr val="lt1">
                  <a:lumMod val="95000"/>
                  <a:alpha val="10000"/>
                </a:schemeClr>
              </a:solidFill>
              <a:round/>
            </a:ln>
            <a:effectLst/>
          </c:spPr>
        </c:majorGridlines>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1000" b="0" i="0" u="none" strike="noStrike" kern="1200" baseline="0">
                <a:solidFill>
                  <a:schemeClr val="lt1">
                    <a:lumMod val="85000"/>
                  </a:schemeClr>
                </a:solidFill>
                <a:latin typeface="+mn-lt"/>
                <a:ea typeface="+mn-ea"/>
                <a:cs typeface="+mn-cs"/>
              </a:defRPr>
            </a:pPr>
            <a:endParaRPr lang="pt-BR"/>
          </a:p>
        </c:txPr>
        <c:crossAx val="122457088"/>
        <c:crosses val="autoZero"/>
        <c:crossBetween val="between"/>
      </c:valAx>
      <c:spPr>
        <a:noFill/>
        <a:ln>
          <a:noFill/>
        </a:ln>
        <a:effectLst/>
      </c:spPr>
    </c:plotArea>
    <c:legend>
      <c:legendPos val="t"/>
      <c:overlay val="0"/>
      <c:spPr>
        <a:noFill/>
        <a:ln>
          <a:noFill/>
        </a:ln>
        <a:effectLst/>
      </c:spPr>
      <c:txPr>
        <a:bodyPr rot="0" spcFirstLastPara="1" vertOverflow="ellipsis" vert="horz" wrap="square" anchor="ctr" anchorCtr="1"/>
        <a:lstStyle/>
        <a:p>
          <a:pPr>
            <a:defRPr sz="1050" b="0" i="0" u="none" strike="noStrike" kern="1200" baseline="0">
              <a:solidFill>
                <a:schemeClr val="lt1">
                  <a:lumMod val="85000"/>
                </a:schemeClr>
              </a:solidFill>
              <a:latin typeface="+mn-lt"/>
              <a:ea typeface="+mn-ea"/>
              <a:cs typeface="+mn-cs"/>
            </a:defRPr>
          </a:pPr>
          <a:endParaRPr lang="pt-B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lgn="l">
              <a:defRPr sz="12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pt-BR" sz="1200"/>
              <a:t>Industrial Production:</a:t>
            </a:r>
            <a:r>
              <a:rPr lang="pt-BR" sz="1200" baseline="0"/>
              <a:t> </a:t>
            </a:r>
            <a:r>
              <a:rPr lang="pt-BR" sz="1200"/>
              <a:t>Additive Decomposition</a:t>
            </a:r>
            <a:br>
              <a:rPr lang="pt-BR" sz="1200"/>
            </a:br>
            <a:r>
              <a:rPr lang="pt-BR" sz="1000"/>
              <a:t>% of the observed</a:t>
            </a:r>
            <a:r>
              <a:rPr lang="pt-BR" sz="1000" baseline="0"/>
              <a:t> </a:t>
            </a:r>
            <a:r>
              <a:rPr lang="pt-BR" sz="1000"/>
              <a:t>series</a:t>
            </a:r>
            <a:endParaRPr lang="pt-BR" sz="1050"/>
          </a:p>
        </c:rich>
      </c:tx>
      <c:layout>
        <c:manualLayout>
          <c:xMode val="edge"/>
          <c:yMode val="edge"/>
          <c:x val="1.5139597647597036E-2"/>
          <c:y val="2.929934199522367E-2"/>
        </c:manualLayout>
      </c:layout>
      <c:overlay val="0"/>
      <c:spPr>
        <a:noFill/>
        <a:ln>
          <a:noFill/>
        </a:ln>
        <a:effectLst/>
      </c:spPr>
      <c:txPr>
        <a:bodyPr rot="0" spcFirstLastPara="1" vertOverflow="ellipsis" vert="horz" wrap="square" anchor="ctr" anchorCtr="1"/>
        <a:lstStyle/>
        <a:p>
          <a:pPr algn="l">
            <a:defRPr sz="12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pt-BR"/>
        </a:p>
      </c:txPr>
    </c:title>
    <c:autoTitleDeleted val="0"/>
    <c:plotArea>
      <c:layout/>
      <c:barChart>
        <c:barDir val="col"/>
        <c:grouping val="stacked"/>
        <c:varyColors val="0"/>
        <c:ser>
          <c:idx val="1"/>
          <c:order val="0"/>
          <c:tx>
            <c:v>Irregular</c:v>
          </c:tx>
          <c:spPr>
            <a:solidFill>
              <a:schemeClr val="accent6"/>
            </a:solidFill>
            <a:ln>
              <a:noFill/>
            </a:ln>
            <a:effectLst>
              <a:outerShdw blurRad="57150" dist="19050" dir="5400000" algn="ctr" rotWithShape="0">
                <a:srgbClr val="000000">
                  <a:alpha val="63000"/>
                </a:srgbClr>
              </a:outerShdw>
            </a:effectLst>
          </c:spPr>
          <c:invertIfNegative val="0"/>
          <c:cat>
            <c:numRef>
              <c:f>Decomposition!$A$3:$A$242</c:f>
              <c:numCache>
                <c:formatCode>[$-416]mmm\-yy;@</c:formatCode>
                <c:ptCount val="240"/>
                <c:pt idx="0">
                  <c:v>37257</c:v>
                </c:pt>
                <c:pt idx="1">
                  <c:v>37288</c:v>
                </c:pt>
                <c:pt idx="2">
                  <c:v>37316</c:v>
                </c:pt>
                <c:pt idx="3">
                  <c:v>37347</c:v>
                </c:pt>
                <c:pt idx="4">
                  <c:v>37377</c:v>
                </c:pt>
                <c:pt idx="5">
                  <c:v>37408</c:v>
                </c:pt>
                <c:pt idx="6">
                  <c:v>37438</c:v>
                </c:pt>
                <c:pt idx="7">
                  <c:v>37469</c:v>
                </c:pt>
                <c:pt idx="8">
                  <c:v>37500</c:v>
                </c:pt>
                <c:pt idx="9">
                  <c:v>37530</c:v>
                </c:pt>
                <c:pt idx="10">
                  <c:v>37561</c:v>
                </c:pt>
                <c:pt idx="11">
                  <c:v>37591</c:v>
                </c:pt>
                <c:pt idx="12">
                  <c:v>37622</c:v>
                </c:pt>
                <c:pt idx="13">
                  <c:v>37653</c:v>
                </c:pt>
                <c:pt idx="14">
                  <c:v>37681</c:v>
                </c:pt>
                <c:pt idx="15">
                  <c:v>37712</c:v>
                </c:pt>
                <c:pt idx="16">
                  <c:v>37742</c:v>
                </c:pt>
                <c:pt idx="17">
                  <c:v>37773</c:v>
                </c:pt>
                <c:pt idx="18">
                  <c:v>37803</c:v>
                </c:pt>
                <c:pt idx="19">
                  <c:v>37834</c:v>
                </c:pt>
                <c:pt idx="20">
                  <c:v>37865</c:v>
                </c:pt>
                <c:pt idx="21">
                  <c:v>37895</c:v>
                </c:pt>
                <c:pt idx="22">
                  <c:v>37926</c:v>
                </c:pt>
                <c:pt idx="23">
                  <c:v>37956</c:v>
                </c:pt>
                <c:pt idx="24">
                  <c:v>37987</c:v>
                </c:pt>
                <c:pt idx="25">
                  <c:v>38018</c:v>
                </c:pt>
                <c:pt idx="26">
                  <c:v>38047</c:v>
                </c:pt>
                <c:pt idx="27">
                  <c:v>38078</c:v>
                </c:pt>
                <c:pt idx="28">
                  <c:v>38108</c:v>
                </c:pt>
                <c:pt idx="29">
                  <c:v>38139</c:v>
                </c:pt>
                <c:pt idx="30">
                  <c:v>38169</c:v>
                </c:pt>
                <c:pt idx="31">
                  <c:v>38200</c:v>
                </c:pt>
                <c:pt idx="32">
                  <c:v>38231</c:v>
                </c:pt>
                <c:pt idx="33">
                  <c:v>38261</c:v>
                </c:pt>
                <c:pt idx="34">
                  <c:v>38292</c:v>
                </c:pt>
                <c:pt idx="35">
                  <c:v>38322</c:v>
                </c:pt>
                <c:pt idx="36">
                  <c:v>38353</c:v>
                </c:pt>
                <c:pt idx="37">
                  <c:v>38384</c:v>
                </c:pt>
                <c:pt idx="38">
                  <c:v>38412</c:v>
                </c:pt>
                <c:pt idx="39">
                  <c:v>38443</c:v>
                </c:pt>
                <c:pt idx="40">
                  <c:v>38473</c:v>
                </c:pt>
                <c:pt idx="41">
                  <c:v>38504</c:v>
                </c:pt>
                <c:pt idx="42">
                  <c:v>38534</c:v>
                </c:pt>
                <c:pt idx="43">
                  <c:v>38565</c:v>
                </c:pt>
                <c:pt idx="44">
                  <c:v>38596</c:v>
                </c:pt>
                <c:pt idx="45">
                  <c:v>38626</c:v>
                </c:pt>
                <c:pt idx="46">
                  <c:v>38657</c:v>
                </c:pt>
                <c:pt idx="47">
                  <c:v>38687</c:v>
                </c:pt>
                <c:pt idx="48">
                  <c:v>38718</c:v>
                </c:pt>
                <c:pt idx="49">
                  <c:v>38749</c:v>
                </c:pt>
                <c:pt idx="50">
                  <c:v>38777</c:v>
                </c:pt>
                <c:pt idx="51">
                  <c:v>38808</c:v>
                </c:pt>
                <c:pt idx="52">
                  <c:v>38838</c:v>
                </c:pt>
                <c:pt idx="53">
                  <c:v>38869</c:v>
                </c:pt>
                <c:pt idx="54">
                  <c:v>38899</c:v>
                </c:pt>
                <c:pt idx="55">
                  <c:v>38930</c:v>
                </c:pt>
                <c:pt idx="56">
                  <c:v>38961</c:v>
                </c:pt>
                <c:pt idx="57">
                  <c:v>38991</c:v>
                </c:pt>
                <c:pt idx="58">
                  <c:v>39022</c:v>
                </c:pt>
                <c:pt idx="59">
                  <c:v>39052</c:v>
                </c:pt>
                <c:pt idx="60">
                  <c:v>39083</c:v>
                </c:pt>
                <c:pt idx="61">
                  <c:v>39114</c:v>
                </c:pt>
                <c:pt idx="62">
                  <c:v>39142</c:v>
                </c:pt>
                <c:pt idx="63">
                  <c:v>39173</c:v>
                </c:pt>
                <c:pt idx="64">
                  <c:v>39203</c:v>
                </c:pt>
                <c:pt idx="65">
                  <c:v>39234</c:v>
                </c:pt>
                <c:pt idx="66">
                  <c:v>39264</c:v>
                </c:pt>
                <c:pt idx="67">
                  <c:v>39295</c:v>
                </c:pt>
                <c:pt idx="68">
                  <c:v>39326</c:v>
                </c:pt>
                <c:pt idx="69">
                  <c:v>39356</c:v>
                </c:pt>
                <c:pt idx="70">
                  <c:v>39387</c:v>
                </c:pt>
                <c:pt idx="71">
                  <c:v>39417</c:v>
                </c:pt>
                <c:pt idx="72">
                  <c:v>39448</c:v>
                </c:pt>
                <c:pt idx="73">
                  <c:v>39479</c:v>
                </c:pt>
                <c:pt idx="74">
                  <c:v>39508</c:v>
                </c:pt>
                <c:pt idx="75">
                  <c:v>39539</c:v>
                </c:pt>
                <c:pt idx="76">
                  <c:v>39569</c:v>
                </c:pt>
                <c:pt idx="77">
                  <c:v>39600</c:v>
                </c:pt>
                <c:pt idx="78">
                  <c:v>39630</c:v>
                </c:pt>
                <c:pt idx="79">
                  <c:v>39661</c:v>
                </c:pt>
                <c:pt idx="80">
                  <c:v>39692</c:v>
                </c:pt>
                <c:pt idx="81">
                  <c:v>39722</c:v>
                </c:pt>
                <c:pt idx="82">
                  <c:v>39753</c:v>
                </c:pt>
                <c:pt idx="83">
                  <c:v>39783</c:v>
                </c:pt>
                <c:pt idx="84">
                  <c:v>39814</c:v>
                </c:pt>
                <c:pt idx="85">
                  <c:v>39845</c:v>
                </c:pt>
                <c:pt idx="86">
                  <c:v>39873</c:v>
                </c:pt>
                <c:pt idx="87">
                  <c:v>39904</c:v>
                </c:pt>
                <c:pt idx="88">
                  <c:v>39934</c:v>
                </c:pt>
                <c:pt idx="89">
                  <c:v>39965</c:v>
                </c:pt>
                <c:pt idx="90">
                  <c:v>39995</c:v>
                </c:pt>
                <c:pt idx="91">
                  <c:v>40026</c:v>
                </c:pt>
                <c:pt idx="92">
                  <c:v>40057</c:v>
                </c:pt>
                <c:pt idx="93">
                  <c:v>40087</c:v>
                </c:pt>
                <c:pt idx="94">
                  <c:v>40118</c:v>
                </c:pt>
                <c:pt idx="95">
                  <c:v>40148</c:v>
                </c:pt>
                <c:pt idx="96">
                  <c:v>40179</c:v>
                </c:pt>
                <c:pt idx="97">
                  <c:v>40210</c:v>
                </c:pt>
                <c:pt idx="98">
                  <c:v>40238</c:v>
                </c:pt>
                <c:pt idx="99">
                  <c:v>40269</c:v>
                </c:pt>
                <c:pt idx="100">
                  <c:v>40299</c:v>
                </c:pt>
                <c:pt idx="101">
                  <c:v>40330</c:v>
                </c:pt>
                <c:pt idx="102">
                  <c:v>40360</c:v>
                </c:pt>
                <c:pt idx="103">
                  <c:v>40391</c:v>
                </c:pt>
                <c:pt idx="104">
                  <c:v>40422</c:v>
                </c:pt>
                <c:pt idx="105">
                  <c:v>40452</c:v>
                </c:pt>
                <c:pt idx="106">
                  <c:v>40483</c:v>
                </c:pt>
                <c:pt idx="107">
                  <c:v>40513</c:v>
                </c:pt>
                <c:pt idx="108">
                  <c:v>40544</c:v>
                </c:pt>
                <c:pt idx="109">
                  <c:v>40575</c:v>
                </c:pt>
                <c:pt idx="110">
                  <c:v>40603</c:v>
                </c:pt>
                <c:pt idx="111">
                  <c:v>40634</c:v>
                </c:pt>
                <c:pt idx="112">
                  <c:v>40664</c:v>
                </c:pt>
                <c:pt idx="113">
                  <c:v>40695</c:v>
                </c:pt>
                <c:pt idx="114">
                  <c:v>40725</c:v>
                </c:pt>
                <c:pt idx="115">
                  <c:v>40756</c:v>
                </c:pt>
                <c:pt idx="116">
                  <c:v>40787</c:v>
                </c:pt>
                <c:pt idx="117">
                  <c:v>40817</c:v>
                </c:pt>
                <c:pt idx="118">
                  <c:v>40848</c:v>
                </c:pt>
                <c:pt idx="119">
                  <c:v>40878</c:v>
                </c:pt>
                <c:pt idx="120">
                  <c:v>40909</c:v>
                </c:pt>
                <c:pt idx="121">
                  <c:v>40940</c:v>
                </c:pt>
                <c:pt idx="122">
                  <c:v>40969</c:v>
                </c:pt>
                <c:pt idx="123">
                  <c:v>41000</c:v>
                </c:pt>
                <c:pt idx="124">
                  <c:v>41030</c:v>
                </c:pt>
                <c:pt idx="125">
                  <c:v>41061</c:v>
                </c:pt>
                <c:pt idx="126">
                  <c:v>41091</c:v>
                </c:pt>
                <c:pt idx="127">
                  <c:v>41122</c:v>
                </c:pt>
                <c:pt idx="128">
                  <c:v>41153</c:v>
                </c:pt>
                <c:pt idx="129">
                  <c:v>41183</c:v>
                </c:pt>
                <c:pt idx="130">
                  <c:v>41214</c:v>
                </c:pt>
                <c:pt idx="131">
                  <c:v>41244</c:v>
                </c:pt>
                <c:pt idx="132">
                  <c:v>41275</c:v>
                </c:pt>
                <c:pt idx="133">
                  <c:v>41306</c:v>
                </c:pt>
                <c:pt idx="134">
                  <c:v>41334</c:v>
                </c:pt>
                <c:pt idx="135">
                  <c:v>41365</c:v>
                </c:pt>
                <c:pt idx="136">
                  <c:v>41395</c:v>
                </c:pt>
                <c:pt idx="137">
                  <c:v>41426</c:v>
                </c:pt>
                <c:pt idx="138">
                  <c:v>41456</c:v>
                </c:pt>
                <c:pt idx="139">
                  <c:v>41487</c:v>
                </c:pt>
                <c:pt idx="140">
                  <c:v>41518</c:v>
                </c:pt>
                <c:pt idx="141">
                  <c:v>41548</c:v>
                </c:pt>
                <c:pt idx="142">
                  <c:v>41579</c:v>
                </c:pt>
                <c:pt idx="143">
                  <c:v>41609</c:v>
                </c:pt>
                <c:pt idx="144">
                  <c:v>41640</c:v>
                </c:pt>
                <c:pt idx="145">
                  <c:v>41671</c:v>
                </c:pt>
                <c:pt idx="146">
                  <c:v>41699</c:v>
                </c:pt>
                <c:pt idx="147">
                  <c:v>41730</c:v>
                </c:pt>
                <c:pt idx="148">
                  <c:v>41760</c:v>
                </c:pt>
                <c:pt idx="149">
                  <c:v>41791</c:v>
                </c:pt>
                <c:pt idx="150">
                  <c:v>41821</c:v>
                </c:pt>
                <c:pt idx="151">
                  <c:v>41852</c:v>
                </c:pt>
                <c:pt idx="152">
                  <c:v>41883</c:v>
                </c:pt>
                <c:pt idx="153">
                  <c:v>41913</c:v>
                </c:pt>
                <c:pt idx="154">
                  <c:v>41944</c:v>
                </c:pt>
                <c:pt idx="155">
                  <c:v>41974</c:v>
                </c:pt>
                <c:pt idx="156">
                  <c:v>42005</c:v>
                </c:pt>
                <c:pt idx="157">
                  <c:v>42036</c:v>
                </c:pt>
                <c:pt idx="158">
                  <c:v>42064</c:v>
                </c:pt>
                <c:pt idx="159">
                  <c:v>42095</c:v>
                </c:pt>
                <c:pt idx="160">
                  <c:v>42125</c:v>
                </c:pt>
                <c:pt idx="161">
                  <c:v>42156</c:v>
                </c:pt>
                <c:pt idx="162">
                  <c:v>42186</c:v>
                </c:pt>
                <c:pt idx="163">
                  <c:v>42217</c:v>
                </c:pt>
                <c:pt idx="164">
                  <c:v>42248</c:v>
                </c:pt>
                <c:pt idx="165">
                  <c:v>42278</c:v>
                </c:pt>
                <c:pt idx="166">
                  <c:v>42309</c:v>
                </c:pt>
                <c:pt idx="167">
                  <c:v>42339</c:v>
                </c:pt>
                <c:pt idx="168">
                  <c:v>42370</c:v>
                </c:pt>
                <c:pt idx="169">
                  <c:v>42401</c:v>
                </c:pt>
                <c:pt idx="170">
                  <c:v>42430</c:v>
                </c:pt>
                <c:pt idx="171">
                  <c:v>42461</c:v>
                </c:pt>
                <c:pt idx="172">
                  <c:v>42491</c:v>
                </c:pt>
                <c:pt idx="173">
                  <c:v>42522</c:v>
                </c:pt>
                <c:pt idx="174">
                  <c:v>42552</c:v>
                </c:pt>
                <c:pt idx="175">
                  <c:v>42583</c:v>
                </c:pt>
                <c:pt idx="176">
                  <c:v>42614</c:v>
                </c:pt>
                <c:pt idx="177">
                  <c:v>42644</c:v>
                </c:pt>
                <c:pt idx="178">
                  <c:v>42675</c:v>
                </c:pt>
                <c:pt idx="179">
                  <c:v>42705</c:v>
                </c:pt>
                <c:pt idx="180">
                  <c:v>42736</c:v>
                </c:pt>
                <c:pt idx="181">
                  <c:v>42767</c:v>
                </c:pt>
                <c:pt idx="182">
                  <c:v>42795</c:v>
                </c:pt>
                <c:pt idx="183">
                  <c:v>42826</c:v>
                </c:pt>
                <c:pt idx="184">
                  <c:v>42856</c:v>
                </c:pt>
                <c:pt idx="185">
                  <c:v>42887</c:v>
                </c:pt>
                <c:pt idx="186">
                  <c:v>42917</c:v>
                </c:pt>
                <c:pt idx="187">
                  <c:v>42948</c:v>
                </c:pt>
                <c:pt idx="188">
                  <c:v>42979</c:v>
                </c:pt>
                <c:pt idx="189">
                  <c:v>43009</c:v>
                </c:pt>
                <c:pt idx="190">
                  <c:v>43040</c:v>
                </c:pt>
                <c:pt idx="191">
                  <c:v>43070</c:v>
                </c:pt>
                <c:pt idx="192">
                  <c:v>43101</c:v>
                </c:pt>
                <c:pt idx="193">
                  <c:v>43132</c:v>
                </c:pt>
                <c:pt idx="194">
                  <c:v>43160</c:v>
                </c:pt>
                <c:pt idx="195">
                  <c:v>43191</c:v>
                </c:pt>
                <c:pt idx="196">
                  <c:v>43221</c:v>
                </c:pt>
                <c:pt idx="197">
                  <c:v>43252</c:v>
                </c:pt>
                <c:pt idx="198">
                  <c:v>43282</c:v>
                </c:pt>
                <c:pt idx="199">
                  <c:v>43313</c:v>
                </c:pt>
                <c:pt idx="200">
                  <c:v>43344</c:v>
                </c:pt>
                <c:pt idx="201">
                  <c:v>43374</c:v>
                </c:pt>
                <c:pt idx="202">
                  <c:v>43405</c:v>
                </c:pt>
                <c:pt idx="203">
                  <c:v>43435</c:v>
                </c:pt>
                <c:pt idx="204">
                  <c:v>43466</c:v>
                </c:pt>
                <c:pt idx="205">
                  <c:v>43497</c:v>
                </c:pt>
                <c:pt idx="206">
                  <c:v>43525</c:v>
                </c:pt>
                <c:pt idx="207">
                  <c:v>43556</c:v>
                </c:pt>
                <c:pt idx="208">
                  <c:v>43586</c:v>
                </c:pt>
                <c:pt idx="209">
                  <c:v>43617</c:v>
                </c:pt>
                <c:pt idx="210">
                  <c:v>43647</c:v>
                </c:pt>
                <c:pt idx="211">
                  <c:v>43678</c:v>
                </c:pt>
                <c:pt idx="212">
                  <c:v>43709</c:v>
                </c:pt>
                <c:pt idx="213">
                  <c:v>43739</c:v>
                </c:pt>
                <c:pt idx="214">
                  <c:v>43770</c:v>
                </c:pt>
                <c:pt idx="215">
                  <c:v>43800</c:v>
                </c:pt>
                <c:pt idx="216">
                  <c:v>43831</c:v>
                </c:pt>
                <c:pt idx="217">
                  <c:v>43862</c:v>
                </c:pt>
                <c:pt idx="218">
                  <c:v>43891</c:v>
                </c:pt>
                <c:pt idx="219">
                  <c:v>43922</c:v>
                </c:pt>
                <c:pt idx="220">
                  <c:v>43952</c:v>
                </c:pt>
                <c:pt idx="221">
                  <c:v>43983</c:v>
                </c:pt>
                <c:pt idx="222">
                  <c:v>44013</c:v>
                </c:pt>
                <c:pt idx="223">
                  <c:v>44044</c:v>
                </c:pt>
                <c:pt idx="224">
                  <c:v>44075</c:v>
                </c:pt>
                <c:pt idx="225">
                  <c:v>44105</c:v>
                </c:pt>
                <c:pt idx="226">
                  <c:v>44136</c:v>
                </c:pt>
                <c:pt idx="227">
                  <c:v>44166</c:v>
                </c:pt>
                <c:pt idx="228">
                  <c:v>44197</c:v>
                </c:pt>
                <c:pt idx="229">
                  <c:v>44228</c:v>
                </c:pt>
                <c:pt idx="230">
                  <c:v>44256</c:v>
                </c:pt>
                <c:pt idx="231">
                  <c:v>44287</c:v>
                </c:pt>
                <c:pt idx="232">
                  <c:v>44317</c:v>
                </c:pt>
                <c:pt idx="233">
                  <c:v>44348</c:v>
                </c:pt>
                <c:pt idx="234">
                  <c:v>44378</c:v>
                </c:pt>
                <c:pt idx="235">
                  <c:v>44409</c:v>
                </c:pt>
                <c:pt idx="236">
                  <c:v>44440</c:v>
                </c:pt>
                <c:pt idx="237">
                  <c:v>44470</c:v>
                </c:pt>
                <c:pt idx="238">
                  <c:v>44501</c:v>
                </c:pt>
                <c:pt idx="239">
                  <c:v>44531</c:v>
                </c:pt>
              </c:numCache>
            </c:numRef>
          </c:cat>
          <c:val>
            <c:numRef>
              <c:f>Decomposition!$J$3:$J$242</c:f>
              <c:numCache>
                <c:formatCode>0%</c:formatCode>
                <c:ptCount val="240"/>
                <c:pt idx="0">
                  <c:v>-2.7624309392265192E-2</c:v>
                </c:pt>
                <c:pt idx="1">
                  <c:v>5.7388809182209472E-3</c:v>
                </c:pt>
                <c:pt idx="2">
                  <c:v>2.5839793281653748E-3</c:v>
                </c:pt>
                <c:pt idx="3">
                  <c:v>0</c:v>
                </c:pt>
                <c:pt idx="4">
                  <c:v>-4.9751243781094526E-3</c:v>
                </c:pt>
                <c:pt idx="5">
                  <c:v>1.2903225806451613E-3</c:v>
                </c:pt>
                <c:pt idx="6">
                  <c:v>4.8019207683073235E-3</c:v>
                </c:pt>
                <c:pt idx="7">
                  <c:v>-1.076555023923445E-2</c:v>
                </c:pt>
                <c:pt idx="8">
                  <c:v>0</c:v>
                </c:pt>
                <c:pt idx="9">
                  <c:v>4.4843049327354259E-3</c:v>
                </c:pt>
                <c:pt idx="10">
                  <c:v>4.7675804529201428E-3</c:v>
                </c:pt>
                <c:pt idx="11">
                  <c:v>-5.3619302949061672E-3</c:v>
                </c:pt>
                <c:pt idx="12">
                  <c:v>-1.3513513513513514E-3</c:v>
                </c:pt>
                <c:pt idx="13">
                  <c:v>0</c:v>
                </c:pt>
                <c:pt idx="14">
                  <c:v>6.4599483204134363E-3</c:v>
                </c:pt>
                <c:pt idx="15">
                  <c:v>7.8431372549019607E-3</c:v>
                </c:pt>
                <c:pt idx="16">
                  <c:v>-7.5282308657465494E-3</c:v>
                </c:pt>
                <c:pt idx="17">
                  <c:v>-2.6212319790301446E-3</c:v>
                </c:pt>
                <c:pt idx="18">
                  <c:v>-1.4760147601476014E-2</c:v>
                </c:pt>
                <c:pt idx="19">
                  <c:v>-8.5784313725490204E-3</c:v>
                </c:pt>
                <c:pt idx="20">
                  <c:v>1.4002333722287047E-2</c:v>
                </c:pt>
                <c:pt idx="21">
                  <c:v>6.6666666666666662E-3</c:v>
                </c:pt>
                <c:pt idx="22">
                  <c:v>9.4562647754137131E-3</c:v>
                </c:pt>
                <c:pt idx="23">
                  <c:v>-1.668806161745828E-2</c:v>
                </c:pt>
                <c:pt idx="24">
                  <c:v>-6.510416666666667E-3</c:v>
                </c:pt>
                <c:pt idx="25">
                  <c:v>4.0540540540540543E-3</c:v>
                </c:pt>
                <c:pt idx="26">
                  <c:v>1.1507479861910242E-3</c:v>
                </c:pt>
                <c:pt idx="27">
                  <c:v>0</c:v>
                </c:pt>
                <c:pt idx="28">
                  <c:v>1.1587485515643107E-3</c:v>
                </c:pt>
                <c:pt idx="29">
                  <c:v>-3.4843205574912892E-3</c:v>
                </c:pt>
                <c:pt idx="30">
                  <c:v>-2.219755826859046E-3</c:v>
                </c:pt>
                <c:pt idx="31">
                  <c:v>3.2573289902280132E-3</c:v>
                </c:pt>
                <c:pt idx="32">
                  <c:v>5.4288816503800224E-3</c:v>
                </c:pt>
                <c:pt idx="33">
                  <c:v>-3.2085561497326204E-3</c:v>
                </c:pt>
                <c:pt idx="34">
                  <c:v>-5.4466230936819175E-3</c:v>
                </c:pt>
                <c:pt idx="35">
                  <c:v>3.5419126328217233E-3</c:v>
                </c:pt>
                <c:pt idx="36">
                  <c:v>8.6419753086419745E-3</c:v>
                </c:pt>
                <c:pt idx="37">
                  <c:v>-9.1623036649214652E-3</c:v>
                </c:pt>
                <c:pt idx="38">
                  <c:v>-1.1363636363636365E-3</c:v>
                </c:pt>
                <c:pt idx="39">
                  <c:v>-2.2988505747126436E-3</c:v>
                </c:pt>
                <c:pt idx="40">
                  <c:v>2.8540065861690452E-2</c:v>
                </c:pt>
                <c:pt idx="41">
                  <c:v>6.5645514223194746E-3</c:v>
                </c:pt>
                <c:pt idx="42">
                  <c:v>0</c:v>
                </c:pt>
                <c:pt idx="43">
                  <c:v>3.1380753138075313E-3</c:v>
                </c:pt>
                <c:pt idx="44">
                  <c:v>-5.434782608695652E-3</c:v>
                </c:pt>
                <c:pt idx="45">
                  <c:v>-1.494130202774813E-2</c:v>
                </c:pt>
                <c:pt idx="46">
                  <c:v>-7.5757575757575751E-3</c:v>
                </c:pt>
                <c:pt idx="47">
                  <c:v>6.9284064665127024E-3</c:v>
                </c:pt>
                <c:pt idx="48">
                  <c:v>3.5842293906810031E-3</c:v>
                </c:pt>
                <c:pt idx="49">
                  <c:v>4.9875311720698253E-3</c:v>
                </c:pt>
                <c:pt idx="50">
                  <c:v>-6.4935064935064931E-3</c:v>
                </c:pt>
                <c:pt idx="51">
                  <c:v>0</c:v>
                </c:pt>
                <c:pt idx="52">
                  <c:v>8.385744234800839E-3</c:v>
                </c:pt>
                <c:pt idx="53">
                  <c:v>-7.6838638858397366E-3</c:v>
                </c:pt>
                <c:pt idx="54">
                  <c:v>4.2643923240938174E-3</c:v>
                </c:pt>
                <c:pt idx="55">
                  <c:v>3.0425963488843813E-3</c:v>
                </c:pt>
                <c:pt idx="56">
                  <c:v>-8.5836909871244635E-3</c:v>
                </c:pt>
                <c:pt idx="57">
                  <c:v>-7.1794871794871786E-3</c:v>
                </c:pt>
                <c:pt idx="58">
                  <c:v>2.0855057351407717E-3</c:v>
                </c:pt>
                <c:pt idx="59">
                  <c:v>9.1954022988505746E-3</c:v>
                </c:pt>
                <c:pt idx="60">
                  <c:v>-6.8965517241379309E-3</c:v>
                </c:pt>
                <c:pt idx="61">
                  <c:v>-2.4213075060532689E-3</c:v>
                </c:pt>
                <c:pt idx="62">
                  <c:v>0</c:v>
                </c:pt>
                <c:pt idx="63">
                  <c:v>4.4150110375275947E-3</c:v>
                </c:pt>
                <c:pt idx="64">
                  <c:v>1.001001001001001E-3</c:v>
                </c:pt>
                <c:pt idx="65">
                  <c:v>3.0959752321981422E-3</c:v>
                </c:pt>
                <c:pt idx="66">
                  <c:v>-6.0120240480961923E-3</c:v>
                </c:pt>
                <c:pt idx="67">
                  <c:v>3.8131553860819827E-3</c:v>
                </c:pt>
                <c:pt idx="68">
                  <c:v>-8.1300813008130073E-3</c:v>
                </c:pt>
                <c:pt idx="69">
                  <c:v>9.2764378478664197E-3</c:v>
                </c:pt>
                <c:pt idx="70">
                  <c:v>-3.90625E-3</c:v>
                </c:pt>
                <c:pt idx="71">
                  <c:v>-5.399568034557236E-3</c:v>
                </c:pt>
                <c:pt idx="72">
                  <c:v>9.4936708860759497E-3</c:v>
                </c:pt>
                <c:pt idx="73">
                  <c:v>1.0976948408342481E-3</c:v>
                </c:pt>
                <c:pt idx="74">
                  <c:v>-1.0235414534288639E-3</c:v>
                </c:pt>
                <c:pt idx="75">
                  <c:v>-7.0564516129032247E-3</c:v>
                </c:pt>
                <c:pt idx="76">
                  <c:v>-5.8536585365853658E-3</c:v>
                </c:pt>
                <c:pt idx="77">
                  <c:v>7.7444336882865443E-3</c:v>
                </c:pt>
                <c:pt idx="78">
                  <c:v>6.4516129032258064E-3</c:v>
                </c:pt>
                <c:pt idx="79">
                  <c:v>-5.6127221702525721E-3</c:v>
                </c:pt>
                <c:pt idx="80">
                  <c:v>1.0251630941286114E-2</c:v>
                </c:pt>
                <c:pt idx="81">
                  <c:v>-1.5682656826568265E-2</c:v>
                </c:pt>
                <c:pt idx="82">
                  <c:v>-1.0395010395010396E-3</c:v>
                </c:pt>
                <c:pt idx="83">
                  <c:v>-0.12642225031605564</c:v>
                </c:pt>
                <c:pt idx="84">
                  <c:v>-9.275730622617534E-2</c:v>
                </c:pt>
                <c:pt idx="85">
                  <c:v>-6.30749014454665E-2</c:v>
                </c:pt>
                <c:pt idx="86">
                  <c:v>-4.4018058690744925E-2</c:v>
                </c:pt>
                <c:pt idx="87">
                  <c:v>-3.2863849765258211E-2</c:v>
                </c:pt>
                <c:pt idx="88">
                  <c:v>-1.8619934282584884E-2</c:v>
                </c:pt>
                <c:pt idx="89">
                  <c:v>-1.1930585683297181E-2</c:v>
                </c:pt>
                <c:pt idx="90">
                  <c:v>-1.0235414534288638E-2</c:v>
                </c:pt>
                <c:pt idx="91">
                  <c:v>-8.0321285140562259E-3</c:v>
                </c:pt>
                <c:pt idx="92">
                  <c:v>-5.0301810865191147E-3</c:v>
                </c:pt>
                <c:pt idx="93">
                  <c:v>0</c:v>
                </c:pt>
                <c:pt idx="94">
                  <c:v>3.9447731755424065E-3</c:v>
                </c:pt>
                <c:pt idx="95">
                  <c:v>-6.3761955366631248E-3</c:v>
                </c:pt>
                <c:pt idx="96">
                  <c:v>0</c:v>
                </c:pt>
                <c:pt idx="97">
                  <c:v>-1.2359550561797755E-2</c:v>
                </c:pt>
                <c:pt idx="98">
                  <c:v>6.6603235014272124E-3</c:v>
                </c:pt>
                <c:pt idx="99">
                  <c:v>5.0352467270896274E-3</c:v>
                </c:pt>
                <c:pt idx="100">
                  <c:v>2.8763183125599234E-3</c:v>
                </c:pt>
                <c:pt idx="101">
                  <c:v>-9.7560975609756108E-4</c:v>
                </c:pt>
                <c:pt idx="102">
                  <c:v>-1.8709073900841909E-3</c:v>
                </c:pt>
                <c:pt idx="103">
                  <c:v>-2.7752081406105457E-3</c:v>
                </c:pt>
                <c:pt idx="104">
                  <c:v>9.4517958412098301E-4</c:v>
                </c:pt>
                <c:pt idx="105">
                  <c:v>-3.7140204271123491E-3</c:v>
                </c:pt>
                <c:pt idx="106">
                  <c:v>9.3632958801498139E-4</c:v>
                </c:pt>
                <c:pt idx="107">
                  <c:v>0</c:v>
                </c:pt>
                <c:pt idx="108">
                  <c:v>-5.3648068669527897E-3</c:v>
                </c:pt>
                <c:pt idx="109">
                  <c:v>3.1446540880503142E-3</c:v>
                </c:pt>
                <c:pt idx="110">
                  <c:v>5.7471264367816082E-3</c:v>
                </c:pt>
                <c:pt idx="111">
                  <c:v>-2.2564102564102566E-2</c:v>
                </c:pt>
                <c:pt idx="112">
                  <c:v>1.1204481792717087E-2</c:v>
                </c:pt>
                <c:pt idx="113">
                  <c:v>-6.8093385214007783E-3</c:v>
                </c:pt>
                <c:pt idx="114">
                  <c:v>4.7125353440150806E-3</c:v>
                </c:pt>
                <c:pt idx="115">
                  <c:v>3.6101083032490976E-3</c:v>
                </c:pt>
                <c:pt idx="116">
                  <c:v>-5.7251908396946565E-3</c:v>
                </c:pt>
                <c:pt idx="117">
                  <c:v>-7.525870178739417E-3</c:v>
                </c:pt>
                <c:pt idx="118">
                  <c:v>5.7581573896353161E-3</c:v>
                </c:pt>
                <c:pt idx="119">
                  <c:v>3.657262277951933E-2</c:v>
                </c:pt>
                <c:pt idx="120">
                  <c:v>-7.8917700112739568E-3</c:v>
                </c:pt>
                <c:pt idx="121">
                  <c:v>5.5679287305122494E-3</c:v>
                </c:pt>
                <c:pt idx="122">
                  <c:v>-2.0060180541624875E-3</c:v>
                </c:pt>
                <c:pt idx="123">
                  <c:v>-1.0775862068965517E-3</c:v>
                </c:pt>
                <c:pt idx="124">
                  <c:v>-9.7560975609756108E-4</c:v>
                </c:pt>
                <c:pt idx="125">
                  <c:v>-5.0864699898270603E-3</c:v>
                </c:pt>
                <c:pt idx="126">
                  <c:v>4.7846889952153108E-3</c:v>
                </c:pt>
                <c:pt idx="127">
                  <c:v>1.7937219730941704E-2</c:v>
                </c:pt>
                <c:pt idx="128">
                  <c:v>-3.8684719535783366E-3</c:v>
                </c:pt>
                <c:pt idx="129">
                  <c:v>8.0500894454382833E-3</c:v>
                </c:pt>
                <c:pt idx="130">
                  <c:v>-7.6335877862595426E-3</c:v>
                </c:pt>
                <c:pt idx="131">
                  <c:v>-1.0845986984815619E-3</c:v>
                </c:pt>
                <c:pt idx="132">
                  <c:v>6.3492063492063492E-3</c:v>
                </c:pt>
                <c:pt idx="133">
                  <c:v>-2.3836549375709424E-2</c:v>
                </c:pt>
                <c:pt idx="134">
                  <c:v>-8.1883316274309111E-3</c:v>
                </c:pt>
                <c:pt idx="135">
                  <c:v>6.8762278978389E-3</c:v>
                </c:pt>
                <c:pt idx="136">
                  <c:v>-9.5238095238095238E-4</c:v>
                </c:pt>
                <c:pt idx="137">
                  <c:v>3.9331366764995086E-3</c:v>
                </c:pt>
                <c:pt idx="138">
                  <c:v>-5.5555555555555558E-3</c:v>
                </c:pt>
                <c:pt idx="139">
                  <c:v>-8.9285714285714294E-4</c:v>
                </c:pt>
                <c:pt idx="140">
                  <c:v>5.5917986952469714E-3</c:v>
                </c:pt>
                <c:pt idx="141">
                  <c:v>-2.6642984014209592E-3</c:v>
                </c:pt>
                <c:pt idx="142">
                  <c:v>5.6550424128180964E-3</c:v>
                </c:pt>
                <c:pt idx="143">
                  <c:v>-3.2186459489456164E-2</c:v>
                </c:pt>
                <c:pt idx="144">
                  <c:v>-9.7192224622030254E-3</c:v>
                </c:pt>
                <c:pt idx="145">
                  <c:v>3.2502708559046588E-3</c:v>
                </c:pt>
                <c:pt idx="146">
                  <c:v>6.1664953751284684E-3</c:v>
                </c:pt>
                <c:pt idx="147">
                  <c:v>3.1249999999999997E-3</c:v>
                </c:pt>
                <c:pt idx="148">
                  <c:v>-5.8997050147492625E-3</c:v>
                </c:pt>
                <c:pt idx="149">
                  <c:v>-3.1612223393045306E-2</c:v>
                </c:pt>
                <c:pt idx="150">
                  <c:v>-6.7049808429118767E-3</c:v>
                </c:pt>
                <c:pt idx="151">
                  <c:v>9.4073377234242712E-4</c:v>
                </c:pt>
                <c:pt idx="152">
                  <c:v>2.840909090909091E-3</c:v>
                </c:pt>
                <c:pt idx="153">
                  <c:v>7.319304666056725E-3</c:v>
                </c:pt>
                <c:pt idx="154">
                  <c:v>2.0040080160320644E-3</c:v>
                </c:pt>
                <c:pt idx="155">
                  <c:v>-2.5085518814139111E-2</c:v>
                </c:pt>
                <c:pt idx="156">
                  <c:v>-5.6753688989784343E-3</c:v>
                </c:pt>
                <c:pt idx="157">
                  <c:v>-1.1947431302270011E-3</c:v>
                </c:pt>
                <c:pt idx="158">
                  <c:v>7.423117709437964E-3</c:v>
                </c:pt>
                <c:pt idx="159">
                  <c:v>-3.3783783783783786E-3</c:v>
                </c:pt>
                <c:pt idx="160">
                  <c:v>0</c:v>
                </c:pt>
                <c:pt idx="161">
                  <c:v>0</c:v>
                </c:pt>
                <c:pt idx="162">
                  <c:v>-8.3769633507853412E-3</c:v>
                </c:pt>
                <c:pt idx="163">
                  <c:v>9.2213114754098376E-3</c:v>
                </c:pt>
                <c:pt idx="164">
                  <c:v>-2.1208907741251328E-3</c:v>
                </c:pt>
                <c:pt idx="165">
                  <c:v>6.1728395061728392E-3</c:v>
                </c:pt>
                <c:pt idx="166">
                  <c:v>-2.2831050228310505E-3</c:v>
                </c:pt>
                <c:pt idx="167">
                  <c:v>-1.4248704663212436E-2</c:v>
                </c:pt>
                <c:pt idx="168">
                  <c:v>7.8636959370904317E-3</c:v>
                </c:pt>
                <c:pt idx="169">
                  <c:v>-6.5963060686015833E-3</c:v>
                </c:pt>
                <c:pt idx="170">
                  <c:v>2.3894862604540022E-3</c:v>
                </c:pt>
                <c:pt idx="171">
                  <c:v>0</c:v>
                </c:pt>
                <c:pt idx="172">
                  <c:v>5.7937427578215531E-3</c:v>
                </c:pt>
                <c:pt idx="173">
                  <c:v>-3.4207525655644238E-3</c:v>
                </c:pt>
                <c:pt idx="174">
                  <c:v>1.0044642857142858E-2</c:v>
                </c:pt>
                <c:pt idx="175">
                  <c:v>-8.6021505376344086E-3</c:v>
                </c:pt>
                <c:pt idx="176">
                  <c:v>3.30760749724366E-3</c:v>
                </c:pt>
                <c:pt idx="177">
                  <c:v>-8.869179600886918E-3</c:v>
                </c:pt>
                <c:pt idx="178">
                  <c:v>-6.9364161849710983E-3</c:v>
                </c:pt>
                <c:pt idx="179">
                  <c:v>5.1813471502590676E-3</c:v>
                </c:pt>
                <c:pt idx="180">
                  <c:v>1.0269576379974325E-2</c:v>
                </c:pt>
                <c:pt idx="181">
                  <c:v>1.8445322793148877E-2</c:v>
                </c:pt>
                <c:pt idx="182">
                  <c:v>-7.025761124121779E-3</c:v>
                </c:pt>
                <c:pt idx="183">
                  <c:v>-5.0441361916771761E-3</c:v>
                </c:pt>
                <c:pt idx="184">
                  <c:v>-2.219755826859046E-3</c:v>
                </c:pt>
                <c:pt idx="185">
                  <c:v>3.3936651583710404E-3</c:v>
                </c:pt>
                <c:pt idx="186">
                  <c:v>3.2573289902280132E-3</c:v>
                </c:pt>
                <c:pt idx="187">
                  <c:v>-3.1023784901758012E-3</c:v>
                </c:pt>
                <c:pt idx="188">
                  <c:v>-3.2258064516129032E-3</c:v>
                </c:pt>
                <c:pt idx="189">
                  <c:v>1.0515247108307047E-3</c:v>
                </c:pt>
                <c:pt idx="190">
                  <c:v>1.1037527593818987E-3</c:v>
                </c:pt>
                <c:pt idx="191">
                  <c:v>3.3333333333333333E-2</c:v>
                </c:pt>
                <c:pt idx="192">
                  <c:v>0</c:v>
                </c:pt>
                <c:pt idx="193">
                  <c:v>-9.0556274256144882E-3</c:v>
                </c:pt>
                <c:pt idx="194">
                  <c:v>1.1600928074245939E-3</c:v>
                </c:pt>
                <c:pt idx="195">
                  <c:v>2.3121387283236996E-3</c:v>
                </c:pt>
                <c:pt idx="196">
                  <c:v>-0.11611374407582939</c:v>
                </c:pt>
                <c:pt idx="197">
                  <c:v>4.3907793633369925E-3</c:v>
                </c:pt>
                <c:pt idx="198">
                  <c:v>4.1753653444676414E-3</c:v>
                </c:pt>
                <c:pt idx="199">
                  <c:v>-2.0366598778004076E-3</c:v>
                </c:pt>
                <c:pt idx="200">
                  <c:v>-2.2050716648291068E-2</c:v>
                </c:pt>
                <c:pt idx="201">
                  <c:v>-4.1753653444676414E-3</c:v>
                </c:pt>
                <c:pt idx="202">
                  <c:v>0</c:v>
                </c:pt>
                <c:pt idx="203">
                  <c:v>6.41025641025641E-3</c:v>
                </c:pt>
                <c:pt idx="204">
                  <c:v>-6.1957868649318458E-3</c:v>
                </c:pt>
                <c:pt idx="205">
                  <c:v>1.2642225031605564E-3</c:v>
                </c:pt>
                <c:pt idx="206">
                  <c:v>-1.2345679012345679E-3</c:v>
                </c:pt>
                <c:pt idx="207">
                  <c:v>4.8019207683073235E-3</c:v>
                </c:pt>
                <c:pt idx="208">
                  <c:v>4.3956043956043956E-3</c:v>
                </c:pt>
                <c:pt idx="209">
                  <c:v>-3.4965034965034965E-3</c:v>
                </c:pt>
                <c:pt idx="210">
                  <c:v>-8.5653104925053538E-3</c:v>
                </c:pt>
                <c:pt idx="211">
                  <c:v>3.1185031185031182E-3</c:v>
                </c:pt>
                <c:pt idx="212">
                  <c:v>3.2679738562091504E-3</c:v>
                </c:pt>
                <c:pt idx="213">
                  <c:v>2.2680412371134023E-2</c:v>
                </c:pt>
                <c:pt idx="214">
                  <c:v>4.5454545454545461E-3</c:v>
                </c:pt>
                <c:pt idx="215">
                  <c:v>-9.1027308192457718E-3</c:v>
                </c:pt>
                <c:pt idx="216">
                  <c:v>-3.7499999999999999E-3</c:v>
                </c:pt>
                <c:pt idx="217">
                  <c:v>5.0697084917617234E-3</c:v>
                </c:pt>
                <c:pt idx="218">
                  <c:v>-8.8575096277278567E-2</c:v>
                </c:pt>
                <c:pt idx="219">
                  <c:v>-0.38805970149253732</c:v>
                </c:pt>
                <c:pt idx="220">
                  <c:v>-0.2696629213483146</c:v>
                </c:pt>
                <c:pt idx="221">
                  <c:v>-0.17091836734693877</c:v>
                </c:pt>
                <c:pt idx="222">
                  <c:v>-7.8021978021978022E-2</c:v>
                </c:pt>
                <c:pt idx="223">
                  <c:v>-5.8572949946751864E-2</c:v>
                </c:pt>
                <c:pt idx="224">
                  <c:v>-3.7735849056603772E-2</c:v>
                </c:pt>
                <c:pt idx="225">
                  <c:v>-2.8776978417266185E-2</c:v>
                </c:pt>
                <c:pt idx="226">
                  <c:v>-2.2172949002217293E-2</c:v>
                </c:pt>
                <c:pt idx="227">
                  <c:v>-1.680672268907563E-2</c:v>
                </c:pt>
                <c:pt idx="228">
                  <c:v>-4.884004884004884E-3</c:v>
                </c:pt>
                <c:pt idx="229">
                  <c:v>-5.0568900126422255E-3</c:v>
                </c:pt>
                <c:pt idx="230">
                  <c:v>-1.8583042973286879E-2</c:v>
                </c:pt>
                <c:pt idx="231">
                  <c:v>-2.4600246002460024E-2</c:v>
                </c:pt>
                <c:pt idx="232">
                  <c:v>-1.1312217194570135E-3</c:v>
                </c:pt>
                <c:pt idx="233">
                  <c:v>3.4129692832764501E-3</c:v>
                </c:pt>
                <c:pt idx="234">
                  <c:v>-4.3383947939262474E-3</c:v>
                </c:pt>
                <c:pt idx="235">
                  <c:v>0</c:v>
                </c:pt>
                <c:pt idx="236">
                  <c:v>-1.092896174863388E-3</c:v>
                </c:pt>
                <c:pt idx="237">
                  <c:v>-4.459308807134894E-3</c:v>
                </c:pt>
                <c:pt idx="238">
                  <c:v>-5.8004640371229696E-3</c:v>
                </c:pt>
                <c:pt idx="239">
                  <c:v>1.893939393939394E-2</c:v>
                </c:pt>
              </c:numCache>
            </c:numRef>
          </c:val>
          <c:extLst>
            <c:ext xmlns:c16="http://schemas.microsoft.com/office/drawing/2014/chart" uri="{C3380CC4-5D6E-409C-BE32-E72D297353CC}">
              <c16:uniqueId val="{00000000-2A45-4697-8256-696EC516F65E}"/>
            </c:ext>
          </c:extLst>
        </c:ser>
        <c:ser>
          <c:idx val="2"/>
          <c:order val="1"/>
          <c:tx>
            <c:v>Seasonal Factor</c:v>
          </c:tx>
          <c:spPr>
            <a:solidFill>
              <a:schemeClr val="accent2"/>
            </a:solidFill>
            <a:ln>
              <a:noFill/>
            </a:ln>
            <a:effectLst>
              <a:outerShdw blurRad="57150" dist="19050" dir="5400000" algn="ctr" rotWithShape="0">
                <a:srgbClr val="000000">
                  <a:alpha val="63000"/>
                </a:srgbClr>
              </a:outerShdw>
            </a:effectLst>
          </c:spPr>
          <c:invertIfNegative val="0"/>
          <c:cat>
            <c:numRef>
              <c:f>Decomposition!$A$3:$A$242</c:f>
              <c:numCache>
                <c:formatCode>[$-416]mmm\-yy;@</c:formatCode>
                <c:ptCount val="240"/>
                <c:pt idx="0">
                  <c:v>37257</c:v>
                </c:pt>
                <c:pt idx="1">
                  <c:v>37288</c:v>
                </c:pt>
                <c:pt idx="2">
                  <c:v>37316</c:v>
                </c:pt>
                <c:pt idx="3">
                  <c:v>37347</c:v>
                </c:pt>
                <c:pt idx="4">
                  <c:v>37377</c:v>
                </c:pt>
                <c:pt idx="5">
                  <c:v>37408</c:v>
                </c:pt>
                <c:pt idx="6">
                  <c:v>37438</c:v>
                </c:pt>
                <c:pt idx="7">
                  <c:v>37469</c:v>
                </c:pt>
                <c:pt idx="8">
                  <c:v>37500</c:v>
                </c:pt>
                <c:pt idx="9">
                  <c:v>37530</c:v>
                </c:pt>
                <c:pt idx="10">
                  <c:v>37561</c:v>
                </c:pt>
                <c:pt idx="11">
                  <c:v>37591</c:v>
                </c:pt>
                <c:pt idx="12">
                  <c:v>37622</c:v>
                </c:pt>
                <c:pt idx="13">
                  <c:v>37653</c:v>
                </c:pt>
                <c:pt idx="14">
                  <c:v>37681</c:v>
                </c:pt>
                <c:pt idx="15">
                  <c:v>37712</c:v>
                </c:pt>
                <c:pt idx="16">
                  <c:v>37742</c:v>
                </c:pt>
                <c:pt idx="17">
                  <c:v>37773</c:v>
                </c:pt>
                <c:pt idx="18">
                  <c:v>37803</c:v>
                </c:pt>
                <c:pt idx="19">
                  <c:v>37834</c:v>
                </c:pt>
                <c:pt idx="20">
                  <c:v>37865</c:v>
                </c:pt>
                <c:pt idx="21">
                  <c:v>37895</c:v>
                </c:pt>
                <c:pt idx="22">
                  <c:v>37926</c:v>
                </c:pt>
                <c:pt idx="23">
                  <c:v>37956</c:v>
                </c:pt>
                <c:pt idx="24">
                  <c:v>37987</c:v>
                </c:pt>
                <c:pt idx="25">
                  <c:v>38018</c:v>
                </c:pt>
                <c:pt idx="26">
                  <c:v>38047</c:v>
                </c:pt>
                <c:pt idx="27">
                  <c:v>38078</c:v>
                </c:pt>
                <c:pt idx="28">
                  <c:v>38108</c:v>
                </c:pt>
                <c:pt idx="29">
                  <c:v>38139</c:v>
                </c:pt>
                <c:pt idx="30">
                  <c:v>38169</c:v>
                </c:pt>
                <c:pt idx="31">
                  <c:v>38200</c:v>
                </c:pt>
                <c:pt idx="32">
                  <c:v>38231</c:v>
                </c:pt>
                <c:pt idx="33">
                  <c:v>38261</c:v>
                </c:pt>
                <c:pt idx="34">
                  <c:v>38292</c:v>
                </c:pt>
                <c:pt idx="35">
                  <c:v>38322</c:v>
                </c:pt>
                <c:pt idx="36">
                  <c:v>38353</c:v>
                </c:pt>
                <c:pt idx="37">
                  <c:v>38384</c:v>
                </c:pt>
                <c:pt idx="38">
                  <c:v>38412</c:v>
                </c:pt>
                <c:pt idx="39">
                  <c:v>38443</c:v>
                </c:pt>
                <c:pt idx="40">
                  <c:v>38473</c:v>
                </c:pt>
                <c:pt idx="41">
                  <c:v>38504</c:v>
                </c:pt>
                <c:pt idx="42">
                  <c:v>38534</c:v>
                </c:pt>
                <c:pt idx="43">
                  <c:v>38565</c:v>
                </c:pt>
                <c:pt idx="44">
                  <c:v>38596</c:v>
                </c:pt>
                <c:pt idx="45">
                  <c:v>38626</c:v>
                </c:pt>
                <c:pt idx="46">
                  <c:v>38657</c:v>
                </c:pt>
                <c:pt idx="47">
                  <c:v>38687</c:v>
                </c:pt>
                <c:pt idx="48">
                  <c:v>38718</c:v>
                </c:pt>
                <c:pt idx="49">
                  <c:v>38749</c:v>
                </c:pt>
                <c:pt idx="50">
                  <c:v>38777</c:v>
                </c:pt>
                <c:pt idx="51">
                  <c:v>38808</c:v>
                </c:pt>
                <c:pt idx="52">
                  <c:v>38838</c:v>
                </c:pt>
                <c:pt idx="53">
                  <c:v>38869</c:v>
                </c:pt>
                <c:pt idx="54">
                  <c:v>38899</c:v>
                </c:pt>
                <c:pt idx="55">
                  <c:v>38930</c:v>
                </c:pt>
                <c:pt idx="56">
                  <c:v>38961</c:v>
                </c:pt>
                <c:pt idx="57">
                  <c:v>38991</c:v>
                </c:pt>
                <c:pt idx="58">
                  <c:v>39022</c:v>
                </c:pt>
                <c:pt idx="59">
                  <c:v>39052</c:v>
                </c:pt>
                <c:pt idx="60">
                  <c:v>39083</c:v>
                </c:pt>
                <c:pt idx="61">
                  <c:v>39114</c:v>
                </c:pt>
                <c:pt idx="62">
                  <c:v>39142</c:v>
                </c:pt>
                <c:pt idx="63">
                  <c:v>39173</c:v>
                </c:pt>
                <c:pt idx="64">
                  <c:v>39203</c:v>
                </c:pt>
                <c:pt idx="65">
                  <c:v>39234</c:v>
                </c:pt>
                <c:pt idx="66">
                  <c:v>39264</c:v>
                </c:pt>
                <c:pt idx="67">
                  <c:v>39295</c:v>
                </c:pt>
                <c:pt idx="68">
                  <c:v>39326</c:v>
                </c:pt>
                <c:pt idx="69">
                  <c:v>39356</c:v>
                </c:pt>
                <c:pt idx="70">
                  <c:v>39387</c:v>
                </c:pt>
                <c:pt idx="71">
                  <c:v>39417</c:v>
                </c:pt>
                <c:pt idx="72">
                  <c:v>39448</c:v>
                </c:pt>
                <c:pt idx="73">
                  <c:v>39479</c:v>
                </c:pt>
                <c:pt idx="74">
                  <c:v>39508</c:v>
                </c:pt>
                <c:pt idx="75">
                  <c:v>39539</c:v>
                </c:pt>
                <c:pt idx="76">
                  <c:v>39569</c:v>
                </c:pt>
                <c:pt idx="77">
                  <c:v>39600</c:v>
                </c:pt>
                <c:pt idx="78">
                  <c:v>39630</c:v>
                </c:pt>
                <c:pt idx="79">
                  <c:v>39661</c:v>
                </c:pt>
                <c:pt idx="80">
                  <c:v>39692</c:v>
                </c:pt>
                <c:pt idx="81">
                  <c:v>39722</c:v>
                </c:pt>
                <c:pt idx="82">
                  <c:v>39753</c:v>
                </c:pt>
                <c:pt idx="83">
                  <c:v>39783</c:v>
                </c:pt>
                <c:pt idx="84">
                  <c:v>39814</c:v>
                </c:pt>
                <c:pt idx="85">
                  <c:v>39845</c:v>
                </c:pt>
                <c:pt idx="86">
                  <c:v>39873</c:v>
                </c:pt>
                <c:pt idx="87">
                  <c:v>39904</c:v>
                </c:pt>
                <c:pt idx="88">
                  <c:v>39934</c:v>
                </c:pt>
                <c:pt idx="89">
                  <c:v>39965</c:v>
                </c:pt>
                <c:pt idx="90">
                  <c:v>39995</c:v>
                </c:pt>
                <c:pt idx="91">
                  <c:v>40026</c:v>
                </c:pt>
                <c:pt idx="92">
                  <c:v>40057</c:v>
                </c:pt>
                <c:pt idx="93">
                  <c:v>40087</c:v>
                </c:pt>
                <c:pt idx="94">
                  <c:v>40118</c:v>
                </c:pt>
                <c:pt idx="95">
                  <c:v>40148</c:v>
                </c:pt>
                <c:pt idx="96">
                  <c:v>40179</c:v>
                </c:pt>
                <c:pt idx="97">
                  <c:v>40210</c:v>
                </c:pt>
                <c:pt idx="98">
                  <c:v>40238</c:v>
                </c:pt>
                <c:pt idx="99">
                  <c:v>40269</c:v>
                </c:pt>
                <c:pt idx="100">
                  <c:v>40299</c:v>
                </c:pt>
                <c:pt idx="101">
                  <c:v>40330</c:v>
                </c:pt>
                <c:pt idx="102">
                  <c:v>40360</c:v>
                </c:pt>
                <c:pt idx="103">
                  <c:v>40391</c:v>
                </c:pt>
                <c:pt idx="104">
                  <c:v>40422</c:v>
                </c:pt>
                <c:pt idx="105">
                  <c:v>40452</c:v>
                </c:pt>
                <c:pt idx="106">
                  <c:v>40483</c:v>
                </c:pt>
                <c:pt idx="107">
                  <c:v>40513</c:v>
                </c:pt>
                <c:pt idx="108">
                  <c:v>40544</c:v>
                </c:pt>
                <c:pt idx="109">
                  <c:v>40575</c:v>
                </c:pt>
                <c:pt idx="110">
                  <c:v>40603</c:v>
                </c:pt>
                <c:pt idx="111">
                  <c:v>40634</c:v>
                </c:pt>
                <c:pt idx="112">
                  <c:v>40664</c:v>
                </c:pt>
                <c:pt idx="113">
                  <c:v>40695</c:v>
                </c:pt>
                <c:pt idx="114">
                  <c:v>40725</c:v>
                </c:pt>
                <c:pt idx="115">
                  <c:v>40756</c:v>
                </c:pt>
                <c:pt idx="116">
                  <c:v>40787</c:v>
                </c:pt>
                <c:pt idx="117">
                  <c:v>40817</c:v>
                </c:pt>
                <c:pt idx="118">
                  <c:v>40848</c:v>
                </c:pt>
                <c:pt idx="119">
                  <c:v>40878</c:v>
                </c:pt>
                <c:pt idx="120">
                  <c:v>40909</c:v>
                </c:pt>
                <c:pt idx="121">
                  <c:v>40940</c:v>
                </c:pt>
                <c:pt idx="122">
                  <c:v>40969</c:v>
                </c:pt>
                <c:pt idx="123">
                  <c:v>41000</c:v>
                </c:pt>
                <c:pt idx="124">
                  <c:v>41030</c:v>
                </c:pt>
                <c:pt idx="125">
                  <c:v>41061</c:v>
                </c:pt>
                <c:pt idx="126">
                  <c:v>41091</c:v>
                </c:pt>
                <c:pt idx="127">
                  <c:v>41122</c:v>
                </c:pt>
                <c:pt idx="128">
                  <c:v>41153</c:v>
                </c:pt>
                <c:pt idx="129">
                  <c:v>41183</c:v>
                </c:pt>
                <c:pt idx="130">
                  <c:v>41214</c:v>
                </c:pt>
                <c:pt idx="131">
                  <c:v>41244</c:v>
                </c:pt>
                <c:pt idx="132">
                  <c:v>41275</c:v>
                </c:pt>
                <c:pt idx="133">
                  <c:v>41306</c:v>
                </c:pt>
                <c:pt idx="134">
                  <c:v>41334</c:v>
                </c:pt>
                <c:pt idx="135">
                  <c:v>41365</c:v>
                </c:pt>
                <c:pt idx="136">
                  <c:v>41395</c:v>
                </c:pt>
                <c:pt idx="137">
                  <c:v>41426</c:v>
                </c:pt>
                <c:pt idx="138">
                  <c:v>41456</c:v>
                </c:pt>
                <c:pt idx="139">
                  <c:v>41487</c:v>
                </c:pt>
                <c:pt idx="140">
                  <c:v>41518</c:v>
                </c:pt>
                <c:pt idx="141">
                  <c:v>41548</c:v>
                </c:pt>
                <c:pt idx="142">
                  <c:v>41579</c:v>
                </c:pt>
                <c:pt idx="143">
                  <c:v>41609</c:v>
                </c:pt>
                <c:pt idx="144">
                  <c:v>41640</c:v>
                </c:pt>
                <c:pt idx="145">
                  <c:v>41671</c:v>
                </c:pt>
                <c:pt idx="146">
                  <c:v>41699</c:v>
                </c:pt>
                <c:pt idx="147">
                  <c:v>41730</c:v>
                </c:pt>
                <c:pt idx="148">
                  <c:v>41760</c:v>
                </c:pt>
                <c:pt idx="149">
                  <c:v>41791</c:v>
                </c:pt>
                <c:pt idx="150">
                  <c:v>41821</c:v>
                </c:pt>
                <c:pt idx="151">
                  <c:v>41852</c:v>
                </c:pt>
                <c:pt idx="152">
                  <c:v>41883</c:v>
                </c:pt>
                <c:pt idx="153">
                  <c:v>41913</c:v>
                </c:pt>
                <c:pt idx="154">
                  <c:v>41944</c:v>
                </c:pt>
                <c:pt idx="155">
                  <c:v>41974</c:v>
                </c:pt>
                <c:pt idx="156">
                  <c:v>42005</c:v>
                </c:pt>
                <c:pt idx="157">
                  <c:v>42036</c:v>
                </c:pt>
                <c:pt idx="158">
                  <c:v>42064</c:v>
                </c:pt>
                <c:pt idx="159">
                  <c:v>42095</c:v>
                </c:pt>
                <c:pt idx="160">
                  <c:v>42125</c:v>
                </c:pt>
                <c:pt idx="161">
                  <c:v>42156</c:v>
                </c:pt>
                <c:pt idx="162">
                  <c:v>42186</c:v>
                </c:pt>
                <c:pt idx="163">
                  <c:v>42217</c:v>
                </c:pt>
                <c:pt idx="164">
                  <c:v>42248</c:v>
                </c:pt>
                <c:pt idx="165">
                  <c:v>42278</c:v>
                </c:pt>
                <c:pt idx="166">
                  <c:v>42309</c:v>
                </c:pt>
                <c:pt idx="167">
                  <c:v>42339</c:v>
                </c:pt>
                <c:pt idx="168">
                  <c:v>42370</c:v>
                </c:pt>
                <c:pt idx="169">
                  <c:v>42401</c:v>
                </c:pt>
                <c:pt idx="170">
                  <c:v>42430</c:v>
                </c:pt>
                <c:pt idx="171">
                  <c:v>42461</c:v>
                </c:pt>
                <c:pt idx="172">
                  <c:v>42491</c:v>
                </c:pt>
                <c:pt idx="173">
                  <c:v>42522</c:v>
                </c:pt>
                <c:pt idx="174">
                  <c:v>42552</c:v>
                </c:pt>
                <c:pt idx="175">
                  <c:v>42583</c:v>
                </c:pt>
                <c:pt idx="176">
                  <c:v>42614</c:v>
                </c:pt>
                <c:pt idx="177">
                  <c:v>42644</c:v>
                </c:pt>
                <c:pt idx="178">
                  <c:v>42675</c:v>
                </c:pt>
                <c:pt idx="179">
                  <c:v>42705</c:v>
                </c:pt>
                <c:pt idx="180">
                  <c:v>42736</c:v>
                </c:pt>
                <c:pt idx="181">
                  <c:v>42767</c:v>
                </c:pt>
                <c:pt idx="182">
                  <c:v>42795</c:v>
                </c:pt>
                <c:pt idx="183">
                  <c:v>42826</c:v>
                </c:pt>
                <c:pt idx="184">
                  <c:v>42856</c:v>
                </c:pt>
                <c:pt idx="185">
                  <c:v>42887</c:v>
                </c:pt>
                <c:pt idx="186">
                  <c:v>42917</c:v>
                </c:pt>
                <c:pt idx="187">
                  <c:v>42948</c:v>
                </c:pt>
                <c:pt idx="188">
                  <c:v>42979</c:v>
                </c:pt>
                <c:pt idx="189">
                  <c:v>43009</c:v>
                </c:pt>
                <c:pt idx="190">
                  <c:v>43040</c:v>
                </c:pt>
                <c:pt idx="191">
                  <c:v>43070</c:v>
                </c:pt>
                <c:pt idx="192">
                  <c:v>43101</c:v>
                </c:pt>
                <c:pt idx="193">
                  <c:v>43132</c:v>
                </c:pt>
                <c:pt idx="194">
                  <c:v>43160</c:v>
                </c:pt>
                <c:pt idx="195">
                  <c:v>43191</c:v>
                </c:pt>
                <c:pt idx="196">
                  <c:v>43221</c:v>
                </c:pt>
                <c:pt idx="197">
                  <c:v>43252</c:v>
                </c:pt>
                <c:pt idx="198">
                  <c:v>43282</c:v>
                </c:pt>
                <c:pt idx="199">
                  <c:v>43313</c:v>
                </c:pt>
                <c:pt idx="200">
                  <c:v>43344</c:v>
                </c:pt>
                <c:pt idx="201">
                  <c:v>43374</c:v>
                </c:pt>
                <c:pt idx="202">
                  <c:v>43405</c:v>
                </c:pt>
                <c:pt idx="203">
                  <c:v>43435</c:v>
                </c:pt>
                <c:pt idx="204">
                  <c:v>43466</c:v>
                </c:pt>
                <c:pt idx="205">
                  <c:v>43497</c:v>
                </c:pt>
                <c:pt idx="206">
                  <c:v>43525</c:v>
                </c:pt>
                <c:pt idx="207">
                  <c:v>43556</c:v>
                </c:pt>
                <c:pt idx="208">
                  <c:v>43586</c:v>
                </c:pt>
                <c:pt idx="209">
                  <c:v>43617</c:v>
                </c:pt>
                <c:pt idx="210">
                  <c:v>43647</c:v>
                </c:pt>
                <c:pt idx="211">
                  <c:v>43678</c:v>
                </c:pt>
                <c:pt idx="212">
                  <c:v>43709</c:v>
                </c:pt>
                <c:pt idx="213">
                  <c:v>43739</c:v>
                </c:pt>
                <c:pt idx="214">
                  <c:v>43770</c:v>
                </c:pt>
                <c:pt idx="215">
                  <c:v>43800</c:v>
                </c:pt>
                <c:pt idx="216">
                  <c:v>43831</c:v>
                </c:pt>
                <c:pt idx="217">
                  <c:v>43862</c:v>
                </c:pt>
                <c:pt idx="218">
                  <c:v>43891</c:v>
                </c:pt>
                <c:pt idx="219">
                  <c:v>43922</c:v>
                </c:pt>
                <c:pt idx="220">
                  <c:v>43952</c:v>
                </c:pt>
                <c:pt idx="221">
                  <c:v>43983</c:v>
                </c:pt>
                <c:pt idx="222">
                  <c:v>44013</c:v>
                </c:pt>
                <c:pt idx="223">
                  <c:v>44044</c:v>
                </c:pt>
                <c:pt idx="224">
                  <c:v>44075</c:v>
                </c:pt>
                <c:pt idx="225">
                  <c:v>44105</c:v>
                </c:pt>
                <c:pt idx="226">
                  <c:v>44136</c:v>
                </c:pt>
                <c:pt idx="227">
                  <c:v>44166</c:v>
                </c:pt>
                <c:pt idx="228">
                  <c:v>44197</c:v>
                </c:pt>
                <c:pt idx="229">
                  <c:v>44228</c:v>
                </c:pt>
                <c:pt idx="230">
                  <c:v>44256</c:v>
                </c:pt>
                <c:pt idx="231">
                  <c:v>44287</c:v>
                </c:pt>
                <c:pt idx="232">
                  <c:v>44317</c:v>
                </c:pt>
                <c:pt idx="233">
                  <c:v>44348</c:v>
                </c:pt>
                <c:pt idx="234">
                  <c:v>44378</c:v>
                </c:pt>
                <c:pt idx="235">
                  <c:v>44409</c:v>
                </c:pt>
                <c:pt idx="236">
                  <c:v>44440</c:v>
                </c:pt>
                <c:pt idx="237">
                  <c:v>44470</c:v>
                </c:pt>
                <c:pt idx="238">
                  <c:v>44501</c:v>
                </c:pt>
                <c:pt idx="239">
                  <c:v>44531</c:v>
                </c:pt>
              </c:numCache>
            </c:numRef>
          </c:cat>
          <c:val>
            <c:numRef>
              <c:f>Decomposition!$K$3:$K$242</c:f>
              <c:numCache>
                <c:formatCode>0%</c:formatCode>
                <c:ptCount val="240"/>
                <c:pt idx="0">
                  <c:v>-8.9779005524861871E-2</c:v>
                </c:pt>
                <c:pt idx="1">
                  <c:v>-0.13486370157819225</c:v>
                </c:pt>
                <c:pt idx="2">
                  <c:v>7.7519379844961231E-3</c:v>
                </c:pt>
                <c:pt idx="3">
                  <c:v>-3.5175879396984924E-2</c:v>
                </c:pt>
                <c:pt idx="4">
                  <c:v>1.1194029850746268E-2</c:v>
                </c:pt>
                <c:pt idx="5">
                  <c:v>-7.7419354838709677E-3</c:v>
                </c:pt>
                <c:pt idx="6">
                  <c:v>3.1212484993997602E-2</c:v>
                </c:pt>
                <c:pt idx="7">
                  <c:v>5.3827751196172252E-2</c:v>
                </c:pt>
                <c:pt idx="8">
                  <c:v>4.38489646772229E-2</c:v>
                </c:pt>
                <c:pt idx="9">
                  <c:v>8.7443946188340796E-2</c:v>
                </c:pt>
                <c:pt idx="10">
                  <c:v>4.4100119189511323E-2</c:v>
                </c:pt>
                <c:pt idx="11">
                  <c:v>-5.898123324396784E-2</c:v>
                </c:pt>
                <c:pt idx="12">
                  <c:v>-8.6486486486486491E-2</c:v>
                </c:pt>
                <c:pt idx="13">
                  <c:v>-0.13231197771587744</c:v>
                </c:pt>
                <c:pt idx="14">
                  <c:v>5.1679586563307496E-3</c:v>
                </c:pt>
                <c:pt idx="15">
                  <c:v>-3.6601307189542479E-2</c:v>
                </c:pt>
                <c:pt idx="16">
                  <c:v>1.3801756587202008E-2</c:v>
                </c:pt>
                <c:pt idx="17">
                  <c:v>-6.5530799475753609E-3</c:v>
                </c:pt>
                <c:pt idx="18">
                  <c:v>3.3210332103321034E-2</c:v>
                </c:pt>
                <c:pt idx="19">
                  <c:v>5.7598039215686278E-2</c:v>
                </c:pt>
                <c:pt idx="20">
                  <c:v>4.0840140023337225E-2</c:v>
                </c:pt>
                <c:pt idx="21">
                  <c:v>8.5555555555555551E-2</c:v>
                </c:pt>
                <c:pt idx="22">
                  <c:v>4.2553191489361708E-2</c:v>
                </c:pt>
                <c:pt idx="23">
                  <c:v>-5.5198973042361994E-2</c:v>
                </c:pt>
                <c:pt idx="24">
                  <c:v>-8.3333333333333343E-2</c:v>
                </c:pt>
                <c:pt idx="25">
                  <c:v>-0.13108108108108107</c:v>
                </c:pt>
                <c:pt idx="26">
                  <c:v>2.3014959723820483E-3</c:v>
                </c:pt>
                <c:pt idx="27">
                  <c:v>-3.5279805352798052E-2</c:v>
                </c:pt>
                <c:pt idx="28">
                  <c:v>1.6222479721900347E-2</c:v>
                </c:pt>
                <c:pt idx="29">
                  <c:v>-3.4843205574912892E-3</c:v>
                </c:pt>
                <c:pt idx="30">
                  <c:v>3.2186459489456164E-2</c:v>
                </c:pt>
                <c:pt idx="31">
                  <c:v>5.428881650380022E-2</c:v>
                </c:pt>
                <c:pt idx="32">
                  <c:v>3.4744842562432141E-2</c:v>
                </c:pt>
                <c:pt idx="33">
                  <c:v>8.1283422459893048E-2</c:v>
                </c:pt>
                <c:pt idx="34">
                  <c:v>3.7037037037037035E-2</c:v>
                </c:pt>
                <c:pt idx="35">
                  <c:v>-5.0767414403778036E-2</c:v>
                </c:pt>
                <c:pt idx="36">
                  <c:v>-7.9012345679012344E-2</c:v>
                </c:pt>
                <c:pt idx="37">
                  <c:v>-0.12958115183246072</c:v>
                </c:pt>
                <c:pt idx="38">
                  <c:v>0</c:v>
                </c:pt>
                <c:pt idx="39">
                  <c:v>-3.5632183908045977E-2</c:v>
                </c:pt>
                <c:pt idx="40">
                  <c:v>1.8660812294182219E-2</c:v>
                </c:pt>
                <c:pt idx="41">
                  <c:v>-1.0940919037199124E-3</c:v>
                </c:pt>
                <c:pt idx="42">
                  <c:v>3.535911602209945E-2</c:v>
                </c:pt>
                <c:pt idx="43">
                  <c:v>5.753138075313808E-2</c:v>
                </c:pt>
                <c:pt idx="44">
                  <c:v>3.3695652173913043E-2</c:v>
                </c:pt>
                <c:pt idx="45">
                  <c:v>7.8975453575240134E-2</c:v>
                </c:pt>
                <c:pt idx="46">
                  <c:v>3.4632034632034632E-2</c:v>
                </c:pt>
                <c:pt idx="47">
                  <c:v>-5.080831408775982E-2</c:v>
                </c:pt>
                <c:pt idx="48">
                  <c:v>-7.765830346475508E-2</c:v>
                </c:pt>
                <c:pt idx="49">
                  <c:v>-0.12593516209476308</c:v>
                </c:pt>
                <c:pt idx="50">
                  <c:v>-2.1645021645021645E-3</c:v>
                </c:pt>
                <c:pt idx="51">
                  <c:v>-3.9673278879813298E-2</c:v>
                </c:pt>
                <c:pt idx="52">
                  <c:v>2.0964360587002094E-2</c:v>
                </c:pt>
                <c:pt idx="53">
                  <c:v>1.0976948408342481E-3</c:v>
                </c:pt>
                <c:pt idx="54">
                  <c:v>3.7313432835820899E-2</c:v>
                </c:pt>
                <c:pt idx="55">
                  <c:v>6.0851926977687633E-2</c:v>
                </c:pt>
                <c:pt idx="56">
                  <c:v>3.1115879828326178E-2</c:v>
                </c:pt>
                <c:pt idx="57">
                  <c:v>7.5897435897435903E-2</c:v>
                </c:pt>
                <c:pt idx="58">
                  <c:v>3.2325338894681963E-2</c:v>
                </c:pt>
                <c:pt idx="59">
                  <c:v>-5.4022988505747126E-2</c:v>
                </c:pt>
                <c:pt idx="60">
                  <c:v>-7.7011494252873569E-2</c:v>
                </c:pt>
                <c:pt idx="61">
                  <c:v>-0.12469733656174335</c:v>
                </c:pt>
                <c:pt idx="62">
                  <c:v>-2.0746887966804979E-3</c:v>
                </c:pt>
                <c:pt idx="63">
                  <c:v>-3.9735099337748346E-2</c:v>
                </c:pt>
                <c:pt idx="64">
                  <c:v>2.1021021021021019E-2</c:v>
                </c:pt>
                <c:pt idx="65">
                  <c:v>2.0639834881320948E-3</c:v>
                </c:pt>
                <c:pt idx="66">
                  <c:v>3.9078156312625248E-2</c:v>
                </c:pt>
                <c:pt idx="67">
                  <c:v>6.0057197330791227E-2</c:v>
                </c:pt>
                <c:pt idx="68">
                  <c:v>2.9471544715447152E-2</c:v>
                </c:pt>
                <c:pt idx="69">
                  <c:v>6.8645640074211506E-2</c:v>
                </c:pt>
                <c:pt idx="70">
                  <c:v>3.125E-2</c:v>
                </c:pt>
                <c:pt idx="71">
                  <c:v>-5.5075593952483799E-2</c:v>
                </c:pt>
                <c:pt idx="72">
                  <c:v>-7.3839662447257384E-2</c:v>
                </c:pt>
                <c:pt idx="73">
                  <c:v>-0.11416026344676181</c:v>
                </c:pt>
                <c:pt idx="74">
                  <c:v>-1.0235414534288639E-3</c:v>
                </c:pt>
                <c:pt idx="75">
                  <c:v>-3.7298387096774195E-2</c:v>
                </c:pt>
                <c:pt idx="76">
                  <c:v>2.1463414634146343E-2</c:v>
                </c:pt>
                <c:pt idx="77">
                  <c:v>1.9361084220716361E-3</c:v>
                </c:pt>
                <c:pt idx="78">
                  <c:v>3.7788018433179721E-2</c:v>
                </c:pt>
                <c:pt idx="79">
                  <c:v>6.1739943872778293E-2</c:v>
                </c:pt>
                <c:pt idx="80">
                  <c:v>2.7958993476234855E-2</c:v>
                </c:pt>
                <c:pt idx="81">
                  <c:v>6.9188191881918812E-2</c:v>
                </c:pt>
                <c:pt idx="82">
                  <c:v>3.5343035343035338E-2</c:v>
                </c:pt>
                <c:pt idx="83">
                  <c:v>-7.0796460176991149E-2</c:v>
                </c:pt>
                <c:pt idx="84">
                  <c:v>-9.5298602287166453E-2</c:v>
                </c:pt>
                <c:pt idx="85">
                  <c:v>-0.13666228646517742</c:v>
                </c:pt>
                <c:pt idx="86">
                  <c:v>0</c:v>
                </c:pt>
                <c:pt idx="87">
                  <c:v>-4.4600938967136149E-2</c:v>
                </c:pt>
                <c:pt idx="88">
                  <c:v>2.5191675794085433E-2</c:v>
                </c:pt>
                <c:pt idx="89">
                  <c:v>0</c:v>
                </c:pt>
                <c:pt idx="90">
                  <c:v>4.503582395087001E-2</c:v>
                </c:pt>
                <c:pt idx="91">
                  <c:v>6.9277108433734941E-2</c:v>
                </c:pt>
                <c:pt idx="92">
                  <c:v>3.2193158953722337E-2</c:v>
                </c:pt>
                <c:pt idx="93">
                  <c:v>7.2916666666666671E-2</c:v>
                </c:pt>
                <c:pt idx="94">
                  <c:v>3.5502958579881658E-2</c:v>
                </c:pt>
                <c:pt idx="95">
                  <c:v>-6.5887353878852292E-2</c:v>
                </c:pt>
                <c:pt idx="96">
                  <c:v>-8.6622807017543865E-2</c:v>
                </c:pt>
                <c:pt idx="97">
                  <c:v>-0.11685393258426967</c:v>
                </c:pt>
                <c:pt idx="98">
                  <c:v>0</c:v>
                </c:pt>
                <c:pt idx="99">
                  <c:v>-3.8267875125881166E-2</c:v>
                </c:pt>
                <c:pt idx="100">
                  <c:v>2.2051773729626079E-2</c:v>
                </c:pt>
                <c:pt idx="101">
                  <c:v>-1.9512195121951222E-3</c:v>
                </c:pt>
                <c:pt idx="102">
                  <c:v>4.2095416276894289E-2</c:v>
                </c:pt>
                <c:pt idx="103">
                  <c:v>6.7530064754856622E-2</c:v>
                </c:pt>
                <c:pt idx="104">
                  <c:v>3.3081285444234408E-2</c:v>
                </c:pt>
                <c:pt idx="105">
                  <c:v>7.4280408542246976E-2</c:v>
                </c:pt>
                <c:pt idx="106">
                  <c:v>3.4644194756554308E-2</c:v>
                </c:pt>
                <c:pt idx="107">
                  <c:v>-7.0393374741200831E-2</c:v>
                </c:pt>
                <c:pt idx="108">
                  <c:v>-8.9055793991416318E-2</c:v>
                </c:pt>
                <c:pt idx="109">
                  <c:v>-0.1090146750524109</c:v>
                </c:pt>
                <c:pt idx="110">
                  <c:v>-9.5785440613026815E-4</c:v>
                </c:pt>
                <c:pt idx="111">
                  <c:v>-3.8974358974358969E-2</c:v>
                </c:pt>
                <c:pt idx="112">
                  <c:v>2.0541549953314663E-2</c:v>
                </c:pt>
                <c:pt idx="113">
                  <c:v>-2.9182879377431907E-3</c:v>
                </c:pt>
                <c:pt idx="114">
                  <c:v>4.3355325164938736E-2</c:v>
                </c:pt>
                <c:pt idx="115">
                  <c:v>7.0397111913357402E-2</c:v>
                </c:pt>
                <c:pt idx="116">
                  <c:v>3.8167938931297711E-2</c:v>
                </c:pt>
                <c:pt idx="117">
                  <c:v>7.8080903104421451E-2</c:v>
                </c:pt>
                <c:pt idx="118">
                  <c:v>3.5508637236084453E-2</c:v>
                </c:pt>
                <c:pt idx="119">
                  <c:v>-7.6280041797283177E-2</c:v>
                </c:pt>
                <c:pt idx="120">
                  <c:v>-9.808342728297631E-2</c:v>
                </c:pt>
                <c:pt idx="121">
                  <c:v>-0.11692650334075724</c:v>
                </c:pt>
                <c:pt idx="122">
                  <c:v>-3.009027081243731E-3</c:v>
                </c:pt>
                <c:pt idx="123">
                  <c:v>-4.0948275862068964E-2</c:v>
                </c:pt>
                <c:pt idx="124">
                  <c:v>2.0487804878048781E-2</c:v>
                </c:pt>
                <c:pt idx="125">
                  <c:v>-3.0518819938962359E-3</c:v>
                </c:pt>
                <c:pt idx="126">
                  <c:v>4.4019138755980861E-2</c:v>
                </c:pt>
                <c:pt idx="127">
                  <c:v>7.3542600896860974E-2</c:v>
                </c:pt>
                <c:pt idx="128">
                  <c:v>4.2553191489361701E-2</c:v>
                </c:pt>
                <c:pt idx="129">
                  <c:v>7.7817531305903395E-2</c:v>
                </c:pt>
                <c:pt idx="130">
                  <c:v>3.4351145038167941E-2</c:v>
                </c:pt>
                <c:pt idx="131">
                  <c:v>-8.5683297180043388E-2</c:v>
                </c:pt>
                <c:pt idx="132">
                  <c:v>-9.4179894179894183E-2</c:v>
                </c:pt>
                <c:pt idx="133">
                  <c:v>-0.11918274687854712</c:v>
                </c:pt>
                <c:pt idx="134">
                  <c:v>-6.1412487205731829E-3</c:v>
                </c:pt>
                <c:pt idx="135">
                  <c:v>-3.8310412573673867E-2</c:v>
                </c:pt>
                <c:pt idx="136">
                  <c:v>0.02</c:v>
                </c:pt>
                <c:pt idx="137">
                  <c:v>-1.9665683382497543E-3</c:v>
                </c:pt>
                <c:pt idx="138">
                  <c:v>4.3518518518518519E-2</c:v>
                </c:pt>
                <c:pt idx="139">
                  <c:v>7.5892857142857137E-2</c:v>
                </c:pt>
                <c:pt idx="140">
                  <c:v>4.5666356011183601E-2</c:v>
                </c:pt>
                <c:pt idx="141">
                  <c:v>7.9040852575488457E-2</c:v>
                </c:pt>
                <c:pt idx="142">
                  <c:v>3.0160226201696515E-2</c:v>
                </c:pt>
                <c:pt idx="143">
                  <c:v>-9.2119866814650397E-2</c:v>
                </c:pt>
                <c:pt idx="144">
                  <c:v>-9.3952483801295894E-2</c:v>
                </c:pt>
                <c:pt idx="145">
                  <c:v>-0.11484290357529794</c:v>
                </c:pt>
                <c:pt idx="146">
                  <c:v>-9.249743062692703E-3</c:v>
                </c:pt>
                <c:pt idx="147">
                  <c:v>-4.2708333333333327E-2</c:v>
                </c:pt>
                <c:pt idx="148">
                  <c:v>2.0648967551622419E-2</c:v>
                </c:pt>
                <c:pt idx="149">
                  <c:v>2.1074815595363539E-3</c:v>
                </c:pt>
                <c:pt idx="150">
                  <c:v>4.6934865900383142E-2</c:v>
                </c:pt>
                <c:pt idx="151">
                  <c:v>8.1843838193791152E-2</c:v>
                </c:pt>
                <c:pt idx="152">
                  <c:v>5.0189393939393943E-2</c:v>
                </c:pt>
                <c:pt idx="153">
                  <c:v>8.1427264409881073E-2</c:v>
                </c:pt>
                <c:pt idx="154">
                  <c:v>2.8056112224448898E-2</c:v>
                </c:pt>
                <c:pt idx="155">
                  <c:v>-9.9201824401368294E-2</c:v>
                </c:pt>
                <c:pt idx="156">
                  <c:v>-9.6481271282633382E-2</c:v>
                </c:pt>
                <c:pt idx="157">
                  <c:v>-0.12664277180406211</c:v>
                </c:pt>
                <c:pt idx="158">
                  <c:v>-1.3785790031813362E-2</c:v>
                </c:pt>
                <c:pt idx="159">
                  <c:v>-4.72972972972973E-2</c:v>
                </c:pt>
                <c:pt idx="160">
                  <c:v>2.3630504833512356E-2</c:v>
                </c:pt>
                <c:pt idx="161">
                  <c:v>5.4054054054054057E-3</c:v>
                </c:pt>
                <c:pt idx="162">
                  <c:v>5.549738219895288E-2</c:v>
                </c:pt>
                <c:pt idx="163">
                  <c:v>8.8114754098360656E-2</c:v>
                </c:pt>
                <c:pt idx="164">
                  <c:v>5.8324496288441149E-2</c:v>
                </c:pt>
                <c:pt idx="165">
                  <c:v>8.8477366255144033E-2</c:v>
                </c:pt>
                <c:pt idx="166">
                  <c:v>2.6255707762557076E-2</c:v>
                </c:pt>
                <c:pt idx="167">
                  <c:v>-0.11398963730569948</c:v>
                </c:pt>
                <c:pt idx="168">
                  <c:v>-0.10747051114023591</c:v>
                </c:pt>
                <c:pt idx="169">
                  <c:v>-0.13984168865435356</c:v>
                </c:pt>
                <c:pt idx="170">
                  <c:v>-2.0310633213859019E-2</c:v>
                </c:pt>
                <c:pt idx="171">
                  <c:v>-5.0602409638554217E-2</c:v>
                </c:pt>
                <c:pt idx="172">
                  <c:v>2.7809965237543453E-2</c:v>
                </c:pt>
                <c:pt idx="173">
                  <c:v>1.0262257696693273E-2</c:v>
                </c:pt>
                <c:pt idx="174">
                  <c:v>6.25E-2</c:v>
                </c:pt>
                <c:pt idx="175">
                  <c:v>9.2473118279569888E-2</c:v>
                </c:pt>
                <c:pt idx="176">
                  <c:v>6.1742006615214985E-2</c:v>
                </c:pt>
                <c:pt idx="177">
                  <c:v>8.9800443458980042E-2</c:v>
                </c:pt>
                <c:pt idx="178">
                  <c:v>2.1965317919075144E-2</c:v>
                </c:pt>
                <c:pt idx="179">
                  <c:v>-0.11398963730569948</c:v>
                </c:pt>
                <c:pt idx="180">
                  <c:v>-0.10141206675224647</c:v>
                </c:pt>
                <c:pt idx="181">
                  <c:v>-0.13833992094861658</c:v>
                </c:pt>
                <c:pt idx="182">
                  <c:v>-2.4590163934426229E-2</c:v>
                </c:pt>
                <c:pt idx="183">
                  <c:v>-5.4224464060529637E-2</c:v>
                </c:pt>
                <c:pt idx="184">
                  <c:v>2.8856825749167595E-2</c:v>
                </c:pt>
                <c:pt idx="185">
                  <c:v>1.1312217194570135E-2</c:v>
                </c:pt>
                <c:pt idx="186">
                  <c:v>6.6232356134636267E-2</c:v>
                </c:pt>
                <c:pt idx="187">
                  <c:v>8.7900723888314367E-2</c:v>
                </c:pt>
                <c:pt idx="188">
                  <c:v>6.1290322580645165E-2</c:v>
                </c:pt>
                <c:pt idx="189">
                  <c:v>7.9915878023133546E-2</c:v>
                </c:pt>
                <c:pt idx="190">
                  <c:v>1.6556291390728478E-2</c:v>
                </c:pt>
                <c:pt idx="191">
                  <c:v>-0.1074074074074074</c:v>
                </c:pt>
                <c:pt idx="192">
                  <c:v>-9.2345078979343867E-2</c:v>
                </c:pt>
                <c:pt idx="193">
                  <c:v>-0.13195342820181113</c:v>
                </c:pt>
                <c:pt idx="194">
                  <c:v>-3.0162412993039442E-2</c:v>
                </c:pt>
                <c:pt idx="195">
                  <c:v>-4.9710982658959534E-2</c:v>
                </c:pt>
                <c:pt idx="196">
                  <c:v>3.1990521327014215E-2</c:v>
                </c:pt>
                <c:pt idx="197">
                  <c:v>1.2074643249176731E-2</c:v>
                </c:pt>
                <c:pt idx="198">
                  <c:v>6.5762004175365346E-2</c:v>
                </c:pt>
                <c:pt idx="199">
                  <c:v>8.7576374745417504E-2</c:v>
                </c:pt>
                <c:pt idx="200">
                  <c:v>6.3947078280044103E-2</c:v>
                </c:pt>
                <c:pt idx="201">
                  <c:v>7.6200417536534448E-2</c:v>
                </c:pt>
                <c:pt idx="202">
                  <c:v>1.452513966480447E-2</c:v>
                </c:pt>
                <c:pt idx="203">
                  <c:v>-0.11025641025641025</c:v>
                </c:pt>
                <c:pt idx="204">
                  <c:v>-9.0458488228004952E-2</c:v>
                </c:pt>
                <c:pt idx="205">
                  <c:v>-0.12515802781289509</c:v>
                </c:pt>
                <c:pt idx="206">
                  <c:v>-3.7037037037037035E-2</c:v>
                </c:pt>
                <c:pt idx="207">
                  <c:v>-5.4021608643457383E-2</c:v>
                </c:pt>
                <c:pt idx="208">
                  <c:v>2.8571428571428574E-2</c:v>
                </c:pt>
                <c:pt idx="209">
                  <c:v>1.2820512820512822E-2</c:v>
                </c:pt>
                <c:pt idx="210">
                  <c:v>6.852248394004283E-2</c:v>
                </c:pt>
                <c:pt idx="211">
                  <c:v>9.0436590436590428E-2</c:v>
                </c:pt>
                <c:pt idx="212">
                  <c:v>6.535947712418301E-2</c:v>
                </c:pt>
                <c:pt idx="213">
                  <c:v>7.3195876288659784E-2</c:v>
                </c:pt>
                <c:pt idx="214">
                  <c:v>1.3636363636363636E-2</c:v>
                </c:pt>
                <c:pt idx="215">
                  <c:v>-0.10793237971391417</c:v>
                </c:pt>
                <c:pt idx="216">
                  <c:v>-8.8749999999999996E-2</c:v>
                </c:pt>
                <c:pt idx="217">
                  <c:v>-0.12167300380228135</c:v>
                </c:pt>
                <c:pt idx="218">
                  <c:v>-4.3645699614890884E-2</c:v>
                </c:pt>
                <c:pt idx="219">
                  <c:v>-7.6285240464344942E-2</c:v>
                </c:pt>
                <c:pt idx="220">
                  <c:v>3.3707865168539325E-2</c:v>
                </c:pt>
                <c:pt idx="221">
                  <c:v>1.2755102040816325E-2</c:v>
                </c:pt>
                <c:pt idx="222">
                  <c:v>6.9230769230769235E-2</c:v>
                </c:pt>
                <c:pt idx="223">
                  <c:v>9.3716719914802987E-2</c:v>
                </c:pt>
                <c:pt idx="224">
                  <c:v>6.3941299790356385E-2</c:v>
                </c:pt>
                <c:pt idx="225">
                  <c:v>7.2970195272353544E-2</c:v>
                </c:pt>
                <c:pt idx="226">
                  <c:v>1.2195121951219513E-2</c:v>
                </c:pt>
                <c:pt idx="227">
                  <c:v>-9.8439375750300109E-2</c:v>
                </c:pt>
                <c:pt idx="228">
                  <c:v>-8.5470085470085458E-2</c:v>
                </c:pt>
                <c:pt idx="229">
                  <c:v>-0.1188369152970923</c:v>
                </c:pt>
                <c:pt idx="230">
                  <c:v>-4.0650406504065047E-2</c:v>
                </c:pt>
                <c:pt idx="231">
                  <c:v>-5.9040590405904057E-2</c:v>
                </c:pt>
                <c:pt idx="232">
                  <c:v>2.601809954751131E-2</c:v>
                </c:pt>
                <c:pt idx="233">
                  <c:v>1.0238907849829351E-2</c:v>
                </c:pt>
                <c:pt idx="234">
                  <c:v>6.8329718004338388E-2</c:v>
                </c:pt>
                <c:pt idx="235">
                  <c:v>9.5289079229122053E-2</c:v>
                </c:pt>
                <c:pt idx="236">
                  <c:v>6.7759562841530063E-2</c:v>
                </c:pt>
                <c:pt idx="237">
                  <c:v>7.9152731326644368E-2</c:v>
                </c:pt>
                <c:pt idx="238">
                  <c:v>1.2761020881670535E-2</c:v>
                </c:pt>
                <c:pt idx="239">
                  <c:v>-0.10227272727272727</c:v>
                </c:pt>
              </c:numCache>
            </c:numRef>
          </c:val>
          <c:extLst>
            <c:ext xmlns:c16="http://schemas.microsoft.com/office/drawing/2014/chart" uri="{C3380CC4-5D6E-409C-BE32-E72D297353CC}">
              <c16:uniqueId val="{00000001-2A45-4697-8256-696EC516F65E}"/>
            </c:ext>
          </c:extLst>
        </c:ser>
        <c:ser>
          <c:idx val="3"/>
          <c:order val="2"/>
          <c:tx>
            <c:v>Calendar Factor</c:v>
          </c:tx>
          <c:spPr>
            <a:solidFill>
              <a:schemeClr val="accent1"/>
            </a:solidFill>
            <a:ln>
              <a:noFill/>
            </a:ln>
            <a:effectLst>
              <a:outerShdw blurRad="57150" dist="19050" dir="5400000" algn="ctr" rotWithShape="0">
                <a:srgbClr val="000000">
                  <a:alpha val="63000"/>
                </a:srgbClr>
              </a:outerShdw>
            </a:effectLst>
          </c:spPr>
          <c:invertIfNegative val="0"/>
          <c:cat>
            <c:numRef>
              <c:f>Decomposition!$A$3:$A$242</c:f>
              <c:numCache>
                <c:formatCode>[$-416]mmm\-yy;@</c:formatCode>
                <c:ptCount val="240"/>
                <c:pt idx="0">
                  <c:v>37257</c:v>
                </c:pt>
                <c:pt idx="1">
                  <c:v>37288</c:v>
                </c:pt>
                <c:pt idx="2">
                  <c:v>37316</c:v>
                </c:pt>
                <c:pt idx="3">
                  <c:v>37347</c:v>
                </c:pt>
                <c:pt idx="4">
                  <c:v>37377</c:v>
                </c:pt>
                <c:pt idx="5">
                  <c:v>37408</c:v>
                </c:pt>
                <c:pt idx="6">
                  <c:v>37438</c:v>
                </c:pt>
                <c:pt idx="7">
                  <c:v>37469</c:v>
                </c:pt>
                <c:pt idx="8">
                  <c:v>37500</c:v>
                </c:pt>
                <c:pt idx="9">
                  <c:v>37530</c:v>
                </c:pt>
                <c:pt idx="10">
                  <c:v>37561</c:v>
                </c:pt>
                <c:pt idx="11">
                  <c:v>37591</c:v>
                </c:pt>
                <c:pt idx="12">
                  <c:v>37622</c:v>
                </c:pt>
                <c:pt idx="13">
                  <c:v>37653</c:v>
                </c:pt>
                <c:pt idx="14">
                  <c:v>37681</c:v>
                </c:pt>
                <c:pt idx="15">
                  <c:v>37712</c:v>
                </c:pt>
                <c:pt idx="16">
                  <c:v>37742</c:v>
                </c:pt>
                <c:pt idx="17">
                  <c:v>37773</c:v>
                </c:pt>
                <c:pt idx="18">
                  <c:v>37803</c:v>
                </c:pt>
                <c:pt idx="19">
                  <c:v>37834</c:v>
                </c:pt>
                <c:pt idx="20">
                  <c:v>37865</c:v>
                </c:pt>
                <c:pt idx="21">
                  <c:v>37895</c:v>
                </c:pt>
                <c:pt idx="22">
                  <c:v>37926</c:v>
                </c:pt>
                <c:pt idx="23">
                  <c:v>37956</c:v>
                </c:pt>
                <c:pt idx="24">
                  <c:v>37987</c:v>
                </c:pt>
                <c:pt idx="25">
                  <c:v>38018</c:v>
                </c:pt>
                <c:pt idx="26">
                  <c:v>38047</c:v>
                </c:pt>
                <c:pt idx="27">
                  <c:v>38078</c:v>
                </c:pt>
                <c:pt idx="28">
                  <c:v>38108</c:v>
                </c:pt>
                <c:pt idx="29">
                  <c:v>38139</c:v>
                </c:pt>
                <c:pt idx="30">
                  <c:v>38169</c:v>
                </c:pt>
                <c:pt idx="31">
                  <c:v>38200</c:v>
                </c:pt>
                <c:pt idx="32">
                  <c:v>38231</c:v>
                </c:pt>
                <c:pt idx="33">
                  <c:v>38261</c:v>
                </c:pt>
                <c:pt idx="34">
                  <c:v>38292</c:v>
                </c:pt>
                <c:pt idx="35">
                  <c:v>38322</c:v>
                </c:pt>
                <c:pt idx="36">
                  <c:v>38353</c:v>
                </c:pt>
                <c:pt idx="37">
                  <c:v>38384</c:v>
                </c:pt>
                <c:pt idx="38">
                  <c:v>38412</c:v>
                </c:pt>
                <c:pt idx="39">
                  <c:v>38443</c:v>
                </c:pt>
                <c:pt idx="40">
                  <c:v>38473</c:v>
                </c:pt>
                <c:pt idx="41">
                  <c:v>38504</c:v>
                </c:pt>
                <c:pt idx="42">
                  <c:v>38534</c:v>
                </c:pt>
                <c:pt idx="43">
                  <c:v>38565</c:v>
                </c:pt>
                <c:pt idx="44">
                  <c:v>38596</c:v>
                </c:pt>
                <c:pt idx="45">
                  <c:v>38626</c:v>
                </c:pt>
                <c:pt idx="46">
                  <c:v>38657</c:v>
                </c:pt>
                <c:pt idx="47">
                  <c:v>38687</c:v>
                </c:pt>
                <c:pt idx="48">
                  <c:v>38718</c:v>
                </c:pt>
                <c:pt idx="49">
                  <c:v>38749</c:v>
                </c:pt>
                <c:pt idx="50">
                  <c:v>38777</c:v>
                </c:pt>
                <c:pt idx="51">
                  <c:v>38808</c:v>
                </c:pt>
                <c:pt idx="52">
                  <c:v>38838</c:v>
                </c:pt>
                <c:pt idx="53">
                  <c:v>38869</c:v>
                </c:pt>
                <c:pt idx="54">
                  <c:v>38899</c:v>
                </c:pt>
                <c:pt idx="55">
                  <c:v>38930</c:v>
                </c:pt>
                <c:pt idx="56">
                  <c:v>38961</c:v>
                </c:pt>
                <c:pt idx="57">
                  <c:v>38991</c:v>
                </c:pt>
                <c:pt idx="58">
                  <c:v>39022</c:v>
                </c:pt>
                <c:pt idx="59">
                  <c:v>39052</c:v>
                </c:pt>
                <c:pt idx="60">
                  <c:v>39083</c:v>
                </c:pt>
                <c:pt idx="61">
                  <c:v>39114</c:v>
                </c:pt>
                <c:pt idx="62">
                  <c:v>39142</c:v>
                </c:pt>
                <c:pt idx="63">
                  <c:v>39173</c:v>
                </c:pt>
                <c:pt idx="64">
                  <c:v>39203</c:v>
                </c:pt>
                <c:pt idx="65">
                  <c:v>39234</c:v>
                </c:pt>
                <c:pt idx="66">
                  <c:v>39264</c:v>
                </c:pt>
                <c:pt idx="67">
                  <c:v>39295</c:v>
                </c:pt>
                <c:pt idx="68">
                  <c:v>39326</c:v>
                </c:pt>
                <c:pt idx="69">
                  <c:v>39356</c:v>
                </c:pt>
                <c:pt idx="70">
                  <c:v>39387</c:v>
                </c:pt>
                <c:pt idx="71">
                  <c:v>39417</c:v>
                </c:pt>
                <c:pt idx="72">
                  <c:v>39448</c:v>
                </c:pt>
                <c:pt idx="73">
                  <c:v>39479</c:v>
                </c:pt>
                <c:pt idx="74">
                  <c:v>39508</c:v>
                </c:pt>
                <c:pt idx="75">
                  <c:v>39539</c:v>
                </c:pt>
                <c:pt idx="76">
                  <c:v>39569</c:v>
                </c:pt>
                <c:pt idx="77">
                  <c:v>39600</c:v>
                </c:pt>
                <c:pt idx="78">
                  <c:v>39630</c:v>
                </c:pt>
                <c:pt idx="79">
                  <c:v>39661</c:v>
                </c:pt>
                <c:pt idx="80">
                  <c:v>39692</c:v>
                </c:pt>
                <c:pt idx="81">
                  <c:v>39722</c:v>
                </c:pt>
                <c:pt idx="82">
                  <c:v>39753</c:v>
                </c:pt>
                <c:pt idx="83">
                  <c:v>39783</c:v>
                </c:pt>
                <c:pt idx="84">
                  <c:v>39814</c:v>
                </c:pt>
                <c:pt idx="85">
                  <c:v>39845</c:v>
                </c:pt>
                <c:pt idx="86">
                  <c:v>39873</c:v>
                </c:pt>
                <c:pt idx="87">
                  <c:v>39904</c:v>
                </c:pt>
                <c:pt idx="88">
                  <c:v>39934</c:v>
                </c:pt>
                <c:pt idx="89">
                  <c:v>39965</c:v>
                </c:pt>
                <c:pt idx="90">
                  <c:v>39995</c:v>
                </c:pt>
                <c:pt idx="91">
                  <c:v>40026</c:v>
                </c:pt>
                <c:pt idx="92">
                  <c:v>40057</c:v>
                </c:pt>
                <c:pt idx="93">
                  <c:v>40087</c:v>
                </c:pt>
                <c:pt idx="94">
                  <c:v>40118</c:v>
                </c:pt>
                <c:pt idx="95">
                  <c:v>40148</c:v>
                </c:pt>
                <c:pt idx="96">
                  <c:v>40179</c:v>
                </c:pt>
                <c:pt idx="97">
                  <c:v>40210</c:v>
                </c:pt>
                <c:pt idx="98">
                  <c:v>40238</c:v>
                </c:pt>
                <c:pt idx="99">
                  <c:v>40269</c:v>
                </c:pt>
                <c:pt idx="100">
                  <c:v>40299</c:v>
                </c:pt>
                <c:pt idx="101">
                  <c:v>40330</c:v>
                </c:pt>
                <c:pt idx="102">
                  <c:v>40360</c:v>
                </c:pt>
                <c:pt idx="103">
                  <c:v>40391</c:v>
                </c:pt>
                <c:pt idx="104">
                  <c:v>40422</c:v>
                </c:pt>
                <c:pt idx="105">
                  <c:v>40452</c:v>
                </c:pt>
                <c:pt idx="106">
                  <c:v>40483</c:v>
                </c:pt>
                <c:pt idx="107">
                  <c:v>40513</c:v>
                </c:pt>
                <c:pt idx="108">
                  <c:v>40544</c:v>
                </c:pt>
                <c:pt idx="109">
                  <c:v>40575</c:v>
                </c:pt>
                <c:pt idx="110">
                  <c:v>40603</c:v>
                </c:pt>
                <c:pt idx="111">
                  <c:v>40634</c:v>
                </c:pt>
                <c:pt idx="112">
                  <c:v>40664</c:v>
                </c:pt>
                <c:pt idx="113">
                  <c:v>40695</c:v>
                </c:pt>
                <c:pt idx="114">
                  <c:v>40725</c:v>
                </c:pt>
                <c:pt idx="115">
                  <c:v>40756</c:v>
                </c:pt>
                <c:pt idx="116">
                  <c:v>40787</c:v>
                </c:pt>
                <c:pt idx="117">
                  <c:v>40817</c:v>
                </c:pt>
                <c:pt idx="118">
                  <c:v>40848</c:v>
                </c:pt>
                <c:pt idx="119">
                  <c:v>40878</c:v>
                </c:pt>
                <c:pt idx="120">
                  <c:v>40909</c:v>
                </c:pt>
                <c:pt idx="121">
                  <c:v>40940</c:v>
                </c:pt>
                <c:pt idx="122">
                  <c:v>40969</c:v>
                </c:pt>
                <c:pt idx="123">
                  <c:v>41000</c:v>
                </c:pt>
                <c:pt idx="124">
                  <c:v>41030</c:v>
                </c:pt>
                <c:pt idx="125">
                  <c:v>41061</c:v>
                </c:pt>
                <c:pt idx="126">
                  <c:v>41091</c:v>
                </c:pt>
                <c:pt idx="127">
                  <c:v>41122</c:v>
                </c:pt>
                <c:pt idx="128">
                  <c:v>41153</c:v>
                </c:pt>
                <c:pt idx="129">
                  <c:v>41183</c:v>
                </c:pt>
                <c:pt idx="130">
                  <c:v>41214</c:v>
                </c:pt>
                <c:pt idx="131">
                  <c:v>41244</c:v>
                </c:pt>
                <c:pt idx="132">
                  <c:v>41275</c:v>
                </c:pt>
                <c:pt idx="133">
                  <c:v>41306</c:v>
                </c:pt>
                <c:pt idx="134">
                  <c:v>41334</c:v>
                </c:pt>
                <c:pt idx="135">
                  <c:v>41365</c:v>
                </c:pt>
                <c:pt idx="136">
                  <c:v>41395</c:v>
                </c:pt>
                <c:pt idx="137">
                  <c:v>41426</c:v>
                </c:pt>
                <c:pt idx="138">
                  <c:v>41456</c:v>
                </c:pt>
                <c:pt idx="139">
                  <c:v>41487</c:v>
                </c:pt>
                <c:pt idx="140">
                  <c:v>41518</c:v>
                </c:pt>
                <c:pt idx="141">
                  <c:v>41548</c:v>
                </c:pt>
                <c:pt idx="142">
                  <c:v>41579</c:v>
                </c:pt>
                <c:pt idx="143">
                  <c:v>41609</c:v>
                </c:pt>
                <c:pt idx="144">
                  <c:v>41640</c:v>
                </c:pt>
                <c:pt idx="145">
                  <c:v>41671</c:v>
                </c:pt>
                <c:pt idx="146">
                  <c:v>41699</c:v>
                </c:pt>
                <c:pt idx="147">
                  <c:v>41730</c:v>
                </c:pt>
                <c:pt idx="148">
                  <c:v>41760</c:v>
                </c:pt>
                <c:pt idx="149">
                  <c:v>41791</c:v>
                </c:pt>
                <c:pt idx="150">
                  <c:v>41821</c:v>
                </c:pt>
                <c:pt idx="151">
                  <c:v>41852</c:v>
                </c:pt>
                <c:pt idx="152">
                  <c:v>41883</c:v>
                </c:pt>
                <c:pt idx="153">
                  <c:v>41913</c:v>
                </c:pt>
                <c:pt idx="154">
                  <c:v>41944</c:v>
                </c:pt>
                <c:pt idx="155">
                  <c:v>41974</c:v>
                </c:pt>
                <c:pt idx="156">
                  <c:v>42005</c:v>
                </c:pt>
                <c:pt idx="157">
                  <c:v>42036</c:v>
                </c:pt>
                <c:pt idx="158">
                  <c:v>42064</c:v>
                </c:pt>
                <c:pt idx="159">
                  <c:v>42095</c:v>
                </c:pt>
                <c:pt idx="160">
                  <c:v>42125</c:v>
                </c:pt>
                <c:pt idx="161">
                  <c:v>42156</c:v>
                </c:pt>
                <c:pt idx="162">
                  <c:v>42186</c:v>
                </c:pt>
                <c:pt idx="163">
                  <c:v>42217</c:v>
                </c:pt>
                <c:pt idx="164">
                  <c:v>42248</c:v>
                </c:pt>
                <c:pt idx="165">
                  <c:v>42278</c:v>
                </c:pt>
                <c:pt idx="166">
                  <c:v>42309</c:v>
                </c:pt>
                <c:pt idx="167">
                  <c:v>42339</c:v>
                </c:pt>
                <c:pt idx="168">
                  <c:v>42370</c:v>
                </c:pt>
                <c:pt idx="169">
                  <c:v>42401</c:v>
                </c:pt>
                <c:pt idx="170">
                  <c:v>42430</c:v>
                </c:pt>
                <c:pt idx="171">
                  <c:v>42461</c:v>
                </c:pt>
                <c:pt idx="172">
                  <c:v>42491</c:v>
                </c:pt>
                <c:pt idx="173">
                  <c:v>42522</c:v>
                </c:pt>
                <c:pt idx="174">
                  <c:v>42552</c:v>
                </c:pt>
                <c:pt idx="175">
                  <c:v>42583</c:v>
                </c:pt>
                <c:pt idx="176">
                  <c:v>42614</c:v>
                </c:pt>
                <c:pt idx="177">
                  <c:v>42644</c:v>
                </c:pt>
                <c:pt idx="178">
                  <c:v>42675</c:v>
                </c:pt>
                <c:pt idx="179">
                  <c:v>42705</c:v>
                </c:pt>
                <c:pt idx="180">
                  <c:v>42736</c:v>
                </c:pt>
                <c:pt idx="181">
                  <c:v>42767</c:v>
                </c:pt>
                <c:pt idx="182">
                  <c:v>42795</c:v>
                </c:pt>
                <c:pt idx="183">
                  <c:v>42826</c:v>
                </c:pt>
                <c:pt idx="184">
                  <c:v>42856</c:v>
                </c:pt>
                <c:pt idx="185">
                  <c:v>42887</c:v>
                </c:pt>
                <c:pt idx="186">
                  <c:v>42917</c:v>
                </c:pt>
                <c:pt idx="187">
                  <c:v>42948</c:v>
                </c:pt>
                <c:pt idx="188">
                  <c:v>42979</c:v>
                </c:pt>
                <c:pt idx="189">
                  <c:v>43009</c:v>
                </c:pt>
                <c:pt idx="190">
                  <c:v>43040</c:v>
                </c:pt>
                <c:pt idx="191">
                  <c:v>43070</c:v>
                </c:pt>
                <c:pt idx="192">
                  <c:v>43101</c:v>
                </c:pt>
                <c:pt idx="193">
                  <c:v>43132</c:v>
                </c:pt>
                <c:pt idx="194">
                  <c:v>43160</c:v>
                </c:pt>
                <c:pt idx="195">
                  <c:v>43191</c:v>
                </c:pt>
                <c:pt idx="196">
                  <c:v>43221</c:v>
                </c:pt>
                <c:pt idx="197">
                  <c:v>43252</c:v>
                </c:pt>
                <c:pt idx="198">
                  <c:v>43282</c:v>
                </c:pt>
                <c:pt idx="199">
                  <c:v>43313</c:v>
                </c:pt>
                <c:pt idx="200">
                  <c:v>43344</c:v>
                </c:pt>
                <c:pt idx="201">
                  <c:v>43374</c:v>
                </c:pt>
                <c:pt idx="202">
                  <c:v>43405</c:v>
                </c:pt>
                <c:pt idx="203">
                  <c:v>43435</c:v>
                </c:pt>
                <c:pt idx="204">
                  <c:v>43466</c:v>
                </c:pt>
                <c:pt idx="205">
                  <c:v>43497</c:v>
                </c:pt>
                <c:pt idx="206">
                  <c:v>43525</c:v>
                </c:pt>
                <c:pt idx="207">
                  <c:v>43556</c:v>
                </c:pt>
                <c:pt idx="208">
                  <c:v>43586</c:v>
                </c:pt>
                <c:pt idx="209">
                  <c:v>43617</c:v>
                </c:pt>
                <c:pt idx="210">
                  <c:v>43647</c:v>
                </c:pt>
                <c:pt idx="211">
                  <c:v>43678</c:v>
                </c:pt>
                <c:pt idx="212">
                  <c:v>43709</c:v>
                </c:pt>
                <c:pt idx="213">
                  <c:v>43739</c:v>
                </c:pt>
                <c:pt idx="214">
                  <c:v>43770</c:v>
                </c:pt>
                <c:pt idx="215">
                  <c:v>43800</c:v>
                </c:pt>
                <c:pt idx="216">
                  <c:v>43831</c:v>
                </c:pt>
                <c:pt idx="217">
                  <c:v>43862</c:v>
                </c:pt>
                <c:pt idx="218">
                  <c:v>43891</c:v>
                </c:pt>
                <c:pt idx="219">
                  <c:v>43922</c:v>
                </c:pt>
                <c:pt idx="220">
                  <c:v>43952</c:v>
                </c:pt>
                <c:pt idx="221">
                  <c:v>43983</c:v>
                </c:pt>
                <c:pt idx="222">
                  <c:v>44013</c:v>
                </c:pt>
                <c:pt idx="223">
                  <c:v>44044</c:v>
                </c:pt>
                <c:pt idx="224">
                  <c:v>44075</c:v>
                </c:pt>
                <c:pt idx="225">
                  <c:v>44105</c:v>
                </c:pt>
                <c:pt idx="226">
                  <c:v>44136</c:v>
                </c:pt>
                <c:pt idx="227">
                  <c:v>44166</c:v>
                </c:pt>
                <c:pt idx="228">
                  <c:v>44197</c:v>
                </c:pt>
                <c:pt idx="229">
                  <c:v>44228</c:v>
                </c:pt>
                <c:pt idx="230">
                  <c:v>44256</c:v>
                </c:pt>
                <c:pt idx="231">
                  <c:v>44287</c:v>
                </c:pt>
                <c:pt idx="232">
                  <c:v>44317</c:v>
                </c:pt>
                <c:pt idx="233">
                  <c:v>44348</c:v>
                </c:pt>
                <c:pt idx="234">
                  <c:v>44378</c:v>
                </c:pt>
                <c:pt idx="235">
                  <c:v>44409</c:v>
                </c:pt>
                <c:pt idx="236">
                  <c:v>44440</c:v>
                </c:pt>
                <c:pt idx="237">
                  <c:v>44470</c:v>
                </c:pt>
                <c:pt idx="238">
                  <c:v>44501</c:v>
                </c:pt>
                <c:pt idx="239">
                  <c:v>44531</c:v>
                </c:pt>
              </c:numCache>
            </c:numRef>
          </c:cat>
          <c:val>
            <c:numRef>
              <c:f>Decomposition!$L$3:$L$242</c:f>
              <c:numCache>
                <c:formatCode>0%</c:formatCode>
                <c:ptCount val="240"/>
                <c:pt idx="0">
                  <c:v>1.6574585635359115E-2</c:v>
                </c:pt>
                <c:pt idx="1">
                  <c:v>-1.5781922525107604E-2</c:v>
                </c:pt>
                <c:pt idx="2">
                  <c:v>-3.875968992248062E-2</c:v>
                </c:pt>
                <c:pt idx="3">
                  <c:v>3.5175879396984924E-2</c:v>
                </c:pt>
                <c:pt idx="4">
                  <c:v>4.9751243781094526E-3</c:v>
                </c:pt>
                <c:pt idx="5">
                  <c:v>-1.8064516129032256E-2</c:v>
                </c:pt>
                <c:pt idx="6">
                  <c:v>1.2004801920768308E-2</c:v>
                </c:pt>
                <c:pt idx="7">
                  <c:v>5.9808612440191387E-3</c:v>
                </c:pt>
                <c:pt idx="8">
                  <c:v>-1.3398294762484777E-2</c:v>
                </c:pt>
                <c:pt idx="9">
                  <c:v>1.3452914798206277E-2</c:v>
                </c:pt>
                <c:pt idx="10">
                  <c:v>-1.1918951132300357E-3</c:v>
                </c:pt>
                <c:pt idx="11">
                  <c:v>-8.0428954423592495E-3</c:v>
                </c:pt>
                <c:pt idx="12">
                  <c:v>9.4594594594594582E-3</c:v>
                </c:pt>
                <c:pt idx="13">
                  <c:v>2.2284122562674098E-2</c:v>
                </c:pt>
                <c:pt idx="14">
                  <c:v>-3.6175710594315243E-2</c:v>
                </c:pt>
                <c:pt idx="15">
                  <c:v>-1.3071895424836603E-3</c:v>
                </c:pt>
                <c:pt idx="16">
                  <c:v>1.0037641154328734E-2</c:v>
                </c:pt>
                <c:pt idx="17">
                  <c:v>-1.834862385321101E-2</c:v>
                </c:pt>
                <c:pt idx="18">
                  <c:v>1.4760147601476014E-2</c:v>
                </c:pt>
                <c:pt idx="19">
                  <c:v>-1.9607843137254905E-2</c:v>
                </c:pt>
                <c:pt idx="20">
                  <c:v>1.0501750291715286E-2</c:v>
                </c:pt>
                <c:pt idx="21">
                  <c:v>7.7777777777777776E-3</c:v>
                </c:pt>
                <c:pt idx="22">
                  <c:v>-1.8912529550827426E-2</c:v>
                </c:pt>
                <c:pt idx="23">
                  <c:v>1.2836970474967907E-2</c:v>
                </c:pt>
                <c:pt idx="24">
                  <c:v>6.510416666666667E-3</c:v>
                </c:pt>
                <c:pt idx="25">
                  <c:v>-4.0540540540540543E-3</c:v>
                </c:pt>
                <c:pt idx="26">
                  <c:v>2.4165707710011506E-2</c:v>
                </c:pt>
                <c:pt idx="27">
                  <c:v>0</c:v>
                </c:pt>
                <c:pt idx="28">
                  <c:v>-1.1587485515643106E-2</c:v>
                </c:pt>
                <c:pt idx="29">
                  <c:v>3.4843205574912892E-3</c:v>
                </c:pt>
                <c:pt idx="30">
                  <c:v>5.5493895671476145E-3</c:v>
                </c:pt>
                <c:pt idx="31">
                  <c:v>-6.5146579804560263E-3</c:v>
                </c:pt>
                <c:pt idx="32">
                  <c:v>7.6004343105320303E-3</c:v>
                </c:pt>
                <c:pt idx="33">
                  <c:v>-1.7112299465240642E-2</c:v>
                </c:pt>
                <c:pt idx="34">
                  <c:v>9.8039215686274508E-3</c:v>
                </c:pt>
                <c:pt idx="35">
                  <c:v>8.2644628099173539E-3</c:v>
                </c:pt>
                <c:pt idx="36">
                  <c:v>-1.6049382716049384E-2</c:v>
                </c:pt>
                <c:pt idx="37">
                  <c:v>-1.4397905759162303E-2</c:v>
                </c:pt>
                <c:pt idx="38">
                  <c:v>-2.2727272727272731E-3</c:v>
                </c:pt>
                <c:pt idx="39">
                  <c:v>2.0689655172413793E-2</c:v>
                </c:pt>
                <c:pt idx="40">
                  <c:v>-2.0856201975850714E-2</c:v>
                </c:pt>
                <c:pt idx="41">
                  <c:v>2.1881838074398249E-2</c:v>
                </c:pt>
                <c:pt idx="42">
                  <c:v>-1.7679558011049725E-2</c:v>
                </c:pt>
                <c:pt idx="43">
                  <c:v>1.0460251046025106E-2</c:v>
                </c:pt>
                <c:pt idx="44">
                  <c:v>7.6086956521739125E-3</c:v>
                </c:pt>
                <c:pt idx="45">
                  <c:v>-1.3874066168623266E-2</c:v>
                </c:pt>
                <c:pt idx="46">
                  <c:v>6.4935064935064931E-3</c:v>
                </c:pt>
                <c:pt idx="47">
                  <c:v>5.7736720554272519E-3</c:v>
                </c:pt>
                <c:pt idx="48">
                  <c:v>-7.1684587813620063E-3</c:v>
                </c:pt>
                <c:pt idx="49">
                  <c:v>-1.3715710723192021E-2</c:v>
                </c:pt>
                <c:pt idx="50">
                  <c:v>2.056277056277056E-2</c:v>
                </c:pt>
                <c:pt idx="51">
                  <c:v>-2.6837806301050173E-2</c:v>
                </c:pt>
                <c:pt idx="52">
                  <c:v>1.2578616352201257E-2</c:v>
                </c:pt>
                <c:pt idx="53">
                  <c:v>4.3907793633369925E-3</c:v>
                </c:pt>
                <c:pt idx="54">
                  <c:v>-1.3859275053304905E-2</c:v>
                </c:pt>
                <c:pt idx="55">
                  <c:v>1.2170385395537525E-2</c:v>
                </c:pt>
                <c:pt idx="56">
                  <c:v>-1.0729613733905579E-3</c:v>
                </c:pt>
                <c:pt idx="57">
                  <c:v>-6.1538461538461538E-3</c:v>
                </c:pt>
                <c:pt idx="58">
                  <c:v>7.2992700729926996E-3</c:v>
                </c:pt>
                <c:pt idx="59">
                  <c:v>-1.8390804597701149E-2</c:v>
                </c:pt>
                <c:pt idx="60">
                  <c:v>1.1494252873563218E-2</c:v>
                </c:pt>
                <c:pt idx="61">
                  <c:v>-1.331719128329298E-2</c:v>
                </c:pt>
                <c:pt idx="62">
                  <c:v>1.7634854771784232E-2</c:v>
                </c:pt>
                <c:pt idx="63">
                  <c:v>-1.9867549668874173E-2</c:v>
                </c:pt>
                <c:pt idx="64">
                  <c:v>1.5015015015015015E-2</c:v>
                </c:pt>
                <c:pt idx="65">
                  <c:v>-3.0959752321981422E-3</c:v>
                </c:pt>
                <c:pt idx="66">
                  <c:v>-6.0120240480961923E-3</c:v>
                </c:pt>
                <c:pt idx="67">
                  <c:v>6.6730219256434693E-3</c:v>
                </c:pt>
                <c:pt idx="68">
                  <c:v>-1.6260162601626015E-2</c:v>
                </c:pt>
                <c:pt idx="69">
                  <c:v>9.2764378478664197E-3</c:v>
                </c:pt>
                <c:pt idx="70">
                  <c:v>6.8359374999999991E-3</c:v>
                </c:pt>
                <c:pt idx="71">
                  <c:v>-1.4038876889848813E-2</c:v>
                </c:pt>
                <c:pt idx="72">
                  <c:v>1.2658227848101266E-2</c:v>
                </c:pt>
                <c:pt idx="73">
                  <c:v>1.4270032930845226E-2</c:v>
                </c:pt>
                <c:pt idx="74">
                  <c:v>-2.6612077789150462E-2</c:v>
                </c:pt>
                <c:pt idx="75">
                  <c:v>2.5201612903225805E-2</c:v>
                </c:pt>
                <c:pt idx="76">
                  <c:v>-7.8048780487804887E-3</c:v>
                </c:pt>
                <c:pt idx="77">
                  <c:v>1.9361084220716361E-3</c:v>
                </c:pt>
                <c:pt idx="78">
                  <c:v>1.1059907834101382E-2</c:v>
                </c:pt>
                <c:pt idx="79">
                  <c:v>-1.4967259120673527E-2</c:v>
                </c:pt>
                <c:pt idx="80">
                  <c:v>8.3876980428704579E-3</c:v>
                </c:pt>
                <c:pt idx="81">
                  <c:v>6.4575645756457557E-3</c:v>
                </c:pt>
                <c:pt idx="82">
                  <c:v>-1.6632016632016633E-2</c:v>
                </c:pt>
                <c:pt idx="83">
                  <c:v>1.2642225031605564E-2</c:v>
                </c:pt>
                <c:pt idx="84">
                  <c:v>6.3532401524777635E-3</c:v>
                </c:pt>
                <c:pt idx="85">
                  <c:v>-1.4454664914586073E-2</c:v>
                </c:pt>
                <c:pt idx="86">
                  <c:v>6.7720090293453723E-3</c:v>
                </c:pt>
                <c:pt idx="87">
                  <c:v>0</c:v>
                </c:pt>
                <c:pt idx="88">
                  <c:v>-1.4238773274917854E-2</c:v>
                </c:pt>
                <c:pt idx="89">
                  <c:v>7.5921908893709323E-3</c:v>
                </c:pt>
                <c:pt idx="90">
                  <c:v>7.1647901740020462E-3</c:v>
                </c:pt>
                <c:pt idx="91">
                  <c:v>-1.3052208835341366E-2</c:v>
                </c:pt>
                <c:pt idx="92">
                  <c:v>6.0362173038229373E-3</c:v>
                </c:pt>
                <c:pt idx="93">
                  <c:v>4.734848484848485E-3</c:v>
                </c:pt>
                <c:pt idx="94">
                  <c:v>-1.0848126232741617E-2</c:v>
                </c:pt>
                <c:pt idx="95">
                  <c:v>1.275239107332625E-2</c:v>
                </c:pt>
                <c:pt idx="96">
                  <c:v>-1.7543859649122806E-2</c:v>
                </c:pt>
                <c:pt idx="97">
                  <c:v>-1.2359550561797755E-2</c:v>
                </c:pt>
                <c:pt idx="98">
                  <c:v>1.9980970504281638E-2</c:v>
                </c:pt>
                <c:pt idx="99">
                  <c:v>0</c:v>
                </c:pt>
                <c:pt idx="100">
                  <c:v>-9.5877277085330784E-3</c:v>
                </c:pt>
                <c:pt idx="101">
                  <c:v>2.9268292682926829E-3</c:v>
                </c:pt>
                <c:pt idx="102">
                  <c:v>4.6772684752104769E-3</c:v>
                </c:pt>
                <c:pt idx="103">
                  <c:v>-5.5504162812210914E-3</c:v>
                </c:pt>
                <c:pt idx="104">
                  <c:v>6.6162570888468808E-3</c:v>
                </c:pt>
                <c:pt idx="105">
                  <c:v>-1.4856081708449397E-2</c:v>
                </c:pt>
                <c:pt idx="106">
                  <c:v>8.4269662921348312E-3</c:v>
                </c:pt>
                <c:pt idx="107">
                  <c:v>7.246376811594203E-3</c:v>
                </c:pt>
                <c:pt idx="108">
                  <c:v>-1.3948497854077254E-2</c:v>
                </c:pt>
                <c:pt idx="109">
                  <c:v>1.6771488469601678E-2</c:v>
                </c:pt>
                <c:pt idx="110">
                  <c:v>-2.8735632183908041E-3</c:v>
                </c:pt>
                <c:pt idx="111">
                  <c:v>-8.2051282051282051E-3</c:v>
                </c:pt>
                <c:pt idx="112">
                  <c:v>-2.8011204481792717E-3</c:v>
                </c:pt>
                <c:pt idx="113">
                  <c:v>3.891050583657588E-3</c:v>
                </c:pt>
                <c:pt idx="114">
                  <c:v>-1.5080113100848258E-2</c:v>
                </c:pt>
                <c:pt idx="115">
                  <c:v>9.0252707581227436E-3</c:v>
                </c:pt>
                <c:pt idx="116">
                  <c:v>6.6793893129770991E-3</c:v>
                </c:pt>
                <c:pt idx="117">
                  <c:v>-1.2229539040451553E-2</c:v>
                </c:pt>
                <c:pt idx="118">
                  <c:v>5.7581573896353161E-3</c:v>
                </c:pt>
                <c:pt idx="119">
                  <c:v>5.2246603970741903E-3</c:v>
                </c:pt>
                <c:pt idx="120">
                  <c:v>-6.7643742953776773E-3</c:v>
                </c:pt>
                <c:pt idx="121">
                  <c:v>1.447661469933185E-2</c:v>
                </c:pt>
                <c:pt idx="122">
                  <c:v>1.7051153460381142E-2</c:v>
                </c:pt>
                <c:pt idx="123">
                  <c:v>-1.9396551724137932E-2</c:v>
                </c:pt>
                <c:pt idx="124">
                  <c:v>1.4634146341463415E-2</c:v>
                </c:pt>
                <c:pt idx="125">
                  <c:v>-3.0518819938962359E-3</c:v>
                </c:pt>
                <c:pt idx="126">
                  <c:v>-5.7416267942583732E-3</c:v>
                </c:pt>
                <c:pt idx="127">
                  <c:v>6.2780269058295961E-3</c:v>
                </c:pt>
                <c:pt idx="128">
                  <c:v>-1.5473887814313346E-2</c:v>
                </c:pt>
                <c:pt idx="129">
                  <c:v>8.9445438282647581E-3</c:v>
                </c:pt>
                <c:pt idx="130">
                  <c:v>6.6793893129770991E-3</c:v>
                </c:pt>
                <c:pt idx="131">
                  <c:v>-1.4099783080260303E-2</c:v>
                </c:pt>
                <c:pt idx="132">
                  <c:v>1.2698412698412698E-2</c:v>
                </c:pt>
                <c:pt idx="133">
                  <c:v>-1.2485811577752555E-2</c:v>
                </c:pt>
                <c:pt idx="134">
                  <c:v>-3.0706243602865915E-2</c:v>
                </c:pt>
                <c:pt idx="135">
                  <c:v>2.75049115913556E-2</c:v>
                </c:pt>
                <c:pt idx="136">
                  <c:v>3.8095238095238095E-3</c:v>
                </c:pt>
                <c:pt idx="137">
                  <c:v>-1.3765978367748278E-2</c:v>
                </c:pt>
                <c:pt idx="138">
                  <c:v>9.2592592592592587E-3</c:v>
                </c:pt>
                <c:pt idx="139">
                  <c:v>4.464285714285714E-3</c:v>
                </c:pt>
                <c:pt idx="140">
                  <c:v>-1.0251630941286114E-2</c:v>
                </c:pt>
                <c:pt idx="141">
                  <c:v>1.0657193605683837E-2</c:v>
                </c:pt>
                <c:pt idx="142">
                  <c:v>-9.4250706880301611E-4</c:v>
                </c:pt>
                <c:pt idx="143">
                  <c:v>-6.6592674805771371E-3</c:v>
                </c:pt>
                <c:pt idx="144">
                  <c:v>7.5593952483801298E-3</c:v>
                </c:pt>
                <c:pt idx="145">
                  <c:v>1.7334777898158182E-2</c:v>
                </c:pt>
                <c:pt idx="146">
                  <c:v>-2.8776978417266185E-2</c:v>
                </c:pt>
                <c:pt idx="147">
                  <c:v>-1.0416666666666667E-3</c:v>
                </c:pt>
                <c:pt idx="148">
                  <c:v>7.8662733529990172E-3</c:v>
                </c:pt>
                <c:pt idx="149">
                  <c:v>-1.4752370916754477E-2</c:v>
                </c:pt>
                <c:pt idx="150">
                  <c:v>1.1494252873563216E-2</c:v>
                </c:pt>
                <c:pt idx="151">
                  <c:v>-1.5051740357478834E-2</c:v>
                </c:pt>
                <c:pt idx="152">
                  <c:v>8.5227272727272738E-3</c:v>
                </c:pt>
                <c:pt idx="153">
                  <c:v>6.4043915827996338E-3</c:v>
                </c:pt>
                <c:pt idx="154">
                  <c:v>-1.6032064128256515E-2</c:v>
                </c:pt>
                <c:pt idx="155">
                  <c:v>1.1402508551881414E-2</c:v>
                </c:pt>
                <c:pt idx="156">
                  <c:v>5.6753688989784343E-3</c:v>
                </c:pt>
                <c:pt idx="157">
                  <c:v>-1.3142174432497013E-2</c:v>
                </c:pt>
                <c:pt idx="158">
                  <c:v>6.3626723223753979E-3</c:v>
                </c:pt>
                <c:pt idx="159">
                  <c:v>0</c:v>
                </c:pt>
                <c:pt idx="160">
                  <c:v>-1.3963480128893663E-2</c:v>
                </c:pt>
                <c:pt idx="161">
                  <c:v>7.5675675675675675E-3</c:v>
                </c:pt>
                <c:pt idx="162">
                  <c:v>7.329842931937172E-3</c:v>
                </c:pt>
                <c:pt idx="163">
                  <c:v>-1.3319672131147542E-2</c:v>
                </c:pt>
                <c:pt idx="164">
                  <c:v>6.3626723223753979E-3</c:v>
                </c:pt>
                <c:pt idx="165">
                  <c:v>5.1440329218106996E-3</c:v>
                </c:pt>
                <c:pt idx="166">
                  <c:v>-1.2557077625570777E-2</c:v>
                </c:pt>
                <c:pt idx="167">
                  <c:v>1.5544041450777202E-2</c:v>
                </c:pt>
                <c:pt idx="168">
                  <c:v>-2.0969855832241157E-2</c:v>
                </c:pt>
                <c:pt idx="169">
                  <c:v>2.1108179419525069E-2</c:v>
                </c:pt>
                <c:pt idx="170">
                  <c:v>-2.3894862604540022E-3</c:v>
                </c:pt>
                <c:pt idx="171">
                  <c:v>2.1686746987951807E-2</c:v>
                </c:pt>
                <c:pt idx="172">
                  <c:v>-2.20162224797219E-2</c:v>
                </c:pt>
                <c:pt idx="173">
                  <c:v>2.2805017103762829E-2</c:v>
                </c:pt>
                <c:pt idx="174">
                  <c:v>-1.785714285714286E-2</c:v>
                </c:pt>
                <c:pt idx="175">
                  <c:v>1.0752688172043012E-2</c:v>
                </c:pt>
                <c:pt idx="176">
                  <c:v>7.7177508269018731E-3</c:v>
                </c:pt>
                <c:pt idx="177">
                  <c:v>-1.4412416851441241E-2</c:v>
                </c:pt>
                <c:pt idx="178">
                  <c:v>6.9364161849710983E-3</c:v>
                </c:pt>
                <c:pt idx="179">
                  <c:v>6.4766839378238338E-3</c:v>
                </c:pt>
                <c:pt idx="180">
                  <c:v>-7.702182284980744E-3</c:v>
                </c:pt>
                <c:pt idx="181">
                  <c:v>-1.4492753623188406E-2</c:v>
                </c:pt>
                <c:pt idx="182">
                  <c:v>2.2248243559718966E-2</c:v>
                </c:pt>
                <c:pt idx="183">
                  <c:v>-2.9003783102143757E-2</c:v>
                </c:pt>
                <c:pt idx="184">
                  <c:v>1.3318534961154274E-2</c:v>
                </c:pt>
                <c:pt idx="185">
                  <c:v>4.5248868778280538E-3</c:v>
                </c:pt>
                <c:pt idx="186">
                  <c:v>-1.4115092290988058E-2</c:v>
                </c:pt>
                <c:pt idx="187">
                  <c:v>1.2409513960703205E-2</c:v>
                </c:pt>
                <c:pt idx="188">
                  <c:v>-1.0752688172043011E-3</c:v>
                </c:pt>
                <c:pt idx="189">
                  <c:v>-6.3091482649842269E-3</c:v>
                </c:pt>
                <c:pt idx="190">
                  <c:v>7.7262693156732896E-3</c:v>
                </c:pt>
                <c:pt idx="191">
                  <c:v>-1.9753086419753086E-2</c:v>
                </c:pt>
                <c:pt idx="192">
                  <c:v>1.2150668286755772E-2</c:v>
                </c:pt>
                <c:pt idx="193">
                  <c:v>-1.4230271668822771E-2</c:v>
                </c:pt>
                <c:pt idx="194">
                  <c:v>-1.0440835266821345E-2</c:v>
                </c:pt>
                <c:pt idx="195">
                  <c:v>8.0924855491329474E-3</c:v>
                </c:pt>
                <c:pt idx="196">
                  <c:v>1.7772511848341232E-2</c:v>
                </c:pt>
                <c:pt idx="197">
                  <c:v>-3.2930845225027441E-3</c:v>
                </c:pt>
                <c:pt idx="198">
                  <c:v>-6.2630480167014616E-3</c:v>
                </c:pt>
                <c:pt idx="199">
                  <c:v>7.1283095723014252E-3</c:v>
                </c:pt>
                <c:pt idx="200">
                  <c:v>-1.7640573318632856E-2</c:v>
                </c:pt>
                <c:pt idx="201">
                  <c:v>1.0438413361169102E-2</c:v>
                </c:pt>
                <c:pt idx="202">
                  <c:v>7.8212290502793283E-3</c:v>
                </c:pt>
                <c:pt idx="203">
                  <c:v>-1.6666666666666666E-2</c:v>
                </c:pt>
                <c:pt idx="204">
                  <c:v>1.4869888475836431E-2</c:v>
                </c:pt>
                <c:pt idx="205">
                  <c:v>2.0227560050568902E-2</c:v>
                </c:pt>
                <c:pt idx="206">
                  <c:v>-3.8271604938271607E-2</c:v>
                </c:pt>
                <c:pt idx="207">
                  <c:v>2.4009603841536617E-3</c:v>
                </c:pt>
                <c:pt idx="208">
                  <c:v>1.098901098901099E-2</c:v>
                </c:pt>
                <c:pt idx="209">
                  <c:v>-2.2144522144522144E-2</c:v>
                </c:pt>
                <c:pt idx="210">
                  <c:v>1.0706638115631691E-2</c:v>
                </c:pt>
                <c:pt idx="211">
                  <c:v>5.1975051975051969E-3</c:v>
                </c:pt>
                <c:pt idx="212">
                  <c:v>-1.1982570806100219E-2</c:v>
                </c:pt>
                <c:pt idx="213">
                  <c:v>1.2371134020618556E-2</c:v>
                </c:pt>
                <c:pt idx="214">
                  <c:v>-1.1363636363636365E-3</c:v>
                </c:pt>
                <c:pt idx="215">
                  <c:v>-7.8023407022106625E-3</c:v>
                </c:pt>
                <c:pt idx="216">
                  <c:v>8.7499999999999991E-3</c:v>
                </c:pt>
                <c:pt idx="217">
                  <c:v>1.3941698352344741E-2</c:v>
                </c:pt>
                <c:pt idx="218">
                  <c:v>7.702182284980744E-3</c:v>
                </c:pt>
                <c:pt idx="219">
                  <c:v>0</c:v>
                </c:pt>
                <c:pt idx="220">
                  <c:v>-1.8258426966292134E-2</c:v>
                </c:pt>
                <c:pt idx="221">
                  <c:v>8.9285714285714281E-3</c:v>
                </c:pt>
                <c:pt idx="222">
                  <c:v>7.6923076923076919E-3</c:v>
                </c:pt>
                <c:pt idx="223">
                  <c:v>-1.3844515441959531E-2</c:v>
                </c:pt>
                <c:pt idx="224">
                  <c:v>6.2893081761006284E-3</c:v>
                </c:pt>
                <c:pt idx="225">
                  <c:v>5.1387461459403904E-3</c:v>
                </c:pt>
                <c:pt idx="226">
                  <c:v>-1.2195121951219513E-2</c:v>
                </c:pt>
                <c:pt idx="227">
                  <c:v>1.4405762304921969E-2</c:v>
                </c:pt>
                <c:pt idx="228">
                  <c:v>-1.9536019536019536E-2</c:v>
                </c:pt>
                <c:pt idx="229">
                  <c:v>-1.3906447534766121E-2</c:v>
                </c:pt>
                <c:pt idx="230">
                  <c:v>2.4390243902439029E-2</c:v>
                </c:pt>
                <c:pt idx="231">
                  <c:v>0</c:v>
                </c:pt>
                <c:pt idx="232">
                  <c:v>-1.1312217194570135E-2</c:v>
                </c:pt>
                <c:pt idx="233">
                  <c:v>3.4129692832764501E-3</c:v>
                </c:pt>
                <c:pt idx="234">
                  <c:v>5.4229934924078091E-3</c:v>
                </c:pt>
                <c:pt idx="235">
                  <c:v>-6.423982869379014E-3</c:v>
                </c:pt>
                <c:pt idx="236">
                  <c:v>7.650273224043715E-3</c:v>
                </c:pt>
                <c:pt idx="237">
                  <c:v>-1.7837235228539576E-2</c:v>
                </c:pt>
                <c:pt idx="238">
                  <c:v>1.0440835266821345E-2</c:v>
                </c:pt>
                <c:pt idx="239">
                  <c:v>8.8383838383838381E-3</c:v>
                </c:pt>
              </c:numCache>
            </c:numRef>
          </c:val>
          <c:extLst>
            <c:ext xmlns:c16="http://schemas.microsoft.com/office/drawing/2014/chart" uri="{C3380CC4-5D6E-409C-BE32-E72D297353CC}">
              <c16:uniqueId val="{00000002-2A45-4697-8256-696EC516F65E}"/>
            </c:ext>
          </c:extLst>
        </c:ser>
        <c:dLbls>
          <c:showLegendKey val="0"/>
          <c:showVal val="0"/>
          <c:showCatName val="0"/>
          <c:showSerName val="0"/>
          <c:showPercent val="0"/>
          <c:showBubbleSize val="0"/>
        </c:dLbls>
        <c:gapWidth val="150"/>
        <c:overlap val="100"/>
        <c:axId val="122457088"/>
        <c:axId val="122458752"/>
      </c:barChart>
      <c:dateAx>
        <c:axId val="122457088"/>
        <c:scaling>
          <c:orientation val="minMax"/>
          <c:min val="43435"/>
        </c:scaling>
        <c:delete val="0"/>
        <c:axPos val="b"/>
        <c:numFmt formatCode="[$-416]mmm\-yy;@" sourceLinked="1"/>
        <c:majorTickMark val="none"/>
        <c:minorTickMark val="none"/>
        <c:tickLblPos val="low"/>
        <c:spPr>
          <a:noFill/>
          <a:ln w="12700" cap="flat" cmpd="sng" algn="ctr">
            <a:solidFill>
              <a:schemeClr val="lt1">
                <a:lumMod val="95000"/>
                <a:alpha val="54000"/>
              </a:schemeClr>
            </a:solidFill>
            <a:round/>
          </a:ln>
          <a:effectLst/>
        </c:spPr>
        <c:txPr>
          <a:bodyPr rot="-60000000" spcFirstLastPara="1" vertOverflow="ellipsis" vert="horz" wrap="square" anchor="ctr" anchorCtr="1"/>
          <a:lstStyle/>
          <a:p>
            <a:pPr>
              <a:defRPr sz="1050" b="0" i="0" u="none" strike="noStrike" kern="1200" baseline="0">
                <a:solidFill>
                  <a:schemeClr val="lt1">
                    <a:lumMod val="85000"/>
                  </a:schemeClr>
                </a:solidFill>
                <a:latin typeface="+mn-lt"/>
                <a:ea typeface="+mn-ea"/>
                <a:cs typeface="+mn-cs"/>
              </a:defRPr>
            </a:pPr>
            <a:endParaRPr lang="pt-BR"/>
          </a:p>
        </c:txPr>
        <c:crossAx val="122458752"/>
        <c:crosses val="autoZero"/>
        <c:auto val="1"/>
        <c:lblOffset val="100"/>
        <c:baseTimeUnit val="months"/>
        <c:majorUnit val="6"/>
        <c:majorTimeUnit val="months"/>
      </c:dateAx>
      <c:valAx>
        <c:axId val="122458752"/>
        <c:scaling>
          <c:orientation val="minMax"/>
        </c:scaling>
        <c:delete val="0"/>
        <c:axPos val="l"/>
        <c:majorGridlines>
          <c:spPr>
            <a:ln w="9525" cap="flat" cmpd="sng" algn="ctr">
              <a:solidFill>
                <a:schemeClr val="lt1">
                  <a:lumMod val="95000"/>
                  <a:alpha val="10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1000" b="0" i="0" u="none" strike="noStrike" kern="1200" baseline="0">
                <a:solidFill>
                  <a:schemeClr val="lt1">
                    <a:lumMod val="85000"/>
                  </a:schemeClr>
                </a:solidFill>
                <a:latin typeface="+mn-lt"/>
                <a:ea typeface="+mn-ea"/>
                <a:cs typeface="+mn-cs"/>
              </a:defRPr>
            </a:pPr>
            <a:endParaRPr lang="pt-BR"/>
          </a:p>
        </c:txPr>
        <c:crossAx val="122457088"/>
        <c:crosses val="autoZero"/>
        <c:crossBetween val="between"/>
      </c:valAx>
      <c:spPr>
        <a:noFill/>
        <a:ln>
          <a:noFill/>
        </a:ln>
        <a:effectLst/>
      </c:spPr>
    </c:plotArea>
    <c:legend>
      <c:legendPos val="t"/>
      <c:overlay val="0"/>
      <c:spPr>
        <a:noFill/>
        <a:ln>
          <a:noFill/>
        </a:ln>
        <a:effectLst/>
      </c:spPr>
      <c:txPr>
        <a:bodyPr rot="0" spcFirstLastPara="1" vertOverflow="ellipsis" vert="horz" wrap="square" anchor="ctr" anchorCtr="1"/>
        <a:lstStyle/>
        <a:p>
          <a:pPr>
            <a:defRPr sz="1050" b="0" i="0" u="none" strike="noStrike" kern="1200" baseline="0">
              <a:solidFill>
                <a:schemeClr val="lt1">
                  <a:lumMod val="85000"/>
                </a:schemeClr>
              </a:solidFill>
              <a:latin typeface="+mn-lt"/>
              <a:ea typeface="+mn-ea"/>
              <a:cs typeface="+mn-cs"/>
            </a:defRPr>
          </a:pPr>
          <a:endParaRPr lang="pt-B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7.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9.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0.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1.xml><?xml version="1.0" encoding="utf-8"?>
<cs:chartStyle xmlns:cs="http://schemas.microsoft.com/office/drawing/2012/chartStyle" xmlns:a="http://schemas.openxmlformats.org/drawingml/2006/main" id="304">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22.xml><?xml version="1.0" encoding="utf-8"?>
<cs:chartStyle xmlns:cs="http://schemas.microsoft.com/office/drawing/2012/chartStyle" xmlns:a="http://schemas.openxmlformats.org/drawingml/2006/main" id="304">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drawings/_rels/drawing1.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s>
</file>

<file path=xl/drawings/_rels/drawing3.xml.rels><?xml version="1.0" encoding="UTF-8" standalone="yes"?>
<Relationships xmlns="http://schemas.openxmlformats.org/package/2006/relationships"><Relationship Id="rId3" Type="http://schemas.openxmlformats.org/officeDocument/2006/relationships/chart" Target="../charts/chart6.xml"/><Relationship Id="rId2" Type="http://schemas.openxmlformats.org/officeDocument/2006/relationships/chart" Target="../charts/chart5.xml"/><Relationship Id="rId1" Type="http://schemas.openxmlformats.org/officeDocument/2006/relationships/chart" Target="../charts/chart4.xml"/></Relationships>
</file>

<file path=xl/drawings/_rels/drawing4.xml.rels><?xml version="1.0" encoding="UTF-8" standalone="yes"?>
<Relationships xmlns="http://schemas.openxmlformats.org/package/2006/relationships"><Relationship Id="rId3" Type="http://schemas.openxmlformats.org/officeDocument/2006/relationships/chart" Target="../charts/chart9.xml"/><Relationship Id="rId2" Type="http://schemas.openxmlformats.org/officeDocument/2006/relationships/chart" Target="../charts/chart8.xml"/><Relationship Id="rId1" Type="http://schemas.openxmlformats.org/officeDocument/2006/relationships/chart" Target="../charts/chart7.xml"/><Relationship Id="rId4" Type="http://schemas.openxmlformats.org/officeDocument/2006/relationships/chart" Target="../charts/chart10.xml"/></Relationships>
</file>

<file path=xl/drawings/_rels/drawing5.xml.rels><?xml version="1.0" encoding="UTF-8" standalone="yes"?>
<Relationships xmlns="http://schemas.openxmlformats.org/package/2006/relationships"><Relationship Id="rId3" Type="http://schemas.openxmlformats.org/officeDocument/2006/relationships/chart" Target="../charts/chart13.xml"/><Relationship Id="rId2" Type="http://schemas.openxmlformats.org/officeDocument/2006/relationships/chart" Target="../charts/chart12.xml"/><Relationship Id="rId1" Type="http://schemas.openxmlformats.org/officeDocument/2006/relationships/chart" Target="../charts/chart11.xml"/></Relationships>
</file>

<file path=xl/drawings/_rels/drawing6.xml.rels><?xml version="1.0" encoding="UTF-8" standalone="yes"?>
<Relationships xmlns="http://schemas.openxmlformats.org/package/2006/relationships"><Relationship Id="rId1" Type="http://schemas.openxmlformats.org/officeDocument/2006/relationships/chart" Target="../charts/chart14.xml"/></Relationships>
</file>

<file path=xl/drawings/_rels/drawing7.xml.rels><?xml version="1.0" encoding="UTF-8" standalone="yes"?>
<Relationships xmlns="http://schemas.openxmlformats.org/package/2006/relationships"><Relationship Id="rId3" Type="http://schemas.openxmlformats.org/officeDocument/2006/relationships/chart" Target="../charts/chart17.xml"/><Relationship Id="rId2" Type="http://schemas.openxmlformats.org/officeDocument/2006/relationships/chart" Target="../charts/chart16.xml"/><Relationship Id="rId1" Type="http://schemas.openxmlformats.org/officeDocument/2006/relationships/chart" Target="../charts/chart15.xml"/></Relationships>
</file>

<file path=xl/drawings/_rels/drawing8.xml.rels><?xml version="1.0" encoding="UTF-8" standalone="yes"?>
<Relationships xmlns="http://schemas.openxmlformats.org/package/2006/relationships"><Relationship Id="rId3" Type="http://schemas.openxmlformats.org/officeDocument/2006/relationships/chart" Target="../charts/chart20.xml"/><Relationship Id="rId2" Type="http://schemas.openxmlformats.org/officeDocument/2006/relationships/chart" Target="../charts/chart19.xml"/><Relationship Id="rId1" Type="http://schemas.openxmlformats.org/officeDocument/2006/relationships/chart" Target="../charts/chart18.xml"/></Relationships>
</file>

<file path=xl/drawings/_rels/drawing9.xml.rels><?xml version="1.0" encoding="UTF-8" standalone="yes"?>
<Relationships xmlns="http://schemas.openxmlformats.org/package/2006/relationships"><Relationship Id="rId2" Type="http://schemas.openxmlformats.org/officeDocument/2006/relationships/chart" Target="../charts/chart22.xml"/><Relationship Id="rId1" Type="http://schemas.openxmlformats.org/officeDocument/2006/relationships/chart" Target="../charts/chart21.xml"/></Relationships>
</file>

<file path=xl/drawings/drawing1.xml><?xml version="1.0" encoding="utf-8"?>
<xdr:wsDr xmlns:xdr="http://schemas.openxmlformats.org/drawingml/2006/spreadsheetDrawing" xmlns:a="http://schemas.openxmlformats.org/drawingml/2006/main">
  <xdr:twoCellAnchor>
    <xdr:from>
      <xdr:col>2</xdr:col>
      <xdr:colOff>161925</xdr:colOff>
      <xdr:row>30</xdr:row>
      <xdr:rowOff>95249</xdr:rowOff>
    </xdr:from>
    <xdr:to>
      <xdr:col>10</xdr:col>
      <xdr:colOff>595916</xdr:colOff>
      <xdr:row>30</xdr:row>
      <xdr:rowOff>1238474</xdr:rowOff>
    </xdr:to>
    <xdr:grpSp>
      <xdr:nvGrpSpPr>
        <xdr:cNvPr id="2" name="Agrupar 1">
          <a:extLst>
            <a:ext uri="{FF2B5EF4-FFF2-40B4-BE49-F238E27FC236}">
              <a16:creationId xmlns:a16="http://schemas.microsoft.com/office/drawing/2014/main" id="{273145A2-FA4E-4348-9F35-5D292AB3EFB9}"/>
            </a:ext>
          </a:extLst>
        </xdr:cNvPr>
        <xdr:cNvGrpSpPr/>
      </xdr:nvGrpSpPr>
      <xdr:grpSpPr>
        <a:xfrm>
          <a:off x="952500" y="5581649"/>
          <a:ext cx="5987066" cy="1143225"/>
          <a:chOff x="161925" y="3752849"/>
          <a:chExt cx="5310791" cy="1143225"/>
        </a:xfrm>
      </xdr:grpSpPr>
      <xdr:pic>
        <xdr:nvPicPr>
          <xdr:cNvPr id="3" name="Imagem 2">
            <a:extLst>
              <a:ext uri="{FF2B5EF4-FFF2-40B4-BE49-F238E27FC236}">
                <a16:creationId xmlns:a16="http://schemas.microsoft.com/office/drawing/2014/main" id="{C28B74AE-FC85-44C1-9B05-91E75AE1A8B3}"/>
              </a:ext>
            </a:extLst>
          </xdr:cNvPr>
          <xdr:cNvPicPr>
            <a:picLocks noChangeAspect="1"/>
          </xdr:cNvPicPr>
        </xdr:nvPicPr>
        <xdr:blipFill>
          <a:blip xmlns:r="http://schemas.openxmlformats.org/officeDocument/2006/relationships" r:embed="rId1"/>
          <a:stretch>
            <a:fillRect/>
          </a:stretch>
        </xdr:blipFill>
        <xdr:spPr>
          <a:xfrm>
            <a:off x="257176" y="3752849"/>
            <a:ext cx="5215540" cy="1143225"/>
          </a:xfrm>
          <a:prstGeom prst="rect">
            <a:avLst/>
          </a:prstGeom>
        </xdr:spPr>
      </xdr:pic>
      <xdr:sp macro="" textlink="">
        <xdr:nvSpPr>
          <xdr:cNvPr id="4" name="Elipse 3">
            <a:extLst>
              <a:ext uri="{FF2B5EF4-FFF2-40B4-BE49-F238E27FC236}">
                <a16:creationId xmlns:a16="http://schemas.microsoft.com/office/drawing/2014/main" id="{C41A036C-1726-488A-BA70-C1654DF86E2A}"/>
              </a:ext>
            </a:extLst>
          </xdr:cNvPr>
          <xdr:cNvSpPr/>
        </xdr:nvSpPr>
        <xdr:spPr>
          <a:xfrm>
            <a:off x="161925" y="4086225"/>
            <a:ext cx="657225" cy="742950"/>
          </a:xfrm>
          <a:prstGeom prst="ellipse">
            <a:avLst/>
          </a:prstGeom>
          <a:noFill/>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pt-BR" sz="1100"/>
          </a:p>
        </xdr:txBody>
      </xdr:sp>
    </xdr:grpSp>
    <xdr:clientData/>
  </xdr:twoCellAnchor>
  <xdr:twoCellAnchor>
    <xdr:from>
      <xdr:col>2</xdr:col>
      <xdr:colOff>71871</xdr:colOff>
      <xdr:row>33</xdr:row>
      <xdr:rowOff>95250</xdr:rowOff>
    </xdr:from>
    <xdr:to>
      <xdr:col>4</xdr:col>
      <xdr:colOff>324297</xdr:colOff>
      <xdr:row>34</xdr:row>
      <xdr:rowOff>57764</xdr:rowOff>
    </xdr:to>
    <xdr:grpSp>
      <xdr:nvGrpSpPr>
        <xdr:cNvPr id="10" name="Agrupar 9">
          <a:extLst>
            <a:ext uri="{FF2B5EF4-FFF2-40B4-BE49-F238E27FC236}">
              <a16:creationId xmlns:a16="http://schemas.microsoft.com/office/drawing/2014/main" id="{657D6826-E262-4071-AA00-C7E4E503C8FF}"/>
            </a:ext>
          </a:extLst>
        </xdr:cNvPr>
        <xdr:cNvGrpSpPr/>
      </xdr:nvGrpSpPr>
      <xdr:grpSpPr>
        <a:xfrm>
          <a:off x="862446" y="7381875"/>
          <a:ext cx="2147901" cy="2953364"/>
          <a:chOff x="862446" y="6238875"/>
          <a:chExt cx="2147901" cy="2953364"/>
        </a:xfrm>
      </xdr:grpSpPr>
      <xdr:pic>
        <xdr:nvPicPr>
          <xdr:cNvPr id="9" name="Imagem 8">
            <a:extLst>
              <a:ext uri="{FF2B5EF4-FFF2-40B4-BE49-F238E27FC236}">
                <a16:creationId xmlns:a16="http://schemas.microsoft.com/office/drawing/2014/main" id="{0EED111D-1C4D-4BC5-BBA9-0453C774FE35}"/>
              </a:ext>
            </a:extLst>
          </xdr:cNvPr>
          <xdr:cNvPicPr>
            <a:picLocks noChangeAspect="1"/>
          </xdr:cNvPicPr>
        </xdr:nvPicPr>
        <xdr:blipFill>
          <a:blip xmlns:r="http://schemas.openxmlformats.org/officeDocument/2006/relationships" r:embed="rId2"/>
          <a:stretch>
            <a:fillRect/>
          </a:stretch>
        </xdr:blipFill>
        <xdr:spPr>
          <a:xfrm>
            <a:off x="862446" y="6238875"/>
            <a:ext cx="2147901" cy="2953364"/>
          </a:xfrm>
          <a:prstGeom prst="rect">
            <a:avLst/>
          </a:prstGeom>
        </xdr:spPr>
      </xdr:pic>
      <xdr:sp macro="" textlink="">
        <xdr:nvSpPr>
          <xdr:cNvPr id="8" name="Elipse 7">
            <a:extLst>
              <a:ext uri="{FF2B5EF4-FFF2-40B4-BE49-F238E27FC236}">
                <a16:creationId xmlns:a16="http://schemas.microsoft.com/office/drawing/2014/main" id="{0CF5A854-42BC-4C51-B24C-E2E6FECD0881}"/>
              </a:ext>
            </a:extLst>
          </xdr:cNvPr>
          <xdr:cNvSpPr/>
        </xdr:nvSpPr>
        <xdr:spPr>
          <a:xfrm>
            <a:off x="984941" y="8886825"/>
            <a:ext cx="1424884" cy="295275"/>
          </a:xfrm>
          <a:prstGeom prst="ellipse">
            <a:avLst/>
          </a:prstGeom>
          <a:noFill/>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pt-BR" sz="1100"/>
          </a:p>
        </xdr:txBody>
      </xdr:sp>
    </xdr:grpSp>
    <xdr:clientData/>
  </xdr:twoCellAnchor>
  <xdr:twoCellAnchor editAs="oneCell">
    <xdr:from>
      <xdr:col>2</xdr:col>
      <xdr:colOff>19050</xdr:colOff>
      <xdr:row>36</xdr:row>
      <xdr:rowOff>38100</xdr:rowOff>
    </xdr:from>
    <xdr:to>
      <xdr:col>12</xdr:col>
      <xdr:colOff>343976</xdr:colOff>
      <xdr:row>36</xdr:row>
      <xdr:rowOff>2067208</xdr:rowOff>
    </xdr:to>
    <xdr:pic>
      <xdr:nvPicPr>
        <xdr:cNvPr id="14" name="Imagem 13">
          <a:extLst>
            <a:ext uri="{FF2B5EF4-FFF2-40B4-BE49-F238E27FC236}">
              <a16:creationId xmlns:a16="http://schemas.microsoft.com/office/drawing/2014/main" id="{947267CA-E5F3-46B6-B160-E17CB278EF14}"/>
            </a:ext>
          </a:extLst>
        </xdr:cNvPr>
        <xdr:cNvPicPr>
          <a:picLocks noChangeAspect="1"/>
        </xdr:cNvPicPr>
      </xdr:nvPicPr>
      <xdr:blipFill>
        <a:blip xmlns:r="http://schemas.openxmlformats.org/officeDocument/2006/relationships" r:embed="rId3"/>
        <a:stretch>
          <a:fillRect/>
        </a:stretch>
      </xdr:blipFill>
      <xdr:spPr>
        <a:xfrm>
          <a:off x="809625" y="10687050"/>
          <a:ext cx="7706801" cy="2029108"/>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11</xdr:col>
      <xdr:colOff>419101</xdr:colOff>
      <xdr:row>7</xdr:row>
      <xdr:rowOff>142875</xdr:rowOff>
    </xdr:from>
    <xdr:to>
      <xdr:col>22</xdr:col>
      <xdr:colOff>266700</xdr:colOff>
      <xdr:row>24</xdr:row>
      <xdr:rowOff>9525</xdr:rowOff>
    </xdr:to>
    <xdr:graphicFrame macro="">
      <xdr:nvGraphicFramePr>
        <xdr:cNvPr id="2" name="Gráfico 1">
          <a:extLst>
            <a:ext uri="{FF2B5EF4-FFF2-40B4-BE49-F238E27FC236}">
              <a16:creationId xmlns:a16="http://schemas.microsoft.com/office/drawing/2014/main" id="{F6B115FB-C8C9-4E5E-8E3A-F9919E6D46F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11</xdr:col>
      <xdr:colOff>419100</xdr:colOff>
      <xdr:row>24</xdr:row>
      <xdr:rowOff>152400</xdr:rowOff>
    </xdr:from>
    <xdr:to>
      <xdr:col>22</xdr:col>
      <xdr:colOff>266699</xdr:colOff>
      <xdr:row>41</xdr:row>
      <xdr:rowOff>19050</xdr:rowOff>
    </xdr:to>
    <xdr:graphicFrame macro="">
      <xdr:nvGraphicFramePr>
        <xdr:cNvPr id="3" name="Gráfico 2">
          <a:extLst>
            <a:ext uri="{FF2B5EF4-FFF2-40B4-BE49-F238E27FC236}">
              <a16:creationId xmlns:a16="http://schemas.microsoft.com/office/drawing/2014/main" id="{DD7F507E-F786-491F-AD7C-E4B39449B32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11</xdr:col>
      <xdr:colOff>419100</xdr:colOff>
      <xdr:row>41</xdr:row>
      <xdr:rowOff>152400</xdr:rowOff>
    </xdr:from>
    <xdr:to>
      <xdr:col>22</xdr:col>
      <xdr:colOff>342900</xdr:colOff>
      <xdr:row>57</xdr:row>
      <xdr:rowOff>4762</xdr:rowOff>
    </xdr:to>
    <xdr:graphicFrame macro="">
      <xdr:nvGraphicFramePr>
        <xdr:cNvPr id="4" name="Gráfico 3">
          <a:extLst>
            <a:ext uri="{FF2B5EF4-FFF2-40B4-BE49-F238E27FC236}">
              <a16:creationId xmlns:a16="http://schemas.microsoft.com/office/drawing/2014/main" id="{672C0123-32AD-4D28-996D-A79C39E7A33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14</xdr:col>
      <xdr:colOff>99392</xdr:colOff>
      <xdr:row>0</xdr:row>
      <xdr:rowOff>66263</xdr:rowOff>
    </xdr:from>
    <xdr:to>
      <xdr:col>21</xdr:col>
      <xdr:colOff>0</xdr:colOff>
      <xdr:row>11</xdr:row>
      <xdr:rowOff>16565</xdr:rowOff>
    </xdr:to>
    <xdr:graphicFrame macro="">
      <xdr:nvGraphicFramePr>
        <xdr:cNvPr id="3" name="Gráfico 2">
          <a:extLst>
            <a:ext uri="{FF2B5EF4-FFF2-40B4-BE49-F238E27FC236}">
              <a16:creationId xmlns:a16="http://schemas.microsoft.com/office/drawing/2014/main" id="{85FFEBC9-07E1-4965-A7B3-D2D7A47C7D1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91109</xdr:colOff>
      <xdr:row>11</xdr:row>
      <xdr:rowOff>57978</xdr:rowOff>
    </xdr:from>
    <xdr:to>
      <xdr:col>20</xdr:col>
      <xdr:colOff>604630</xdr:colOff>
      <xdr:row>21</xdr:row>
      <xdr:rowOff>99391</xdr:rowOff>
    </xdr:to>
    <xdr:graphicFrame macro="">
      <xdr:nvGraphicFramePr>
        <xdr:cNvPr id="5" name="Gráfico 4">
          <a:extLst>
            <a:ext uri="{FF2B5EF4-FFF2-40B4-BE49-F238E27FC236}">
              <a16:creationId xmlns:a16="http://schemas.microsoft.com/office/drawing/2014/main" id="{E76EE239-AABB-48DB-867A-2E3F5BF131C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14</xdr:col>
      <xdr:colOff>91108</xdr:colOff>
      <xdr:row>21</xdr:row>
      <xdr:rowOff>149088</xdr:rowOff>
    </xdr:from>
    <xdr:to>
      <xdr:col>20</xdr:col>
      <xdr:colOff>604629</xdr:colOff>
      <xdr:row>32</xdr:row>
      <xdr:rowOff>99391</xdr:rowOff>
    </xdr:to>
    <xdr:graphicFrame macro="">
      <xdr:nvGraphicFramePr>
        <xdr:cNvPr id="6" name="Gráfico 5">
          <a:extLst>
            <a:ext uri="{FF2B5EF4-FFF2-40B4-BE49-F238E27FC236}">
              <a16:creationId xmlns:a16="http://schemas.microsoft.com/office/drawing/2014/main" id="{086717B5-CCA2-416B-82FB-E00A5F7032C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xdr:from>
      <xdr:col>18</xdr:col>
      <xdr:colOff>99392</xdr:colOff>
      <xdr:row>0</xdr:row>
      <xdr:rowOff>66263</xdr:rowOff>
    </xdr:from>
    <xdr:to>
      <xdr:col>25</xdr:col>
      <xdr:colOff>0</xdr:colOff>
      <xdr:row>11</xdr:row>
      <xdr:rowOff>16565</xdr:rowOff>
    </xdr:to>
    <xdr:graphicFrame macro="">
      <xdr:nvGraphicFramePr>
        <xdr:cNvPr id="2" name="Gráfico 1">
          <a:extLst>
            <a:ext uri="{FF2B5EF4-FFF2-40B4-BE49-F238E27FC236}">
              <a16:creationId xmlns:a16="http://schemas.microsoft.com/office/drawing/2014/main" id="{4702F227-55FB-48FA-B936-18C9589D0DB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18</xdr:col>
      <xdr:colOff>91109</xdr:colOff>
      <xdr:row>11</xdr:row>
      <xdr:rowOff>57978</xdr:rowOff>
    </xdr:from>
    <xdr:to>
      <xdr:col>24</xdr:col>
      <xdr:colOff>604630</xdr:colOff>
      <xdr:row>21</xdr:row>
      <xdr:rowOff>99391</xdr:rowOff>
    </xdr:to>
    <xdr:graphicFrame macro="">
      <xdr:nvGraphicFramePr>
        <xdr:cNvPr id="3" name="Gráfico 2">
          <a:extLst>
            <a:ext uri="{FF2B5EF4-FFF2-40B4-BE49-F238E27FC236}">
              <a16:creationId xmlns:a16="http://schemas.microsoft.com/office/drawing/2014/main" id="{FECCE835-75C9-481B-8985-7CA533E8A0D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18</xdr:col>
      <xdr:colOff>91108</xdr:colOff>
      <xdr:row>21</xdr:row>
      <xdr:rowOff>149088</xdr:rowOff>
    </xdr:from>
    <xdr:to>
      <xdr:col>24</xdr:col>
      <xdr:colOff>604629</xdr:colOff>
      <xdr:row>32</xdr:row>
      <xdr:rowOff>99391</xdr:rowOff>
    </xdr:to>
    <xdr:graphicFrame macro="">
      <xdr:nvGraphicFramePr>
        <xdr:cNvPr id="4" name="Gráfico 3">
          <a:extLst>
            <a:ext uri="{FF2B5EF4-FFF2-40B4-BE49-F238E27FC236}">
              <a16:creationId xmlns:a16="http://schemas.microsoft.com/office/drawing/2014/main" id="{3CA36E36-841C-4136-960F-49B363A02E1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27</xdr:col>
      <xdr:colOff>480390</xdr:colOff>
      <xdr:row>22</xdr:row>
      <xdr:rowOff>28161</xdr:rowOff>
    </xdr:from>
    <xdr:to>
      <xdr:col>35</xdr:col>
      <xdr:colOff>149086</xdr:colOff>
      <xdr:row>41</xdr:row>
      <xdr:rowOff>41412</xdr:rowOff>
    </xdr:to>
    <xdr:graphicFrame macro="">
      <xdr:nvGraphicFramePr>
        <xdr:cNvPr id="8" name="Gráfico 7">
          <a:extLst>
            <a:ext uri="{FF2B5EF4-FFF2-40B4-BE49-F238E27FC236}">
              <a16:creationId xmlns:a16="http://schemas.microsoft.com/office/drawing/2014/main" id="{8A6FE1F4-601B-4762-B44D-DDFD3013D9C2}"/>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xdr:from>
      <xdr:col>18</xdr:col>
      <xdr:colOff>99392</xdr:colOff>
      <xdr:row>0</xdr:row>
      <xdr:rowOff>66263</xdr:rowOff>
    </xdr:from>
    <xdr:to>
      <xdr:col>25</xdr:col>
      <xdr:colOff>0</xdr:colOff>
      <xdr:row>11</xdr:row>
      <xdr:rowOff>16565</xdr:rowOff>
    </xdr:to>
    <xdr:graphicFrame macro="">
      <xdr:nvGraphicFramePr>
        <xdr:cNvPr id="2" name="Gráfico 1">
          <a:extLst>
            <a:ext uri="{FF2B5EF4-FFF2-40B4-BE49-F238E27FC236}">
              <a16:creationId xmlns:a16="http://schemas.microsoft.com/office/drawing/2014/main" id="{0987CA5B-A55D-4271-B585-1685F813F7C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18</xdr:col>
      <xdr:colOff>91109</xdr:colOff>
      <xdr:row>11</xdr:row>
      <xdr:rowOff>57978</xdr:rowOff>
    </xdr:from>
    <xdr:to>
      <xdr:col>24</xdr:col>
      <xdr:colOff>604630</xdr:colOff>
      <xdr:row>21</xdr:row>
      <xdr:rowOff>99391</xdr:rowOff>
    </xdr:to>
    <xdr:graphicFrame macro="">
      <xdr:nvGraphicFramePr>
        <xdr:cNvPr id="3" name="Gráfico 2">
          <a:extLst>
            <a:ext uri="{FF2B5EF4-FFF2-40B4-BE49-F238E27FC236}">
              <a16:creationId xmlns:a16="http://schemas.microsoft.com/office/drawing/2014/main" id="{9243891A-5245-4522-B8CD-1298715B44B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18</xdr:col>
      <xdr:colOff>91108</xdr:colOff>
      <xdr:row>21</xdr:row>
      <xdr:rowOff>149088</xdr:rowOff>
    </xdr:from>
    <xdr:to>
      <xdr:col>24</xdr:col>
      <xdr:colOff>604629</xdr:colOff>
      <xdr:row>32</xdr:row>
      <xdr:rowOff>99391</xdr:rowOff>
    </xdr:to>
    <xdr:graphicFrame macro="">
      <xdr:nvGraphicFramePr>
        <xdr:cNvPr id="4" name="Gráfico 3">
          <a:extLst>
            <a:ext uri="{FF2B5EF4-FFF2-40B4-BE49-F238E27FC236}">
              <a16:creationId xmlns:a16="http://schemas.microsoft.com/office/drawing/2014/main" id="{3B8BF32A-F817-4D85-94C9-EBD39EC68BC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xdr:from>
      <xdr:col>8</xdr:col>
      <xdr:colOff>215348</xdr:colOff>
      <xdr:row>0</xdr:row>
      <xdr:rowOff>165653</xdr:rowOff>
    </xdr:from>
    <xdr:to>
      <xdr:col>13</xdr:col>
      <xdr:colOff>41413</xdr:colOff>
      <xdr:row>16</xdr:row>
      <xdr:rowOff>49694</xdr:rowOff>
    </xdr:to>
    <xdr:graphicFrame macro="">
      <xdr:nvGraphicFramePr>
        <xdr:cNvPr id="2" name="Gráfico 1">
          <a:extLst>
            <a:ext uri="{FF2B5EF4-FFF2-40B4-BE49-F238E27FC236}">
              <a16:creationId xmlns:a16="http://schemas.microsoft.com/office/drawing/2014/main" id="{064D52FC-87C8-4660-A8B7-3844C1A6FB1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7.xml><?xml version="1.0" encoding="utf-8"?>
<xdr:wsDr xmlns:xdr="http://schemas.openxmlformats.org/drawingml/2006/spreadsheetDrawing" xmlns:a="http://schemas.openxmlformats.org/drawingml/2006/main">
  <xdr:twoCellAnchor>
    <xdr:from>
      <xdr:col>12</xdr:col>
      <xdr:colOff>82827</xdr:colOff>
      <xdr:row>5</xdr:row>
      <xdr:rowOff>173937</xdr:rowOff>
    </xdr:from>
    <xdr:to>
      <xdr:col>18</xdr:col>
      <xdr:colOff>596348</xdr:colOff>
      <xdr:row>16</xdr:row>
      <xdr:rowOff>124239</xdr:rowOff>
    </xdr:to>
    <xdr:graphicFrame macro="">
      <xdr:nvGraphicFramePr>
        <xdr:cNvPr id="2" name="Gráfico 1">
          <a:extLst>
            <a:ext uri="{FF2B5EF4-FFF2-40B4-BE49-F238E27FC236}">
              <a16:creationId xmlns:a16="http://schemas.microsoft.com/office/drawing/2014/main" id="{C608D176-276A-489F-9811-2BD6DB8E164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74544</xdr:colOff>
      <xdr:row>16</xdr:row>
      <xdr:rowOff>165652</xdr:rowOff>
    </xdr:from>
    <xdr:to>
      <xdr:col>18</xdr:col>
      <xdr:colOff>588065</xdr:colOff>
      <xdr:row>27</xdr:row>
      <xdr:rowOff>16565</xdr:rowOff>
    </xdr:to>
    <xdr:graphicFrame macro="">
      <xdr:nvGraphicFramePr>
        <xdr:cNvPr id="3" name="Gráfico 2">
          <a:extLst>
            <a:ext uri="{FF2B5EF4-FFF2-40B4-BE49-F238E27FC236}">
              <a16:creationId xmlns:a16="http://schemas.microsoft.com/office/drawing/2014/main" id="{6F9939D3-AB4B-453B-ADD8-7634F5C7554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12</xdr:col>
      <xdr:colOff>74543</xdr:colOff>
      <xdr:row>27</xdr:row>
      <xdr:rowOff>66262</xdr:rowOff>
    </xdr:from>
    <xdr:to>
      <xdr:col>18</xdr:col>
      <xdr:colOff>588064</xdr:colOff>
      <xdr:row>38</xdr:row>
      <xdr:rowOff>16565</xdr:rowOff>
    </xdr:to>
    <xdr:graphicFrame macro="">
      <xdr:nvGraphicFramePr>
        <xdr:cNvPr id="4" name="Gráfico 3">
          <a:extLst>
            <a:ext uri="{FF2B5EF4-FFF2-40B4-BE49-F238E27FC236}">
              <a16:creationId xmlns:a16="http://schemas.microsoft.com/office/drawing/2014/main" id="{33AAF88B-E608-459A-97A0-609B51E40B1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8.xml><?xml version="1.0" encoding="utf-8"?>
<xdr:wsDr xmlns:xdr="http://schemas.openxmlformats.org/drawingml/2006/spreadsheetDrawing" xmlns:a="http://schemas.openxmlformats.org/drawingml/2006/main">
  <xdr:twoCellAnchor>
    <xdr:from>
      <xdr:col>16</xdr:col>
      <xdr:colOff>314740</xdr:colOff>
      <xdr:row>4</xdr:row>
      <xdr:rowOff>24850</xdr:rowOff>
    </xdr:from>
    <xdr:to>
      <xdr:col>23</xdr:col>
      <xdr:colOff>215348</xdr:colOff>
      <xdr:row>14</xdr:row>
      <xdr:rowOff>165652</xdr:rowOff>
    </xdr:to>
    <xdr:graphicFrame macro="">
      <xdr:nvGraphicFramePr>
        <xdr:cNvPr id="2" name="Gráfico 1">
          <a:extLst>
            <a:ext uri="{FF2B5EF4-FFF2-40B4-BE49-F238E27FC236}">
              <a16:creationId xmlns:a16="http://schemas.microsoft.com/office/drawing/2014/main" id="{72887431-47EB-41C9-AC07-54F048B7308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16</xdr:col>
      <xdr:colOff>306457</xdr:colOff>
      <xdr:row>15</xdr:row>
      <xdr:rowOff>16565</xdr:rowOff>
    </xdr:from>
    <xdr:to>
      <xdr:col>23</xdr:col>
      <xdr:colOff>207065</xdr:colOff>
      <xdr:row>25</xdr:row>
      <xdr:rowOff>57978</xdr:rowOff>
    </xdr:to>
    <xdr:graphicFrame macro="">
      <xdr:nvGraphicFramePr>
        <xdr:cNvPr id="3" name="Gráfico 2">
          <a:extLst>
            <a:ext uri="{FF2B5EF4-FFF2-40B4-BE49-F238E27FC236}">
              <a16:creationId xmlns:a16="http://schemas.microsoft.com/office/drawing/2014/main" id="{3CBE18FA-E15C-4644-8085-03E9C334EF4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16</xdr:col>
      <xdr:colOff>306456</xdr:colOff>
      <xdr:row>25</xdr:row>
      <xdr:rowOff>107675</xdr:rowOff>
    </xdr:from>
    <xdr:to>
      <xdr:col>23</xdr:col>
      <xdr:colOff>207064</xdr:colOff>
      <xdr:row>36</xdr:row>
      <xdr:rowOff>57978</xdr:rowOff>
    </xdr:to>
    <xdr:graphicFrame macro="">
      <xdr:nvGraphicFramePr>
        <xdr:cNvPr id="4" name="Gráfico 3">
          <a:extLst>
            <a:ext uri="{FF2B5EF4-FFF2-40B4-BE49-F238E27FC236}">
              <a16:creationId xmlns:a16="http://schemas.microsoft.com/office/drawing/2014/main" id="{65FA6B8E-A3AC-4260-AE57-99BD8095D08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9.xml><?xml version="1.0" encoding="utf-8"?>
<xdr:wsDr xmlns:xdr="http://schemas.openxmlformats.org/drawingml/2006/spreadsheetDrawing" xmlns:a="http://schemas.openxmlformats.org/drawingml/2006/main">
  <xdr:twoCellAnchor>
    <xdr:from>
      <xdr:col>20</xdr:col>
      <xdr:colOff>1</xdr:colOff>
      <xdr:row>2</xdr:row>
      <xdr:rowOff>0</xdr:rowOff>
    </xdr:from>
    <xdr:to>
      <xdr:col>28</xdr:col>
      <xdr:colOff>438979</xdr:colOff>
      <xdr:row>15</xdr:row>
      <xdr:rowOff>124241</xdr:rowOff>
    </xdr:to>
    <xdr:graphicFrame macro="">
      <xdr:nvGraphicFramePr>
        <xdr:cNvPr id="6" name="Gráfico 5">
          <a:extLst>
            <a:ext uri="{FF2B5EF4-FFF2-40B4-BE49-F238E27FC236}">
              <a16:creationId xmlns:a16="http://schemas.microsoft.com/office/drawing/2014/main" id="{AD3BAD08-E786-4E32-BBBB-737FBFBF7D8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20</xdr:col>
      <xdr:colOff>0</xdr:colOff>
      <xdr:row>15</xdr:row>
      <xdr:rowOff>107674</xdr:rowOff>
    </xdr:from>
    <xdr:to>
      <xdr:col>28</xdr:col>
      <xdr:colOff>438978</xdr:colOff>
      <xdr:row>29</xdr:row>
      <xdr:rowOff>41415</xdr:rowOff>
    </xdr:to>
    <xdr:graphicFrame macro="">
      <xdr:nvGraphicFramePr>
        <xdr:cNvPr id="7" name="Gráfico 6">
          <a:extLst>
            <a:ext uri="{FF2B5EF4-FFF2-40B4-BE49-F238E27FC236}">
              <a16:creationId xmlns:a16="http://schemas.microsoft.com/office/drawing/2014/main" id="{A1CFFCE8-D0FD-4C8A-A83F-9B9CDF781D4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Users/Eduardo/Google%20Drive/Meus%20Projetos/xlFOCUS/xlFOCUS.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General"/>
      <sheetName val="Summary"/>
      <sheetName val="Exp Monthly"/>
      <sheetName val="Exp Quarterly"/>
      <sheetName val="Exp Annual"/>
      <sheetName val="Exp 12 Months"/>
      <sheetName val="Top5 Monthly"/>
      <sheetName val="Top5 Annual"/>
      <sheetName val="Exp Institutions"/>
      <sheetName val="URL to Table"/>
      <sheetName val="File to Table"/>
      <sheetName val="SGS"/>
      <sheetName val="SCR"/>
      <sheetName val="SCR 2"/>
      <sheetName val="SCR Daily"/>
      <sheetName val="SCR Monthly"/>
      <sheetName val="Real Estate"/>
      <sheetName val="SGS vs FOCUS"/>
      <sheetName val="SGS vs FOCUS 2"/>
      <sheetName val="Holidays"/>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ow r="2">
          <cell r="A2">
            <v>36892</v>
          </cell>
        </row>
        <row r="3">
          <cell r="A3">
            <v>36948</v>
          </cell>
        </row>
        <row r="4">
          <cell r="A4">
            <v>36949</v>
          </cell>
        </row>
        <row r="5">
          <cell r="A5">
            <v>36994</v>
          </cell>
        </row>
        <row r="6">
          <cell r="A6">
            <v>37002</v>
          </cell>
        </row>
        <row r="7">
          <cell r="A7">
            <v>37012</v>
          </cell>
        </row>
        <row r="8">
          <cell r="A8">
            <v>37056</v>
          </cell>
        </row>
        <row r="9">
          <cell r="A9">
            <v>37141</v>
          </cell>
        </row>
        <row r="10">
          <cell r="A10">
            <v>37176</v>
          </cell>
        </row>
        <row r="11">
          <cell r="A11">
            <v>37197</v>
          </cell>
        </row>
        <row r="12">
          <cell r="A12">
            <v>37210</v>
          </cell>
        </row>
        <row r="13">
          <cell r="A13">
            <v>37250</v>
          </cell>
        </row>
        <row r="14">
          <cell r="A14">
            <v>37257</v>
          </cell>
        </row>
        <row r="15">
          <cell r="A15">
            <v>37298</v>
          </cell>
        </row>
        <row r="16">
          <cell r="A16">
            <v>37299</v>
          </cell>
        </row>
        <row r="17">
          <cell r="A17">
            <v>37344</v>
          </cell>
        </row>
        <row r="18">
          <cell r="A18">
            <v>37367</v>
          </cell>
        </row>
        <row r="19">
          <cell r="A19">
            <v>37377</v>
          </cell>
        </row>
        <row r="20">
          <cell r="A20">
            <v>37406</v>
          </cell>
        </row>
        <row r="21">
          <cell r="A21">
            <v>37506</v>
          </cell>
        </row>
        <row r="22">
          <cell r="A22">
            <v>37541</v>
          </cell>
        </row>
        <row r="23">
          <cell r="A23">
            <v>37562</v>
          </cell>
        </row>
        <row r="24">
          <cell r="A24">
            <v>37575</v>
          </cell>
        </row>
        <row r="25">
          <cell r="A25">
            <v>37615</v>
          </cell>
        </row>
        <row r="26">
          <cell r="A26">
            <v>37622</v>
          </cell>
        </row>
        <row r="27">
          <cell r="A27">
            <v>37683</v>
          </cell>
        </row>
        <row r="28">
          <cell r="A28">
            <v>37684</v>
          </cell>
        </row>
        <row r="29">
          <cell r="A29">
            <v>37729</v>
          </cell>
        </row>
        <row r="30">
          <cell r="A30">
            <v>37732</v>
          </cell>
        </row>
        <row r="31">
          <cell r="A31">
            <v>37742</v>
          </cell>
        </row>
        <row r="32">
          <cell r="A32">
            <v>37791</v>
          </cell>
        </row>
        <row r="33">
          <cell r="A33">
            <v>37871</v>
          </cell>
        </row>
        <row r="34">
          <cell r="A34">
            <v>37906</v>
          </cell>
        </row>
        <row r="35">
          <cell r="A35">
            <v>37927</v>
          </cell>
        </row>
        <row r="36">
          <cell r="A36">
            <v>37940</v>
          </cell>
        </row>
        <row r="37">
          <cell r="A37">
            <v>37980</v>
          </cell>
        </row>
        <row r="38">
          <cell r="A38">
            <v>37987</v>
          </cell>
        </row>
        <row r="39">
          <cell r="A39">
            <v>38040</v>
          </cell>
        </row>
        <row r="40">
          <cell r="A40">
            <v>38041</v>
          </cell>
        </row>
        <row r="41">
          <cell r="A41">
            <v>38086</v>
          </cell>
        </row>
        <row r="42">
          <cell r="A42">
            <v>38098</v>
          </cell>
        </row>
        <row r="43">
          <cell r="A43">
            <v>38108</v>
          </cell>
        </row>
        <row r="44">
          <cell r="A44">
            <v>38148</v>
          </cell>
        </row>
        <row r="45">
          <cell r="A45">
            <v>38237</v>
          </cell>
        </row>
        <row r="46">
          <cell r="A46">
            <v>38272</v>
          </cell>
        </row>
        <row r="47">
          <cell r="A47">
            <v>38293</v>
          </cell>
        </row>
        <row r="48">
          <cell r="A48">
            <v>38306</v>
          </cell>
        </row>
        <row r="49">
          <cell r="A49">
            <v>38346</v>
          </cell>
        </row>
        <row r="50">
          <cell r="A50">
            <v>38353</v>
          </cell>
        </row>
        <row r="51">
          <cell r="A51">
            <v>38390</v>
          </cell>
        </row>
        <row r="52">
          <cell r="A52">
            <v>38391</v>
          </cell>
        </row>
        <row r="53">
          <cell r="A53">
            <v>38436</v>
          </cell>
        </row>
        <row r="54">
          <cell r="A54">
            <v>38463</v>
          </cell>
        </row>
        <row r="55">
          <cell r="A55">
            <v>38473</v>
          </cell>
        </row>
        <row r="56">
          <cell r="A56">
            <v>38498</v>
          </cell>
        </row>
        <row r="57">
          <cell r="A57">
            <v>38602</v>
          </cell>
        </row>
        <row r="58">
          <cell r="A58">
            <v>38637</v>
          </cell>
        </row>
        <row r="59">
          <cell r="A59">
            <v>38658</v>
          </cell>
        </row>
        <row r="60">
          <cell r="A60">
            <v>38671</v>
          </cell>
        </row>
        <row r="61">
          <cell r="A61">
            <v>38711</v>
          </cell>
        </row>
        <row r="62">
          <cell r="A62">
            <v>38718</v>
          </cell>
        </row>
        <row r="63">
          <cell r="A63">
            <v>38775</v>
          </cell>
        </row>
        <row r="64">
          <cell r="A64">
            <v>38776</v>
          </cell>
        </row>
        <row r="65">
          <cell r="A65">
            <v>38821</v>
          </cell>
        </row>
        <row r="66">
          <cell r="A66">
            <v>38828</v>
          </cell>
        </row>
        <row r="67">
          <cell r="A67">
            <v>38838</v>
          </cell>
        </row>
        <row r="68">
          <cell r="A68">
            <v>38883</v>
          </cell>
        </row>
        <row r="69">
          <cell r="A69">
            <v>38967</v>
          </cell>
        </row>
        <row r="70">
          <cell r="A70">
            <v>39002</v>
          </cell>
        </row>
        <row r="71">
          <cell r="A71">
            <v>39023</v>
          </cell>
        </row>
        <row r="72">
          <cell r="A72">
            <v>39036</v>
          </cell>
        </row>
        <row r="73">
          <cell r="A73">
            <v>39076</v>
          </cell>
        </row>
        <row r="74">
          <cell r="A74">
            <v>39083</v>
          </cell>
        </row>
        <row r="75">
          <cell r="A75">
            <v>39132</v>
          </cell>
        </row>
        <row r="76">
          <cell r="A76">
            <v>39133</v>
          </cell>
        </row>
        <row r="77">
          <cell r="A77">
            <v>39178</v>
          </cell>
        </row>
        <row r="78">
          <cell r="A78">
            <v>39193</v>
          </cell>
        </row>
        <row r="79">
          <cell r="A79">
            <v>39203</v>
          </cell>
        </row>
        <row r="80">
          <cell r="A80">
            <v>39240</v>
          </cell>
        </row>
        <row r="81">
          <cell r="A81">
            <v>39332</v>
          </cell>
        </row>
        <row r="82">
          <cell r="A82">
            <v>39367</v>
          </cell>
        </row>
        <row r="83">
          <cell r="A83">
            <v>39388</v>
          </cell>
        </row>
        <row r="84">
          <cell r="A84">
            <v>39401</v>
          </cell>
        </row>
        <row r="85">
          <cell r="A85">
            <v>39441</v>
          </cell>
        </row>
        <row r="86">
          <cell r="A86">
            <v>39448</v>
          </cell>
        </row>
        <row r="87">
          <cell r="A87">
            <v>39482</v>
          </cell>
        </row>
        <row r="88">
          <cell r="A88">
            <v>39483</v>
          </cell>
        </row>
        <row r="89">
          <cell r="A89">
            <v>39528</v>
          </cell>
        </row>
        <row r="90">
          <cell r="A90">
            <v>39559</v>
          </cell>
        </row>
        <row r="91">
          <cell r="A91">
            <v>39569</v>
          </cell>
        </row>
        <row r="92">
          <cell r="A92">
            <v>39590</v>
          </cell>
        </row>
        <row r="93">
          <cell r="A93">
            <v>39698</v>
          </cell>
        </row>
        <row r="94">
          <cell r="A94">
            <v>39733</v>
          </cell>
        </row>
        <row r="95">
          <cell r="A95">
            <v>39754</v>
          </cell>
        </row>
        <row r="96">
          <cell r="A96">
            <v>39767</v>
          </cell>
        </row>
        <row r="97">
          <cell r="A97">
            <v>39807</v>
          </cell>
        </row>
        <row r="98">
          <cell r="A98">
            <v>39814</v>
          </cell>
        </row>
        <row r="99">
          <cell r="A99">
            <v>39867</v>
          </cell>
        </row>
        <row r="100">
          <cell r="A100">
            <v>39868</v>
          </cell>
        </row>
        <row r="101">
          <cell r="A101">
            <v>39913</v>
          </cell>
        </row>
        <row r="102">
          <cell r="A102">
            <v>39924</v>
          </cell>
        </row>
        <row r="103">
          <cell r="A103">
            <v>39934</v>
          </cell>
        </row>
        <row r="104">
          <cell r="A104">
            <v>39975</v>
          </cell>
        </row>
        <row r="105">
          <cell r="A105">
            <v>40063</v>
          </cell>
        </row>
        <row r="106">
          <cell r="A106">
            <v>40098</v>
          </cell>
        </row>
        <row r="107">
          <cell r="A107">
            <v>40119</v>
          </cell>
        </row>
        <row r="108">
          <cell r="A108">
            <v>40132</v>
          </cell>
        </row>
        <row r="109">
          <cell r="A109">
            <v>40172</v>
          </cell>
        </row>
        <row r="110">
          <cell r="A110">
            <v>40179</v>
          </cell>
        </row>
        <row r="111">
          <cell r="A111">
            <v>40224</v>
          </cell>
        </row>
        <row r="112">
          <cell r="A112">
            <v>40225</v>
          </cell>
        </row>
        <row r="113">
          <cell r="A113">
            <v>40270</v>
          </cell>
        </row>
        <row r="114">
          <cell r="A114">
            <v>40289</v>
          </cell>
        </row>
        <row r="115">
          <cell r="A115">
            <v>40299</v>
          </cell>
        </row>
        <row r="116">
          <cell r="A116">
            <v>40332</v>
          </cell>
        </row>
        <row r="117">
          <cell r="A117">
            <v>40428</v>
          </cell>
        </row>
        <row r="118">
          <cell r="A118">
            <v>40463</v>
          </cell>
        </row>
        <row r="119">
          <cell r="A119">
            <v>40484</v>
          </cell>
        </row>
        <row r="120">
          <cell r="A120">
            <v>40497</v>
          </cell>
        </row>
        <row r="121">
          <cell r="A121">
            <v>40537</v>
          </cell>
        </row>
        <row r="122">
          <cell r="A122">
            <v>40544</v>
          </cell>
        </row>
        <row r="123">
          <cell r="A123">
            <v>40609</v>
          </cell>
        </row>
        <row r="124">
          <cell r="A124">
            <v>40610</v>
          </cell>
        </row>
        <row r="125">
          <cell r="A125">
            <v>40654</v>
          </cell>
        </row>
        <row r="126">
          <cell r="A126">
            <v>40655</v>
          </cell>
        </row>
        <row r="127">
          <cell r="A127">
            <v>40664</v>
          </cell>
        </row>
        <row r="128">
          <cell r="A128">
            <v>40717</v>
          </cell>
        </row>
        <row r="129">
          <cell r="A129">
            <v>40793</v>
          </cell>
        </row>
        <row r="130">
          <cell r="A130">
            <v>40828</v>
          </cell>
        </row>
        <row r="131">
          <cell r="A131">
            <v>40849</v>
          </cell>
        </row>
        <row r="132">
          <cell r="A132">
            <v>40862</v>
          </cell>
        </row>
        <row r="133">
          <cell r="A133">
            <v>40902</v>
          </cell>
        </row>
        <row r="134">
          <cell r="A134">
            <v>40909</v>
          </cell>
        </row>
        <row r="135">
          <cell r="A135">
            <v>40959</v>
          </cell>
        </row>
        <row r="136">
          <cell r="A136">
            <v>40960</v>
          </cell>
        </row>
        <row r="137">
          <cell r="A137">
            <v>41005</v>
          </cell>
        </row>
        <row r="138">
          <cell r="A138">
            <v>41020</v>
          </cell>
        </row>
        <row r="139">
          <cell r="A139">
            <v>41030</v>
          </cell>
        </row>
        <row r="140">
          <cell r="A140">
            <v>41067</v>
          </cell>
        </row>
        <row r="141">
          <cell r="A141">
            <v>41159</v>
          </cell>
        </row>
        <row r="142">
          <cell r="A142">
            <v>41194</v>
          </cell>
        </row>
        <row r="143">
          <cell r="A143">
            <v>41215</v>
          </cell>
        </row>
        <row r="144">
          <cell r="A144">
            <v>41228</v>
          </cell>
        </row>
        <row r="145">
          <cell r="A145">
            <v>41268</v>
          </cell>
        </row>
        <row r="146">
          <cell r="A146">
            <v>41275</v>
          </cell>
        </row>
        <row r="147">
          <cell r="A147">
            <v>41316</v>
          </cell>
        </row>
        <row r="148">
          <cell r="A148">
            <v>41317</v>
          </cell>
        </row>
        <row r="149">
          <cell r="A149">
            <v>41362</v>
          </cell>
        </row>
        <row r="150">
          <cell r="A150">
            <v>41385</v>
          </cell>
        </row>
        <row r="151">
          <cell r="A151">
            <v>41395</v>
          </cell>
        </row>
        <row r="152">
          <cell r="A152">
            <v>41424</v>
          </cell>
        </row>
        <row r="153">
          <cell r="A153">
            <v>41524</v>
          </cell>
        </row>
        <row r="154">
          <cell r="A154">
            <v>41559</v>
          </cell>
        </row>
        <row r="155">
          <cell r="A155">
            <v>41580</v>
          </cell>
        </row>
        <row r="156">
          <cell r="A156">
            <v>41593</v>
          </cell>
        </row>
        <row r="157">
          <cell r="A157">
            <v>41633</v>
          </cell>
        </row>
        <row r="158">
          <cell r="A158">
            <v>41640</v>
          </cell>
        </row>
        <row r="159">
          <cell r="A159">
            <v>41701</v>
          </cell>
        </row>
        <row r="160">
          <cell r="A160">
            <v>41702</v>
          </cell>
        </row>
        <row r="161">
          <cell r="A161">
            <v>41747</v>
          </cell>
        </row>
        <row r="162">
          <cell r="A162">
            <v>41750</v>
          </cell>
        </row>
        <row r="163">
          <cell r="A163">
            <v>41760</v>
          </cell>
        </row>
        <row r="164">
          <cell r="A164">
            <v>41809</v>
          </cell>
        </row>
        <row r="165">
          <cell r="A165">
            <v>41889</v>
          </cell>
        </row>
        <row r="166">
          <cell r="A166">
            <v>41924</v>
          </cell>
        </row>
        <row r="167">
          <cell r="A167">
            <v>41945</v>
          </cell>
        </row>
        <row r="168">
          <cell r="A168">
            <v>41958</v>
          </cell>
        </row>
        <row r="169">
          <cell r="A169">
            <v>41998</v>
          </cell>
        </row>
        <row r="170">
          <cell r="A170">
            <v>42005</v>
          </cell>
        </row>
        <row r="171">
          <cell r="A171">
            <v>42051</v>
          </cell>
        </row>
        <row r="172">
          <cell r="A172">
            <v>42052</v>
          </cell>
        </row>
        <row r="173">
          <cell r="A173">
            <v>42097</v>
          </cell>
        </row>
        <row r="174">
          <cell r="A174">
            <v>42115</v>
          </cell>
        </row>
        <row r="175">
          <cell r="A175">
            <v>42125</v>
          </cell>
        </row>
        <row r="176">
          <cell r="A176">
            <v>42159</v>
          </cell>
        </row>
        <row r="177">
          <cell r="A177">
            <v>42254</v>
          </cell>
        </row>
        <row r="178">
          <cell r="A178">
            <v>42289</v>
          </cell>
        </row>
        <row r="179">
          <cell r="A179">
            <v>42310</v>
          </cell>
        </row>
        <row r="180">
          <cell r="A180">
            <v>42323</v>
          </cell>
        </row>
        <row r="181">
          <cell r="A181">
            <v>42363</v>
          </cell>
        </row>
        <row r="182">
          <cell r="A182">
            <v>42370</v>
          </cell>
        </row>
        <row r="183">
          <cell r="A183">
            <v>42408</v>
          </cell>
        </row>
        <row r="184">
          <cell r="A184">
            <v>42409</v>
          </cell>
        </row>
        <row r="185">
          <cell r="A185">
            <v>42454</v>
          </cell>
        </row>
        <row r="186">
          <cell r="A186">
            <v>42481</v>
          </cell>
        </row>
        <row r="187">
          <cell r="A187">
            <v>42491</v>
          </cell>
        </row>
        <row r="188">
          <cell r="A188">
            <v>42516</v>
          </cell>
        </row>
        <row r="189">
          <cell r="A189">
            <v>42620</v>
          </cell>
        </row>
        <row r="190">
          <cell r="A190">
            <v>42655</v>
          </cell>
        </row>
        <row r="191">
          <cell r="A191">
            <v>42676</v>
          </cell>
        </row>
        <row r="192">
          <cell r="A192">
            <v>42689</v>
          </cell>
        </row>
        <row r="193">
          <cell r="A193">
            <v>42729</v>
          </cell>
        </row>
        <row r="194">
          <cell r="A194">
            <v>42736</v>
          </cell>
        </row>
        <row r="195">
          <cell r="A195">
            <v>42793</v>
          </cell>
        </row>
        <row r="196">
          <cell r="A196">
            <v>42794</v>
          </cell>
        </row>
        <row r="197">
          <cell r="A197">
            <v>42839</v>
          </cell>
        </row>
        <row r="198">
          <cell r="A198">
            <v>42846</v>
          </cell>
        </row>
        <row r="199">
          <cell r="A199">
            <v>42856</v>
          </cell>
        </row>
        <row r="200">
          <cell r="A200">
            <v>42901</v>
          </cell>
        </row>
        <row r="201">
          <cell r="A201">
            <v>42985</v>
          </cell>
        </row>
        <row r="202">
          <cell r="A202">
            <v>43020</v>
          </cell>
        </row>
        <row r="203">
          <cell r="A203">
            <v>43041</v>
          </cell>
        </row>
        <row r="204">
          <cell r="A204">
            <v>43054</v>
          </cell>
        </row>
        <row r="205">
          <cell r="A205">
            <v>43094</v>
          </cell>
        </row>
        <row r="206">
          <cell r="A206">
            <v>43101</v>
          </cell>
        </row>
        <row r="207">
          <cell r="A207">
            <v>43143</v>
          </cell>
        </row>
        <row r="208">
          <cell r="A208">
            <v>43144</v>
          </cell>
        </row>
        <row r="209">
          <cell r="A209">
            <v>43189</v>
          </cell>
        </row>
        <row r="210">
          <cell r="A210">
            <v>43211</v>
          </cell>
        </row>
        <row r="211">
          <cell r="A211">
            <v>43221</v>
          </cell>
        </row>
        <row r="212">
          <cell r="A212">
            <v>43251</v>
          </cell>
        </row>
        <row r="213">
          <cell r="A213">
            <v>43350</v>
          </cell>
        </row>
        <row r="214">
          <cell r="A214">
            <v>43385</v>
          </cell>
        </row>
        <row r="215">
          <cell r="A215">
            <v>43406</v>
          </cell>
        </row>
        <row r="216">
          <cell r="A216">
            <v>43419</v>
          </cell>
        </row>
        <row r="217">
          <cell r="A217">
            <v>43459</v>
          </cell>
        </row>
        <row r="218">
          <cell r="A218">
            <v>43466</v>
          </cell>
        </row>
        <row r="219">
          <cell r="A219">
            <v>43528</v>
          </cell>
        </row>
        <row r="220">
          <cell r="A220">
            <v>43529</v>
          </cell>
        </row>
        <row r="221">
          <cell r="A221">
            <v>43574</v>
          </cell>
        </row>
        <row r="222">
          <cell r="A222">
            <v>43576</v>
          </cell>
        </row>
        <row r="223">
          <cell r="A223">
            <v>43586</v>
          </cell>
        </row>
        <row r="224">
          <cell r="A224">
            <v>43636</v>
          </cell>
        </row>
        <row r="225">
          <cell r="A225">
            <v>43715</v>
          </cell>
        </row>
        <row r="226">
          <cell r="A226">
            <v>43750</v>
          </cell>
        </row>
        <row r="227">
          <cell r="A227">
            <v>43771</v>
          </cell>
        </row>
        <row r="228">
          <cell r="A228">
            <v>43784</v>
          </cell>
        </row>
        <row r="229">
          <cell r="A229">
            <v>43824</v>
          </cell>
        </row>
        <row r="230">
          <cell r="A230">
            <v>43831</v>
          </cell>
        </row>
        <row r="231">
          <cell r="A231">
            <v>43885</v>
          </cell>
        </row>
        <row r="232">
          <cell r="A232">
            <v>43886</v>
          </cell>
        </row>
        <row r="233">
          <cell r="A233">
            <v>43931</v>
          </cell>
        </row>
        <row r="234">
          <cell r="A234">
            <v>43942</v>
          </cell>
        </row>
        <row r="235">
          <cell r="A235">
            <v>43952</v>
          </cell>
        </row>
        <row r="236">
          <cell r="A236">
            <v>43993</v>
          </cell>
        </row>
        <row r="237">
          <cell r="A237">
            <v>44081</v>
          </cell>
        </row>
        <row r="238">
          <cell r="A238">
            <v>44116</v>
          </cell>
        </row>
        <row r="239">
          <cell r="A239">
            <v>44137</v>
          </cell>
        </row>
        <row r="240">
          <cell r="A240">
            <v>44150</v>
          </cell>
        </row>
        <row r="241">
          <cell r="A241">
            <v>44190</v>
          </cell>
        </row>
        <row r="242">
          <cell r="A242">
            <v>44197</v>
          </cell>
        </row>
        <row r="243">
          <cell r="A243">
            <v>44242</v>
          </cell>
        </row>
        <row r="244">
          <cell r="A244">
            <v>44243</v>
          </cell>
        </row>
        <row r="245">
          <cell r="A245">
            <v>44288</v>
          </cell>
        </row>
        <row r="246">
          <cell r="A246">
            <v>44307</v>
          </cell>
        </row>
        <row r="247">
          <cell r="A247">
            <v>44317</v>
          </cell>
        </row>
        <row r="248">
          <cell r="A248">
            <v>44350</v>
          </cell>
        </row>
        <row r="249">
          <cell r="A249">
            <v>44446</v>
          </cell>
        </row>
        <row r="250">
          <cell r="A250">
            <v>44481</v>
          </cell>
        </row>
        <row r="251">
          <cell r="A251">
            <v>44502</v>
          </cell>
        </row>
        <row r="252">
          <cell r="A252">
            <v>44515</v>
          </cell>
        </row>
        <row r="253">
          <cell r="A253">
            <v>44555</v>
          </cell>
        </row>
        <row r="254">
          <cell r="A254">
            <v>44562</v>
          </cell>
        </row>
        <row r="255">
          <cell r="A255">
            <v>44620</v>
          </cell>
        </row>
        <row r="256">
          <cell r="A256">
            <v>44621</v>
          </cell>
        </row>
        <row r="257">
          <cell r="A257">
            <v>44666</v>
          </cell>
        </row>
        <row r="258">
          <cell r="A258">
            <v>44672</v>
          </cell>
        </row>
        <row r="259">
          <cell r="A259">
            <v>44682</v>
          </cell>
        </row>
        <row r="260">
          <cell r="A260">
            <v>44728</v>
          </cell>
        </row>
        <row r="261">
          <cell r="A261">
            <v>44811</v>
          </cell>
        </row>
        <row r="262">
          <cell r="A262">
            <v>44846</v>
          </cell>
        </row>
        <row r="263">
          <cell r="A263">
            <v>44867</v>
          </cell>
        </row>
        <row r="264">
          <cell r="A264">
            <v>44880</v>
          </cell>
        </row>
        <row r="265">
          <cell r="A265">
            <v>44920</v>
          </cell>
        </row>
        <row r="266">
          <cell r="A266">
            <v>44927</v>
          </cell>
        </row>
        <row r="267">
          <cell r="A267">
            <v>44977</v>
          </cell>
        </row>
        <row r="268">
          <cell r="A268">
            <v>44978</v>
          </cell>
        </row>
        <row r="269">
          <cell r="A269">
            <v>45023</v>
          </cell>
        </row>
        <row r="270">
          <cell r="A270">
            <v>45037</v>
          </cell>
        </row>
        <row r="271">
          <cell r="A271">
            <v>45047</v>
          </cell>
        </row>
        <row r="272">
          <cell r="A272">
            <v>45085</v>
          </cell>
        </row>
        <row r="273">
          <cell r="A273">
            <v>45176</v>
          </cell>
        </row>
        <row r="274">
          <cell r="A274">
            <v>45211</v>
          </cell>
        </row>
        <row r="275">
          <cell r="A275">
            <v>45232</v>
          </cell>
        </row>
        <row r="276">
          <cell r="A276">
            <v>45245</v>
          </cell>
        </row>
        <row r="277">
          <cell r="A277">
            <v>45285</v>
          </cell>
        </row>
        <row r="278">
          <cell r="A278">
            <v>45292</v>
          </cell>
        </row>
        <row r="279">
          <cell r="A279">
            <v>45334</v>
          </cell>
        </row>
        <row r="280">
          <cell r="A280">
            <v>45335</v>
          </cell>
        </row>
        <row r="281">
          <cell r="A281">
            <v>45380</v>
          </cell>
        </row>
        <row r="282">
          <cell r="A282">
            <v>45403</v>
          </cell>
        </row>
        <row r="283">
          <cell r="A283">
            <v>45413</v>
          </cell>
        </row>
        <row r="284">
          <cell r="A284">
            <v>45442</v>
          </cell>
        </row>
        <row r="285">
          <cell r="A285">
            <v>45542</v>
          </cell>
        </row>
        <row r="286">
          <cell r="A286">
            <v>45577</v>
          </cell>
        </row>
        <row r="287">
          <cell r="A287">
            <v>45598</v>
          </cell>
        </row>
        <row r="288">
          <cell r="A288">
            <v>45611</v>
          </cell>
        </row>
        <row r="289">
          <cell r="A289">
            <v>45651</v>
          </cell>
        </row>
        <row r="290">
          <cell r="A290">
            <v>45658</v>
          </cell>
        </row>
        <row r="291">
          <cell r="A291">
            <v>45719</v>
          </cell>
        </row>
        <row r="292">
          <cell r="A292">
            <v>45720</v>
          </cell>
        </row>
        <row r="293">
          <cell r="A293">
            <v>45765</v>
          </cell>
        </row>
        <row r="294">
          <cell r="A294">
            <v>45768</v>
          </cell>
        </row>
        <row r="295">
          <cell r="A295">
            <v>45778</v>
          </cell>
        </row>
        <row r="296">
          <cell r="A296">
            <v>45827</v>
          </cell>
        </row>
        <row r="297">
          <cell r="A297">
            <v>45907</v>
          </cell>
        </row>
        <row r="298">
          <cell r="A298">
            <v>45942</v>
          </cell>
        </row>
        <row r="299">
          <cell r="A299">
            <v>45963</v>
          </cell>
        </row>
        <row r="300">
          <cell r="A300">
            <v>45976</v>
          </cell>
        </row>
        <row r="301">
          <cell r="A301">
            <v>46016</v>
          </cell>
        </row>
        <row r="302">
          <cell r="A302">
            <v>46023</v>
          </cell>
        </row>
        <row r="303">
          <cell r="A303">
            <v>46069</v>
          </cell>
        </row>
        <row r="304">
          <cell r="A304">
            <v>46070</v>
          </cell>
        </row>
        <row r="305">
          <cell r="A305">
            <v>46115</v>
          </cell>
        </row>
        <row r="306">
          <cell r="A306">
            <v>46133</v>
          </cell>
        </row>
        <row r="307">
          <cell r="A307">
            <v>46143</v>
          </cell>
        </row>
        <row r="308">
          <cell r="A308">
            <v>46177</v>
          </cell>
        </row>
        <row r="309">
          <cell r="A309">
            <v>46272</v>
          </cell>
        </row>
        <row r="310">
          <cell r="A310">
            <v>46307</v>
          </cell>
        </row>
        <row r="311">
          <cell r="A311">
            <v>46328</v>
          </cell>
        </row>
        <row r="312">
          <cell r="A312">
            <v>46341</v>
          </cell>
        </row>
        <row r="313">
          <cell r="A313">
            <v>46381</v>
          </cell>
        </row>
        <row r="314">
          <cell r="A314">
            <v>46388</v>
          </cell>
        </row>
        <row r="315">
          <cell r="A315">
            <v>46426</v>
          </cell>
        </row>
        <row r="316">
          <cell r="A316">
            <v>46427</v>
          </cell>
        </row>
        <row r="317">
          <cell r="A317">
            <v>46472</v>
          </cell>
        </row>
        <row r="318">
          <cell r="A318">
            <v>46498</v>
          </cell>
        </row>
        <row r="319">
          <cell r="A319">
            <v>46508</v>
          </cell>
        </row>
        <row r="320">
          <cell r="A320">
            <v>46534</v>
          </cell>
        </row>
        <row r="321">
          <cell r="A321">
            <v>46637</v>
          </cell>
        </row>
        <row r="322">
          <cell r="A322">
            <v>46672</v>
          </cell>
        </row>
        <row r="323">
          <cell r="A323">
            <v>46693</v>
          </cell>
        </row>
        <row r="324">
          <cell r="A324">
            <v>46706</v>
          </cell>
        </row>
        <row r="325">
          <cell r="A325">
            <v>46746</v>
          </cell>
        </row>
        <row r="326">
          <cell r="A326">
            <v>46753</v>
          </cell>
        </row>
        <row r="327">
          <cell r="A327">
            <v>46811</v>
          </cell>
        </row>
        <row r="328">
          <cell r="A328">
            <v>46812</v>
          </cell>
        </row>
        <row r="329">
          <cell r="A329">
            <v>46857</v>
          </cell>
        </row>
        <row r="330">
          <cell r="A330">
            <v>46864</v>
          </cell>
        </row>
        <row r="331">
          <cell r="A331">
            <v>46874</v>
          </cell>
        </row>
        <row r="332">
          <cell r="A332">
            <v>46919</v>
          </cell>
        </row>
        <row r="333">
          <cell r="A333">
            <v>47003</v>
          </cell>
        </row>
        <row r="334">
          <cell r="A334">
            <v>47038</v>
          </cell>
        </row>
        <row r="335">
          <cell r="A335">
            <v>47059</v>
          </cell>
        </row>
        <row r="336">
          <cell r="A336">
            <v>47072</v>
          </cell>
        </row>
        <row r="337">
          <cell r="A337">
            <v>47112</v>
          </cell>
        </row>
        <row r="338">
          <cell r="A338">
            <v>47119</v>
          </cell>
        </row>
        <row r="339">
          <cell r="A339">
            <v>47161</v>
          </cell>
        </row>
        <row r="340">
          <cell r="A340">
            <v>47162</v>
          </cell>
        </row>
        <row r="341">
          <cell r="A341">
            <v>47207</v>
          </cell>
        </row>
        <row r="342">
          <cell r="A342">
            <v>47229</v>
          </cell>
        </row>
        <row r="343">
          <cell r="A343">
            <v>47239</v>
          </cell>
        </row>
        <row r="344">
          <cell r="A344">
            <v>47269</v>
          </cell>
        </row>
        <row r="345">
          <cell r="A345">
            <v>47368</v>
          </cell>
        </row>
        <row r="346">
          <cell r="A346">
            <v>47403</v>
          </cell>
        </row>
        <row r="347">
          <cell r="A347">
            <v>47424</v>
          </cell>
        </row>
        <row r="348">
          <cell r="A348">
            <v>47437</v>
          </cell>
        </row>
        <row r="349">
          <cell r="A349">
            <v>47477</v>
          </cell>
        </row>
        <row r="350">
          <cell r="A350">
            <v>47484</v>
          </cell>
        </row>
        <row r="351">
          <cell r="A351">
            <v>47546</v>
          </cell>
        </row>
        <row r="352">
          <cell r="A352">
            <v>47547</v>
          </cell>
        </row>
        <row r="353">
          <cell r="A353">
            <v>47592</v>
          </cell>
        </row>
        <row r="354">
          <cell r="A354">
            <v>47594</v>
          </cell>
        </row>
        <row r="355">
          <cell r="A355">
            <v>47604</v>
          </cell>
        </row>
        <row r="356">
          <cell r="A356">
            <v>47654</v>
          </cell>
        </row>
        <row r="357">
          <cell r="A357">
            <v>47733</v>
          </cell>
        </row>
        <row r="358">
          <cell r="A358">
            <v>47768</v>
          </cell>
        </row>
        <row r="359">
          <cell r="A359">
            <v>47789</v>
          </cell>
        </row>
        <row r="360">
          <cell r="A360">
            <v>47802</v>
          </cell>
        </row>
        <row r="361">
          <cell r="A361">
            <v>47842</v>
          </cell>
        </row>
        <row r="362">
          <cell r="A362">
            <v>47849</v>
          </cell>
        </row>
        <row r="363">
          <cell r="A363">
            <v>47903</v>
          </cell>
        </row>
        <row r="364">
          <cell r="A364">
            <v>47904</v>
          </cell>
        </row>
        <row r="365">
          <cell r="A365">
            <v>47949</v>
          </cell>
        </row>
        <row r="366">
          <cell r="A366">
            <v>47959</v>
          </cell>
        </row>
        <row r="367">
          <cell r="A367">
            <v>47969</v>
          </cell>
        </row>
        <row r="368">
          <cell r="A368">
            <v>48011</v>
          </cell>
        </row>
        <row r="369">
          <cell r="A369">
            <v>48098</v>
          </cell>
        </row>
        <row r="370">
          <cell r="A370">
            <v>48133</v>
          </cell>
        </row>
        <row r="371">
          <cell r="A371">
            <v>48154</v>
          </cell>
        </row>
        <row r="372">
          <cell r="A372">
            <v>48167</v>
          </cell>
        </row>
        <row r="373">
          <cell r="A373">
            <v>48207</v>
          </cell>
        </row>
        <row r="374">
          <cell r="A374">
            <v>48214</v>
          </cell>
        </row>
        <row r="375">
          <cell r="A375">
            <v>48253</v>
          </cell>
        </row>
        <row r="376">
          <cell r="A376">
            <v>48254</v>
          </cell>
        </row>
        <row r="377">
          <cell r="A377">
            <v>48299</v>
          </cell>
        </row>
        <row r="378">
          <cell r="A378">
            <v>48325</v>
          </cell>
        </row>
        <row r="379">
          <cell r="A379">
            <v>48335</v>
          </cell>
        </row>
        <row r="380">
          <cell r="A380">
            <v>48361</v>
          </cell>
        </row>
        <row r="381">
          <cell r="A381">
            <v>48464</v>
          </cell>
        </row>
        <row r="382">
          <cell r="A382">
            <v>48499</v>
          </cell>
        </row>
        <row r="383">
          <cell r="A383">
            <v>48520</v>
          </cell>
        </row>
        <row r="384">
          <cell r="A384">
            <v>48533</v>
          </cell>
        </row>
        <row r="385">
          <cell r="A385">
            <v>48573</v>
          </cell>
        </row>
        <row r="386">
          <cell r="A386">
            <v>48580</v>
          </cell>
        </row>
        <row r="387">
          <cell r="A387">
            <v>48638</v>
          </cell>
        </row>
        <row r="388">
          <cell r="A388">
            <v>48639</v>
          </cell>
        </row>
        <row r="389">
          <cell r="A389">
            <v>48684</v>
          </cell>
        </row>
        <row r="390">
          <cell r="A390">
            <v>48690</v>
          </cell>
        </row>
        <row r="391">
          <cell r="A391">
            <v>48700</v>
          </cell>
        </row>
        <row r="392">
          <cell r="A392">
            <v>48746</v>
          </cell>
        </row>
        <row r="393">
          <cell r="A393">
            <v>48829</v>
          </cell>
        </row>
        <row r="394">
          <cell r="A394">
            <v>48864</v>
          </cell>
        </row>
        <row r="395">
          <cell r="A395">
            <v>48885</v>
          </cell>
        </row>
        <row r="396">
          <cell r="A396">
            <v>48898</v>
          </cell>
        </row>
        <row r="397">
          <cell r="A397">
            <v>48938</v>
          </cell>
        </row>
        <row r="398">
          <cell r="A398">
            <v>48945</v>
          </cell>
        </row>
        <row r="399">
          <cell r="A399">
            <v>48995</v>
          </cell>
        </row>
        <row r="400">
          <cell r="A400">
            <v>48996</v>
          </cell>
        </row>
        <row r="401">
          <cell r="A401">
            <v>49041</v>
          </cell>
        </row>
        <row r="402">
          <cell r="A402">
            <v>49055</v>
          </cell>
        </row>
        <row r="403">
          <cell r="A403">
            <v>49065</v>
          </cell>
        </row>
        <row r="404">
          <cell r="A404">
            <v>49103</v>
          </cell>
        </row>
        <row r="405">
          <cell r="A405">
            <v>49194</v>
          </cell>
        </row>
        <row r="406">
          <cell r="A406">
            <v>49229</v>
          </cell>
        </row>
        <row r="407">
          <cell r="A407">
            <v>49250</v>
          </cell>
        </row>
        <row r="408">
          <cell r="A408">
            <v>49263</v>
          </cell>
        </row>
        <row r="409">
          <cell r="A409">
            <v>49303</v>
          </cell>
        </row>
        <row r="410">
          <cell r="A410">
            <v>49310</v>
          </cell>
        </row>
        <row r="411">
          <cell r="A411">
            <v>49345</v>
          </cell>
        </row>
        <row r="412">
          <cell r="A412">
            <v>49346</v>
          </cell>
        </row>
        <row r="413">
          <cell r="A413">
            <v>49391</v>
          </cell>
        </row>
        <row r="414">
          <cell r="A414">
            <v>49420</v>
          </cell>
        </row>
        <row r="415">
          <cell r="A415">
            <v>49430</v>
          </cell>
        </row>
        <row r="416">
          <cell r="A416">
            <v>49453</v>
          </cell>
        </row>
        <row r="417">
          <cell r="A417">
            <v>49559</v>
          </cell>
        </row>
        <row r="418">
          <cell r="A418">
            <v>49594</v>
          </cell>
        </row>
        <row r="419">
          <cell r="A419">
            <v>49615</v>
          </cell>
        </row>
        <row r="420">
          <cell r="A420">
            <v>49628</v>
          </cell>
        </row>
        <row r="421">
          <cell r="A421">
            <v>49668</v>
          </cell>
        </row>
        <row r="422">
          <cell r="A422">
            <v>49675</v>
          </cell>
        </row>
        <row r="423">
          <cell r="A423">
            <v>49730</v>
          </cell>
        </row>
        <row r="424">
          <cell r="A424">
            <v>49731</v>
          </cell>
        </row>
        <row r="425">
          <cell r="A425">
            <v>49776</v>
          </cell>
        </row>
        <row r="426">
          <cell r="A426">
            <v>49786</v>
          </cell>
        </row>
        <row r="427">
          <cell r="A427">
            <v>49796</v>
          </cell>
        </row>
        <row r="428">
          <cell r="A428">
            <v>49838</v>
          </cell>
        </row>
        <row r="429">
          <cell r="A429">
            <v>49925</v>
          </cell>
        </row>
        <row r="430">
          <cell r="A430">
            <v>49960</v>
          </cell>
        </row>
        <row r="431">
          <cell r="A431">
            <v>49981</v>
          </cell>
        </row>
        <row r="432">
          <cell r="A432">
            <v>49994</v>
          </cell>
        </row>
        <row r="433">
          <cell r="A433">
            <v>50034</v>
          </cell>
        </row>
        <row r="434">
          <cell r="A434">
            <v>50041</v>
          </cell>
        </row>
        <row r="435">
          <cell r="A435">
            <v>50087</v>
          </cell>
        </row>
        <row r="436">
          <cell r="A436">
            <v>50088</v>
          </cell>
        </row>
        <row r="437">
          <cell r="A437">
            <v>50133</v>
          </cell>
        </row>
        <row r="438">
          <cell r="A438">
            <v>50151</v>
          </cell>
        </row>
        <row r="439">
          <cell r="A439">
            <v>50161</v>
          </cell>
        </row>
        <row r="440">
          <cell r="A440">
            <v>50195</v>
          </cell>
        </row>
        <row r="441">
          <cell r="A441">
            <v>50290</v>
          </cell>
        </row>
        <row r="442">
          <cell r="A442">
            <v>50325</v>
          </cell>
        </row>
        <row r="443">
          <cell r="A443">
            <v>50346</v>
          </cell>
        </row>
        <row r="444">
          <cell r="A444">
            <v>50359</v>
          </cell>
        </row>
        <row r="445">
          <cell r="A445">
            <v>50399</v>
          </cell>
        </row>
        <row r="446">
          <cell r="A446">
            <v>50406</v>
          </cell>
        </row>
        <row r="447">
          <cell r="A447">
            <v>50472</v>
          </cell>
        </row>
        <row r="448">
          <cell r="A448">
            <v>50473</v>
          </cell>
        </row>
        <row r="449">
          <cell r="A449">
            <v>50516</v>
          </cell>
        </row>
        <row r="450">
          <cell r="A450">
            <v>50518</v>
          </cell>
        </row>
        <row r="451">
          <cell r="A451">
            <v>50526</v>
          </cell>
        </row>
        <row r="452">
          <cell r="A452">
            <v>50580</v>
          </cell>
        </row>
        <row r="453">
          <cell r="A453">
            <v>50655</v>
          </cell>
        </row>
        <row r="454">
          <cell r="A454">
            <v>50690</v>
          </cell>
        </row>
        <row r="455">
          <cell r="A455">
            <v>50711</v>
          </cell>
        </row>
        <row r="456">
          <cell r="A456">
            <v>50724</v>
          </cell>
        </row>
        <row r="457">
          <cell r="A457">
            <v>50764</v>
          </cell>
        </row>
        <row r="458">
          <cell r="A458">
            <v>50771</v>
          </cell>
        </row>
        <row r="459">
          <cell r="A459">
            <v>50822</v>
          </cell>
        </row>
        <row r="460">
          <cell r="A460">
            <v>50823</v>
          </cell>
        </row>
        <row r="461">
          <cell r="A461">
            <v>50868</v>
          </cell>
        </row>
        <row r="462">
          <cell r="A462">
            <v>50881</v>
          </cell>
        </row>
        <row r="463">
          <cell r="A463">
            <v>50891</v>
          </cell>
        </row>
        <row r="464">
          <cell r="A464">
            <v>50930</v>
          </cell>
        </row>
        <row r="465">
          <cell r="A465">
            <v>51020</v>
          </cell>
        </row>
        <row r="466">
          <cell r="A466">
            <v>51055</v>
          </cell>
        </row>
        <row r="467">
          <cell r="A467">
            <v>51076</v>
          </cell>
        </row>
        <row r="468">
          <cell r="A468">
            <v>51089</v>
          </cell>
        </row>
        <row r="469">
          <cell r="A469">
            <v>51129</v>
          </cell>
        </row>
        <row r="470">
          <cell r="A470">
            <v>51136</v>
          </cell>
        </row>
        <row r="471">
          <cell r="A471">
            <v>51179</v>
          </cell>
        </row>
        <row r="472">
          <cell r="A472">
            <v>51180</v>
          </cell>
        </row>
        <row r="473">
          <cell r="A473">
            <v>51225</v>
          </cell>
        </row>
        <row r="474">
          <cell r="A474">
            <v>51247</v>
          </cell>
        </row>
        <row r="475">
          <cell r="A475">
            <v>51257</v>
          </cell>
        </row>
        <row r="476">
          <cell r="A476">
            <v>51287</v>
          </cell>
        </row>
        <row r="477">
          <cell r="A477">
            <v>51386</v>
          </cell>
        </row>
        <row r="478">
          <cell r="A478">
            <v>51421</v>
          </cell>
        </row>
        <row r="479">
          <cell r="A479">
            <v>51442</v>
          </cell>
        </row>
        <row r="480">
          <cell r="A480">
            <v>51455</v>
          </cell>
        </row>
        <row r="481">
          <cell r="A481">
            <v>51495</v>
          </cell>
        </row>
        <row r="482">
          <cell r="A482">
            <v>51502</v>
          </cell>
        </row>
        <row r="483">
          <cell r="A483">
            <v>51564</v>
          </cell>
        </row>
        <row r="484">
          <cell r="A484">
            <v>51565</v>
          </cell>
        </row>
        <row r="485">
          <cell r="A485">
            <v>51610</v>
          </cell>
        </row>
        <row r="486">
          <cell r="A486">
            <v>51612</v>
          </cell>
        </row>
        <row r="487">
          <cell r="A487">
            <v>51622</v>
          </cell>
        </row>
        <row r="488">
          <cell r="A488">
            <v>51672</v>
          </cell>
        </row>
        <row r="489">
          <cell r="A489">
            <v>51751</v>
          </cell>
        </row>
        <row r="490">
          <cell r="A490">
            <v>51786</v>
          </cell>
        </row>
        <row r="491">
          <cell r="A491">
            <v>51807</v>
          </cell>
        </row>
        <row r="492">
          <cell r="A492">
            <v>51820</v>
          </cell>
        </row>
        <row r="493">
          <cell r="A493">
            <v>51860</v>
          </cell>
        </row>
        <row r="494">
          <cell r="A494">
            <v>51867</v>
          </cell>
        </row>
        <row r="495">
          <cell r="A495">
            <v>51914</v>
          </cell>
        </row>
        <row r="496">
          <cell r="A496">
            <v>51915</v>
          </cell>
        </row>
        <row r="497">
          <cell r="A497">
            <v>51960</v>
          </cell>
        </row>
        <row r="498">
          <cell r="A498">
            <v>51977</v>
          </cell>
        </row>
        <row r="499">
          <cell r="A499">
            <v>51987</v>
          </cell>
        </row>
        <row r="500">
          <cell r="A500">
            <v>52022</v>
          </cell>
        </row>
        <row r="501">
          <cell r="A501">
            <v>52116</v>
          </cell>
        </row>
        <row r="502">
          <cell r="A502">
            <v>52151</v>
          </cell>
        </row>
        <row r="503">
          <cell r="A503">
            <v>52172</v>
          </cell>
        </row>
        <row r="504">
          <cell r="A504">
            <v>52185</v>
          </cell>
        </row>
        <row r="505">
          <cell r="A505">
            <v>52225</v>
          </cell>
        </row>
        <row r="506">
          <cell r="A506">
            <v>52232</v>
          </cell>
        </row>
        <row r="507">
          <cell r="A507">
            <v>52271</v>
          </cell>
        </row>
        <row r="508">
          <cell r="A508">
            <v>52272</v>
          </cell>
        </row>
        <row r="509">
          <cell r="A509">
            <v>52317</v>
          </cell>
        </row>
        <row r="510">
          <cell r="A510">
            <v>52342</v>
          </cell>
        </row>
        <row r="511">
          <cell r="A511">
            <v>52352</v>
          </cell>
        </row>
        <row r="512">
          <cell r="A512">
            <v>52379</v>
          </cell>
        </row>
        <row r="513">
          <cell r="A513">
            <v>52481</v>
          </cell>
        </row>
        <row r="514">
          <cell r="A514">
            <v>52516</v>
          </cell>
        </row>
        <row r="515">
          <cell r="A515">
            <v>52537</v>
          </cell>
        </row>
        <row r="516">
          <cell r="A516">
            <v>52550</v>
          </cell>
        </row>
        <row r="517">
          <cell r="A517">
            <v>52590</v>
          </cell>
        </row>
        <row r="518">
          <cell r="A518">
            <v>52597</v>
          </cell>
        </row>
        <row r="519">
          <cell r="A519">
            <v>52656</v>
          </cell>
        </row>
        <row r="520">
          <cell r="A520">
            <v>52657</v>
          </cell>
        </row>
        <row r="521">
          <cell r="A521">
            <v>52702</v>
          </cell>
        </row>
        <row r="522">
          <cell r="A522">
            <v>52708</v>
          </cell>
        </row>
        <row r="523">
          <cell r="A523">
            <v>52718</v>
          </cell>
        </row>
        <row r="524">
          <cell r="A524">
            <v>52764</v>
          </cell>
        </row>
        <row r="525">
          <cell r="A525">
            <v>52847</v>
          </cell>
        </row>
        <row r="526">
          <cell r="A526">
            <v>52882</v>
          </cell>
        </row>
        <row r="527">
          <cell r="A527">
            <v>52903</v>
          </cell>
        </row>
        <row r="528">
          <cell r="A528">
            <v>52916</v>
          </cell>
        </row>
        <row r="529">
          <cell r="A529">
            <v>52956</v>
          </cell>
        </row>
        <row r="530">
          <cell r="A530">
            <v>52963</v>
          </cell>
        </row>
        <row r="531">
          <cell r="A531">
            <v>53013</v>
          </cell>
        </row>
        <row r="532">
          <cell r="A532">
            <v>53014</v>
          </cell>
        </row>
        <row r="533">
          <cell r="A533">
            <v>53059</v>
          </cell>
        </row>
        <row r="534">
          <cell r="A534">
            <v>53073</v>
          </cell>
        </row>
        <row r="535">
          <cell r="A535">
            <v>53083</v>
          </cell>
        </row>
        <row r="536">
          <cell r="A536">
            <v>53121</v>
          </cell>
        </row>
        <row r="537">
          <cell r="A537">
            <v>53212</v>
          </cell>
        </row>
        <row r="538">
          <cell r="A538">
            <v>53247</v>
          </cell>
        </row>
        <row r="539">
          <cell r="A539">
            <v>53268</v>
          </cell>
        </row>
        <row r="540">
          <cell r="A540">
            <v>53281</v>
          </cell>
        </row>
        <row r="541">
          <cell r="A541">
            <v>53321</v>
          </cell>
        </row>
        <row r="542">
          <cell r="A542">
            <v>53328</v>
          </cell>
        </row>
        <row r="543">
          <cell r="A543">
            <v>53363</v>
          </cell>
        </row>
        <row r="544">
          <cell r="A544">
            <v>53364</v>
          </cell>
        </row>
        <row r="545">
          <cell r="A545">
            <v>53409</v>
          </cell>
        </row>
        <row r="546">
          <cell r="A546">
            <v>53438</v>
          </cell>
        </row>
        <row r="547">
          <cell r="A547">
            <v>53448</v>
          </cell>
        </row>
        <row r="548">
          <cell r="A548">
            <v>53471</v>
          </cell>
        </row>
        <row r="549">
          <cell r="A549">
            <v>53577</v>
          </cell>
        </row>
        <row r="550">
          <cell r="A550">
            <v>53612</v>
          </cell>
        </row>
        <row r="551">
          <cell r="A551">
            <v>53633</v>
          </cell>
        </row>
        <row r="552">
          <cell r="A552">
            <v>53646</v>
          </cell>
        </row>
        <row r="553">
          <cell r="A553">
            <v>53686</v>
          </cell>
        </row>
        <row r="554">
          <cell r="A554">
            <v>53693</v>
          </cell>
        </row>
        <row r="555">
          <cell r="A555">
            <v>53748</v>
          </cell>
        </row>
        <row r="556">
          <cell r="A556">
            <v>53749</v>
          </cell>
        </row>
        <row r="557">
          <cell r="A557">
            <v>53794</v>
          </cell>
        </row>
        <row r="558">
          <cell r="A558">
            <v>53803</v>
          </cell>
        </row>
        <row r="559">
          <cell r="A559">
            <v>53813</v>
          </cell>
        </row>
        <row r="560">
          <cell r="A560">
            <v>53856</v>
          </cell>
        </row>
        <row r="561">
          <cell r="A561">
            <v>53942</v>
          </cell>
        </row>
        <row r="562">
          <cell r="A562">
            <v>53977</v>
          </cell>
        </row>
        <row r="563">
          <cell r="A563">
            <v>53998</v>
          </cell>
        </row>
        <row r="564">
          <cell r="A564">
            <v>54011</v>
          </cell>
        </row>
        <row r="565">
          <cell r="A565">
            <v>54051</v>
          </cell>
        </row>
        <row r="566">
          <cell r="A566">
            <v>54058</v>
          </cell>
        </row>
        <row r="567">
          <cell r="A567">
            <v>54105</v>
          </cell>
        </row>
        <row r="568">
          <cell r="A568">
            <v>54106</v>
          </cell>
        </row>
        <row r="569">
          <cell r="A569">
            <v>54151</v>
          </cell>
        </row>
        <row r="570">
          <cell r="A570">
            <v>54169</v>
          </cell>
        </row>
        <row r="571">
          <cell r="A571">
            <v>54179</v>
          </cell>
        </row>
        <row r="572">
          <cell r="A572">
            <v>54213</v>
          </cell>
        </row>
        <row r="573">
          <cell r="A573">
            <v>54308</v>
          </cell>
        </row>
        <row r="574">
          <cell r="A574">
            <v>54343</v>
          </cell>
        </row>
        <row r="575">
          <cell r="A575">
            <v>54364</v>
          </cell>
        </row>
        <row r="576">
          <cell r="A576">
            <v>54377</v>
          </cell>
        </row>
        <row r="577">
          <cell r="A577">
            <v>54417</v>
          </cell>
        </row>
        <row r="578">
          <cell r="A578">
            <v>54424</v>
          </cell>
        </row>
        <row r="579">
          <cell r="A579">
            <v>54483</v>
          </cell>
        </row>
        <row r="580">
          <cell r="A580">
            <v>54484</v>
          </cell>
        </row>
        <row r="581">
          <cell r="A581">
            <v>54529</v>
          </cell>
        </row>
        <row r="582">
          <cell r="A582">
            <v>54534</v>
          </cell>
        </row>
        <row r="583">
          <cell r="A583">
            <v>54544</v>
          </cell>
        </row>
        <row r="584">
          <cell r="A584">
            <v>54591</v>
          </cell>
        </row>
        <row r="585">
          <cell r="A585">
            <v>54673</v>
          </cell>
        </row>
        <row r="586">
          <cell r="A586">
            <v>54708</v>
          </cell>
        </row>
        <row r="587">
          <cell r="A587">
            <v>54729</v>
          </cell>
        </row>
        <row r="588">
          <cell r="A588">
            <v>54742</v>
          </cell>
        </row>
        <row r="589">
          <cell r="A589">
            <v>54782</v>
          </cell>
        </row>
        <row r="590">
          <cell r="A590">
            <v>54789</v>
          </cell>
        </row>
        <row r="591">
          <cell r="A591">
            <v>54840</v>
          </cell>
        </row>
        <row r="592">
          <cell r="A592">
            <v>54841</v>
          </cell>
        </row>
        <row r="593">
          <cell r="A593">
            <v>54886</v>
          </cell>
        </row>
        <row r="594">
          <cell r="A594">
            <v>54899</v>
          </cell>
        </row>
        <row r="595">
          <cell r="A595">
            <v>54909</v>
          </cell>
        </row>
        <row r="596">
          <cell r="A596">
            <v>54948</v>
          </cell>
        </row>
        <row r="597">
          <cell r="A597">
            <v>55038</v>
          </cell>
        </row>
        <row r="598">
          <cell r="A598">
            <v>55073</v>
          </cell>
        </row>
        <row r="599">
          <cell r="A599">
            <v>55094</v>
          </cell>
        </row>
        <row r="600">
          <cell r="A600">
            <v>55107</v>
          </cell>
        </row>
        <row r="601">
          <cell r="A601">
            <v>55147</v>
          </cell>
        </row>
        <row r="602">
          <cell r="A602">
            <v>55154</v>
          </cell>
        </row>
        <row r="603">
          <cell r="A603">
            <v>55197</v>
          </cell>
        </row>
        <row r="604">
          <cell r="A604">
            <v>55198</v>
          </cell>
        </row>
        <row r="605">
          <cell r="A605">
            <v>55243</v>
          </cell>
        </row>
        <row r="606">
          <cell r="A606">
            <v>55264</v>
          </cell>
        </row>
        <row r="607">
          <cell r="A607">
            <v>55274</v>
          </cell>
        </row>
        <row r="608">
          <cell r="A608">
            <v>55305</v>
          </cell>
        </row>
        <row r="609">
          <cell r="A609">
            <v>55403</v>
          </cell>
        </row>
        <row r="610">
          <cell r="A610">
            <v>55438</v>
          </cell>
        </row>
        <row r="611">
          <cell r="A611">
            <v>55459</v>
          </cell>
        </row>
        <row r="612">
          <cell r="A612">
            <v>55472</v>
          </cell>
        </row>
        <row r="613">
          <cell r="A613">
            <v>55512</v>
          </cell>
        </row>
        <row r="614">
          <cell r="A614">
            <v>55519</v>
          </cell>
        </row>
        <row r="615">
          <cell r="A615">
            <v>55582</v>
          </cell>
        </row>
        <row r="616">
          <cell r="A616">
            <v>55583</v>
          </cell>
        </row>
        <row r="617">
          <cell r="A617">
            <v>55628</v>
          </cell>
        </row>
        <row r="618">
          <cell r="A618">
            <v>55630</v>
          </cell>
        </row>
        <row r="619">
          <cell r="A619">
            <v>55640</v>
          </cell>
        </row>
        <row r="620">
          <cell r="A620">
            <v>55690</v>
          </cell>
        </row>
        <row r="621">
          <cell r="A621">
            <v>55769</v>
          </cell>
        </row>
        <row r="622">
          <cell r="A622">
            <v>55804</v>
          </cell>
        </row>
        <row r="623">
          <cell r="A623">
            <v>55825</v>
          </cell>
        </row>
        <row r="624">
          <cell r="A624">
            <v>55838</v>
          </cell>
        </row>
        <row r="625">
          <cell r="A625">
            <v>55878</v>
          </cell>
        </row>
        <row r="626">
          <cell r="A626">
            <v>55885</v>
          </cell>
        </row>
        <row r="627">
          <cell r="A627">
            <v>55932</v>
          </cell>
        </row>
        <row r="628">
          <cell r="A628">
            <v>55933</v>
          </cell>
        </row>
        <row r="629">
          <cell r="A629">
            <v>55978</v>
          </cell>
        </row>
        <row r="630">
          <cell r="A630">
            <v>55995</v>
          </cell>
        </row>
        <row r="631">
          <cell r="A631">
            <v>56005</v>
          </cell>
        </row>
        <row r="632">
          <cell r="A632">
            <v>56040</v>
          </cell>
        </row>
        <row r="633">
          <cell r="A633">
            <v>56134</v>
          </cell>
        </row>
        <row r="634">
          <cell r="A634">
            <v>56169</v>
          </cell>
        </row>
        <row r="635">
          <cell r="A635">
            <v>56190</v>
          </cell>
        </row>
        <row r="636">
          <cell r="A636">
            <v>56203</v>
          </cell>
        </row>
        <row r="637">
          <cell r="A637">
            <v>56243</v>
          </cell>
        </row>
        <row r="638">
          <cell r="A638">
            <v>56250</v>
          </cell>
        </row>
        <row r="639">
          <cell r="A639">
            <v>56289</v>
          </cell>
        </row>
        <row r="640">
          <cell r="A640">
            <v>56290</v>
          </cell>
        </row>
        <row r="641">
          <cell r="A641">
            <v>56335</v>
          </cell>
        </row>
        <row r="642">
          <cell r="A642">
            <v>56360</v>
          </cell>
        </row>
        <row r="643">
          <cell r="A643">
            <v>56370</v>
          </cell>
        </row>
        <row r="644">
          <cell r="A644">
            <v>56397</v>
          </cell>
        </row>
        <row r="645">
          <cell r="A645">
            <v>56499</v>
          </cell>
        </row>
        <row r="646">
          <cell r="A646">
            <v>56534</v>
          </cell>
        </row>
        <row r="647">
          <cell r="A647">
            <v>56555</v>
          </cell>
        </row>
        <row r="648">
          <cell r="A648">
            <v>56568</v>
          </cell>
        </row>
        <row r="649">
          <cell r="A649">
            <v>56608</v>
          </cell>
        </row>
        <row r="650">
          <cell r="A650">
            <v>56615</v>
          </cell>
        </row>
        <row r="651">
          <cell r="A651">
            <v>56674</v>
          </cell>
        </row>
        <row r="652">
          <cell r="A652">
            <v>56675</v>
          </cell>
        </row>
        <row r="653">
          <cell r="A653">
            <v>56720</v>
          </cell>
        </row>
        <row r="654">
          <cell r="A654">
            <v>56725</v>
          </cell>
        </row>
        <row r="655">
          <cell r="A655">
            <v>56735</v>
          </cell>
        </row>
        <row r="656">
          <cell r="A656">
            <v>56782</v>
          </cell>
        </row>
        <row r="657">
          <cell r="A657">
            <v>56864</v>
          </cell>
        </row>
        <row r="658">
          <cell r="A658">
            <v>56899</v>
          </cell>
        </row>
        <row r="659">
          <cell r="A659">
            <v>56920</v>
          </cell>
        </row>
        <row r="660">
          <cell r="A660">
            <v>56933</v>
          </cell>
        </row>
        <row r="661">
          <cell r="A661">
            <v>56973</v>
          </cell>
        </row>
        <row r="662">
          <cell r="A662">
            <v>56980</v>
          </cell>
        </row>
        <row r="663">
          <cell r="A663">
            <v>57024</v>
          </cell>
        </row>
        <row r="664">
          <cell r="A664">
            <v>57025</v>
          </cell>
        </row>
        <row r="665">
          <cell r="A665">
            <v>57070</v>
          </cell>
        </row>
        <row r="666">
          <cell r="A666">
            <v>57091</v>
          </cell>
        </row>
        <row r="667">
          <cell r="A667">
            <v>57101</v>
          </cell>
        </row>
        <row r="668">
          <cell r="A668">
            <v>57132</v>
          </cell>
        </row>
        <row r="669">
          <cell r="A669">
            <v>57230</v>
          </cell>
        </row>
        <row r="670">
          <cell r="A670">
            <v>57265</v>
          </cell>
        </row>
        <row r="671">
          <cell r="A671">
            <v>57286</v>
          </cell>
        </row>
        <row r="672">
          <cell r="A672">
            <v>57299</v>
          </cell>
        </row>
        <row r="673">
          <cell r="A673">
            <v>57339</v>
          </cell>
        </row>
        <row r="674">
          <cell r="A674">
            <v>57346</v>
          </cell>
        </row>
        <row r="675">
          <cell r="A675">
            <v>57409</v>
          </cell>
        </row>
        <row r="676">
          <cell r="A676">
            <v>57410</v>
          </cell>
        </row>
        <row r="677">
          <cell r="A677">
            <v>57455</v>
          </cell>
        </row>
        <row r="678">
          <cell r="A678">
            <v>57456</v>
          </cell>
        </row>
        <row r="679">
          <cell r="A679">
            <v>57466</v>
          </cell>
        </row>
        <row r="680">
          <cell r="A680">
            <v>57517</v>
          </cell>
        </row>
        <row r="681">
          <cell r="A681">
            <v>57595</v>
          </cell>
        </row>
        <row r="682">
          <cell r="A682">
            <v>57630</v>
          </cell>
        </row>
        <row r="683">
          <cell r="A683">
            <v>57651</v>
          </cell>
        </row>
        <row r="684">
          <cell r="A684">
            <v>57664</v>
          </cell>
        </row>
        <row r="685">
          <cell r="A685">
            <v>57704</v>
          </cell>
        </row>
        <row r="686">
          <cell r="A686">
            <v>57711</v>
          </cell>
        </row>
        <row r="687">
          <cell r="A687">
            <v>57766</v>
          </cell>
        </row>
        <row r="688">
          <cell r="A688">
            <v>57767</v>
          </cell>
        </row>
        <row r="689">
          <cell r="A689">
            <v>57812</v>
          </cell>
        </row>
        <row r="690">
          <cell r="A690">
            <v>57821</v>
          </cell>
        </row>
        <row r="691">
          <cell r="A691">
            <v>57831</v>
          </cell>
        </row>
        <row r="692">
          <cell r="A692">
            <v>57874</v>
          </cell>
        </row>
        <row r="693">
          <cell r="A693">
            <v>57960</v>
          </cell>
        </row>
        <row r="694">
          <cell r="A694">
            <v>57995</v>
          </cell>
        </row>
        <row r="695">
          <cell r="A695">
            <v>58016</v>
          </cell>
        </row>
        <row r="696">
          <cell r="A696">
            <v>58029</v>
          </cell>
        </row>
        <row r="697">
          <cell r="A697">
            <v>58069</v>
          </cell>
        </row>
        <row r="698">
          <cell r="A698">
            <v>58076</v>
          </cell>
        </row>
        <row r="699">
          <cell r="A699">
            <v>58116</v>
          </cell>
        </row>
        <row r="700">
          <cell r="A700">
            <v>58117</v>
          </cell>
        </row>
        <row r="701">
          <cell r="A701">
            <v>58162</v>
          </cell>
        </row>
        <row r="702">
          <cell r="A702">
            <v>58186</v>
          </cell>
        </row>
        <row r="703">
          <cell r="A703">
            <v>58196</v>
          </cell>
        </row>
        <row r="704">
          <cell r="A704">
            <v>58224</v>
          </cell>
        </row>
        <row r="705">
          <cell r="A705">
            <v>58325</v>
          </cell>
        </row>
        <row r="706">
          <cell r="A706">
            <v>58360</v>
          </cell>
        </row>
        <row r="707">
          <cell r="A707">
            <v>58381</v>
          </cell>
        </row>
        <row r="708">
          <cell r="A708">
            <v>58394</v>
          </cell>
        </row>
        <row r="709">
          <cell r="A709">
            <v>58434</v>
          </cell>
        </row>
        <row r="710">
          <cell r="A710">
            <v>58441</v>
          </cell>
        </row>
        <row r="711">
          <cell r="A711">
            <v>58501</v>
          </cell>
        </row>
        <row r="712">
          <cell r="A712">
            <v>58502</v>
          </cell>
        </row>
        <row r="713">
          <cell r="A713">
            <v>58547</v>
          </cell>
        </row>
        <row r="714">
          <cell r="A714">
            <v>58552</v>
          </cell>
        </row>
        <row r="715">
          <cell r="A715">
            <v>58562</v>
          </cell>
        </row>
        <row r="716">
          <cell r="A716">
            <v>58609</v>
          </cell>
        </row>
        <row r="717">
          <cell r="A717">
            <v>58691</v>
          </cell>
        </row>
        <row r="718">
          <cell r="A718">
            <v>58726</v>
          </cell>
        </row>
        <row r="719">
          <cell r="A719">
            <v>58747</v>
          </cell>
        </row>
        <row r="720">
          <cell r="A720">
            <v>58760</v>
          </cell>
        </row>
        <row r="721">
          <cell r="A721">
            <v>58800</v>
          </cell>
        </row>
        <row r="722">
          <cell r="A722">
            <v>58807</v>
          </cell>
        </row>
        <row r="723">
          <cell r="A723">
            <v>58858</v>
          </cell>
        </row>
        <row r="724">
          <cell r="A724">
            <v>58859</v>
          </cell>
        </row>
        <row r="725">
          <cell r="A725">
            <v>58904</v>
          </cell>
        </row>
        <row r="726">
          <cell r="A726">
            <v>58917</v>
          </cell>
        </row>
        <row r="727">
          <cell r="A727">
            <v>58927</v>
          </cell>
        </row>
        <row r="728">
          <cell r="A728">
            <v>58966</v>
          </cell>
        </row>
        <row r="729">
          <cell r="A729">
            <v>59056</v>
          </cell>
        </row>
        <row r="730">
          <cell r="A730">
            <v>59091</v>
          </cell>
        </row>
        <row r="731">
          <cell r="A731">
            <v>59112</v>
          </cell>
        </row>
        <row r="732">
          <cell r="A732">
            <v>59125</v>
          </cell>
        </row>
        <row r="733">
          <cell r="A733">
            <v>59165</v>
          </cell>
        </row>
        <row r="734">
          <cell r="A734">
            <v>59172</v>
          </cell>
        </row>
        <row r="735">
          <cell r="A735">
            <v>59208</v>
          </cell>
        </row>
        <row r="736">
          <cell r="A736">
            <v>59209</v>
          </cell>
        </row>
        <row r="737">
          <cell r="A737">
            <v>59254</v>
          </cell>
        </row>
        <row r="738">
          <cell r="A738">
            <v>59282</v>
          </cell>
        </row>
        <row r="739">
          <cell r="A739">
            <v>59292</v>
          </cell>
        </row>
        <row r="740">
          <cell r="A740">
            <v>59316</v>
          </cell>
        </row>
        <row r="741">
          <cell r="A741">
            <v>59421</v>
          </cell>
        </row>
        <row r="742">
          <cell r="A742">
            <v>59456</v>
          </cell>
        </row>
        <row r="743">
          <cell r="A743">
            <v>59477</v>
          </cell>
        </row>
        <row r="744">
          <cell r="A744">
            <v>59490</v>
          </cell>
        </row>
        <row r="745">
          <cell r="A745">
            <v>59530</v>
          </cell>
        </row>
        <row r="746">
          <cell r="A746">
            <v>59537</v>
          </cell>
        </row>
        <row r="747">
          <cell r="A747">
            <v>59593</v>
          </cell>
        </row>
        <row r="748">
          <cell r="A748">
            <v>59594</v>
          </cell>
        </row>
        <row r="749">
          <cell r="A749">
            <v>59639</v>
          </cell>
        </row>
        <row r="750">
          <cell r="A750">
            <v>59647</v>
          </cell>
        </row>
        <row r="751">
          <cell r="A751">
            <v>59657</v>
          </cell>
        </row>
        <row r="752">
          <cell r="A752">
            <v>59701</v>
          </cell>
        </row>
        <row r="753">
          <cell r="A753">
            <v>59786</v>
          </cell>
        </row>
        <row r="754">
          <cell r="A754">
            <v>59821</v>
          </cell>
        </row>
        <row r="755">
          <cell r="A755">
            <v>59842</v>
          </cell>
        </row>
        <row r="756">
          <cell r="A756">
            <v>59855</v>
          </cell>
        </row>
        <row r="757">
          <cell r="A757">
            <v>59895</v>
          </cell>
        </row>
        <row r="758">
          <cell r="A758">
            <v>59902</v>
          </cell>
        </row>
        <row r="759">
          <cell r="A759">
            <v>59950</v>
          </cell>
        </row>
        <row r="760">
          <cell r="A760">
            <v>59951</v>
          </cell>
        </row>
        <row r="761">
          <cell r="A761">
            <v>59996</v>
          </cell>
        </row>
        <row r="762">
          <cell r="A762">
            <v>60013</v>
          </cell>
        </row>
        <row r="763">
          <cell r="A763">
            <v>60023</v>
          </cell>
        </row>
        <row r="764">
          <cell r="A764">
            <v>60058</v>
          </cell>
        </row>
        <row r="765">
          <cell r="A765">
            <v>60152</v>
          </cell>
        </row>
        <row r="766">
          <cell r="A766">
            <v>60187</v>
          </cell>
        </row>
        <row r="767">
          <cell r="A767">
            <v>60208</v>
          </cell>
        </row>
        <row r="768">
          <cell r="A768">
            <v>60221</v>
          </cell>
        </row>
        <row r="769">
          <cell r="A769">
            <v>60261</v>
          </cell>
        </row>
        <row r="770">
          <cell r="A770">
            <v>60268</v>
          </cell>
        </row>
        <row r="771">
          <cell r="A771">
            <v>60307</v>
          </cell>
        </row>
        <row r="772">
          <cell r="A772">
            <v>60308</v>
          </cell>
        </row>
        <row r="773">
          <cell r="A773">
            <v>60353</v>
          </cell>
        </row>
        <row r="774">
          <cell r="A774">
            <v>60378</v>
          </cell>
        </row>
        <row r="775">
          <cell r="A775">
            <v>60388</v>
          </cell>
        </row>
        <row r="776">
          <cell r="A776">
            <v>60415</v>
          </cell>
        </row>
        <row r="777">
          <cell r="A777">
            <v>60517</v>
          </cell>
        </row>
        <row r="778">
          <cell r="A778">
            <v>60552</v>
          </cell>
        </row>
        <row r="779">
          <cell r="A779">
            <v>60573</v>
          </cell>
        </row>
        <row r="780">
          <cell r="A780">
            <v>60586</v>
          </cell>
        </row>
        <row r="781">
          <cell r="A781">
            <v>60626</v>
          </cell>
        </row>
        <row r="782">
          <cell r="A782">
            <v>60633</v>
          </cell>
        </row>
        <row r="783">
          <cell r="A783">
            <v>60685</v>
          </cell>
        </row>
        <row r="784">
          <cell r="A784">
            <v>60686</v>
          </cell>
        </row>
        <row r="785">
          <cell r="A785">
            <v>60731</v>
          </cell>
        </row>
        <row r="786">
          <cell r="A786">
            <v>60743</v>
          </cell>
        </row>
        <row r="787">
          <cell r="A787">
            <v>60753</v>
          </cell>
        </row>
        <row r="788">
          <cell r="A788">
            <v>60793</v>
          </cell>
        </row>
        <row r="789">
          <cell r="A789">
            <v>60882</v>
          </cell>
        </row>
        <row r="790">
          <cell r="A790">
            <v>60917</v>
          </cell>
        </row>
        <row r="791">
          <cell r="A791">
            <v>60938</v>
          </cell>
        </row>
        <row r="792">
          <cell r="A792">
            <v>60951</v>
          </cell>
        </row>
        <row r="793">
          <cell r="A793">
            <v>60991</v>
          </cell>
        </row>
        <row r="794">
          <cell r="A794">
            <v>60998</v>
          </cell>
        </row>
        <row r="795">
          <cell r="A795">
            <v>61042</v>
          </cell>
        </row>
        <row r="796">
          <cell r="A796">
            <v>61043</v>
          </cell>
        </row>
        <row r="797">
          <cell r="A797">
            <v>61088</v>
          </cell>
        </row>
        <row r="798">
          <cell r="A798">
            <v>61108</v>
          </cell>
        </row>
        <row r="799">
          <cell r="A799">
            <v>61118</v>
          </cell>
        </row>
        <row r="800">
          <cell r="A800">
            <v>61150</v>
          </cell>
        </row>
        <row r="801">
          <cell r="A801">
            <v>61247</v>
          </cell>
        </row>
        <row r="802">
          <cell r="A802">
            <v>61282</v>
          </cell>
        </row>
        <row r="803">
          <cell r="A803">
            <v>61303</v>
          </cell>
        </row>
        <row r="804">
          <cell r="A804">
            <v>61316</v>
          </cell>
        </row>
        <row r="805">
          <cell r="A805">
            <v>61356</v>
          </cell>
        </row>
        <row r="806">
          <cell r="A806">
            <v>61363</v>
          </cell>
        </row>
        <row r="807">
          <cell r="A807">
            <v>61427</v>
          </cell>
        </row>
        <row r="808">
          <cell r="A808">
            <v>61428</v>
          </cell>
        </row>
        <row r="809">
          <cell r="A809">
            <v>61473</v>
          </cell>
        </row>
        <row r="810">
          <cell r="A810">
            <v>61474</v>
          </cell>
        </row>
        <row r="811">
          <cell r="A811">
            <v>61484</v>
          </cell>
        </row>
        <row r="812">
          <cell r="A812">
            <v>61535</v>
          </cell>
        </row>
        <row r="813">
          <cell r="A813">
            <v>61613</v>
          </cell>
        </row>
        <row r="814">
          <cell r="A814">
            <v>61648</v>
          </cell>
        </row>
        <row r="815">
          <cell r="A815">
            <v>61669</v>
          </cell>
        </row>
        <row r="816">
          <cell r="A816">
            <v>61682</v>
          </cell>
        </row>
        <row r="817">
          <cell r="A817">
            <v>61722</v>
          </cell>
        </row>
        <row r="818">
          <cell r="A818">
            <v>61729</v>
          </cell>
        </row>
        <row r="819">
          <cell r="A819">
            <v>61784</v>
          </cell>
        </row>
        <row r="820">
          <cell r="A820">
            <v>61785</v>
          </cell>
        </row>
        <row r="821">
          <cell r="A821">
            <v>61830</v>
          </cell>
        </row>
        <row r="822">
          <cell r="A822">
            <v>61839</v>
          </cell>
        </row>
        <row r="823">
          <cell r="A823">
            <v>61849</v>
          </cell>
        </row>
        <row r="824">
          <cell r="A824">
            <v>61892</v>
          </cell>
        </row>
        <row r="825">
          <cell r="A825">
            <v>61978</v>
          </cell>
        </row>
        <row r="826">
          <cell r="A826">
            <v>62013</v>
          </cell>
        </row>
        <row r="827">
          <cell r="A827">
            <v>62034</v>
          </cell>
        </row>
        <row r="828">
          <cell r="A828">
            <v>62047</v>
          </cell>
        </row>
        <row r="829">
          <cell r="A829">
            <v>62087</v>
          </cell>
        </row>
        <row r="830">
          <cell r="A830">
            <v>62094</v>
          </cell>
        </row>
        <row r="831">
          <cell r="A831">
            <v>62134</v>
          </cell>
        </row>
        <row r="832">
          <cell r="A832">
            <v>62135</v>
          </cell>
        </row>
        <row r="833">
          <cell r="A833">
            <v>62180</v>
          </cell>
        </row>
        <row r="834">
          <cell r="A834">
            <v>62204</v>
          </cell>
        </row>
        <row r="835">
          <cell r="A835">
            <v>62214</v>
          </cell>
        </row>
        <row r="836">
          <cell r="A836">
            <v>62242</v>
          </cell>
        </row>
        <row r="837">
          <cell r="A837">
            <v>62343</v>
          </cell>
        </row>
        <row r="838">
          <cell r="A838">
            <v>62378</v>
          </cell>
        </row>
        <row r="839">
          <cell r="A839">
            <v>62399</v>
          </cell>
        </row>
        <row r="840">
          <cell r="A840">
            <v>62412</v>
          </cell>
        </row>
        <row r="841">
          <cell r="A841">
            <v>62452</v>
          </cell>
        </row>
        <row r="842">
          <cell r="A842">
            <v>62459</v>
          </cell>
        </row>
        <row r="843">
          <cell r="A843">
            <v>62519</v>
          </cell>
        </row>
        <row r="844">
          <cell r="A844">
            <v>62520</v>
          </cell>
        </row>
        <row r="845">
          <cell r="A845">
            <v>62565</v>
          </cell>
        </row>
        <row r="846">
          <cell r="A846">
            <v>62569</v>
          </cell>
        </row>
        <row r="847">
          <cell r="A847">
            <v>62579</v>
          </cell>
        </row>
        <row r="848">
          <cell r="A848">
            <v>62627</v>
          </cell>
        </row>
        <row r="849">
          <cell r="A849">
            <v>62708</v>
          </cell>
        </row>
        <row r="850">
          <cell r="A850">
            <v>62743</v>
          </cell>
        </row>
        <row r="851">
          <cell r="A851">
            <v>62764</v>
          </cell>
        </row>
        <row r="852">
          <cell r="A852">
            <v>62777</v>
          </cell>
        </row>
        <row r="853">
          <cell r="A853">
            <v>62817</v>
          </cell>
        </row>
        <row r="854">
          <cell r="A854">
            <v>62824</v>
          </cell>
        </row>
        <row r="855">
          <cell r="A855">
            <v>62876</v>
          </cell>
        </row>
        <row r="856">
          <cell r="A856">
            <v>62877</v>
          </cell>
        </row>
        <row r="857">
          <cell r="A857">
            <v>62922</v>
          </cell>
        </row>
        <row r="858">
          <cell r="A858">
            <v>62935</v>
          </cell>
        </row>
        <row r="859">
          <cell r="A859">
            <v>62945</v>
          </cell>
        </row>
        <row r="860">
          <cell r="A860">
            <v>62984</v>
          </cell>
        </row>
        <row r="861">
          <cell r="A861">
            <v>63074</v>
          </cell>
        </row>
        <row r="862">
          <cell r="A862">
            <v>63109</v>
          </cell>
        </row>
        <row r="863">
          <cell r="A863">
            <v>63130</v>
          </cell>
        </row>
        <row r="864">
          <cell r="A864">
            <v>63143</v>
          </cell>
        </row>
        <row r="865">
          <cell r="A865">
            <v>63183</v>
          </cell>
        </row>
        <row r="866">
          <cell r="A866">
            <v>63190</v>
          </cell>
        </row>
        <row r="867">
          <cell r="A867">
            <v>63226</v>
          </cell>
        </row>
        <row r="868">
          <cell r="A868">
            <v>63227</v>
          </cell>
        </row>
        <row r="869">
          <cell r="A869">
            <v>63272</v>
          </cell>
        </row>
        <row r="870">
          <cell r="A870">
            <v>63300</v>
          </cell>
        </row>
        <row r="871">
          <cell r="A871">
            <v>63310</v>
          </cell>
        </row>
        <row r="872">
          <cell r="A872">
            <v>63334</v>
          </cell>
        </row>
        <row r="873">
          <cell r="A873">
            <v>63439</v>
          </cell>
        </row>
        <row r="874">
          <cell r="A874">
            <v>63474</v>
          </cell>
        </row>
        <row r="875">
          <cell r="A875">
            <v>63495</v>
          </cell>
        </row>
        <row r="876">
          <cell r="A876">
            <v>63508</v>
          </cell>
        </row>
        <row r="877">
          <cell r="A877">
            <v>63548</v>
          </cell>
        </row>
        <row r="878">
          <cell r="A878">
            <v>63555</v>
          </cell>
        </row>
        <row r="879">
          <cell r="A879">
            <v>63611</v>
          </cell>
        </row>
        <row r="880">
          <cell r="A880">
            <v>63612</v>
          </cell>
        </row>
        <row r="881">
          <cell r="A881">
            <v>63657</v>
          </cell>
        </row>
        <row r="882">
          <cell r="A882">
            <v>63665</v>
          </cell>
        </row>
        <row r="883">
          <cell r="A883">
            <v>63675</v>
          </cell>
        </row>
        <row r="884">
          <cell r="A884">
            <v>63719</v>
          </cell>
        </row>
        <row r="885">
          <cell r="A885">
            <v>63804</v>
          </cell>
        </row>
        <row r="886">
          <cell r="A886">
            <v>63839</v>
          </cell>
        </row>
        <row r="887">
          <cell r="A887">
            <v>63860</v>
          </cell>
        </row>
        <row r="888">
          <cell r="A888">
            <v>63873</v>
          </cell>
        </row>
        <row r="889">
          <cell r="A889">
            <v>63913</v>
          </cell>
        </row>
        <row r="890">
          <cell r="A890">
            <v>63920</v>
          </cell>
        </row>
        <row r="891">
          <cell r="A891">
            <v>63968</v>
          </cell>
        </row>
        <row r="892">
          <cell r="A892">
            <v>63969</v>
          </cell>
        </row>
        <row r="893">
          <cell r="A893">
            <v>64014</v>
          </cell>
        </row>
        <row r="894">
          <cell r="A894">
            <v>64030</v>
          </cell>
        </row>
        <row r="895">
          <cell r="A895">
            <v>64040</v>
          </cell>
        </row>
        <row r="896">
          <cell r="A896">
            <v>64076</v>
          </cell>
        </row>
        <row r="897">
          <cell r="A897">
            <v>64169</v>
          </cell>
        </row>
        <row r="898">
          <cell r="A898">
            <v>64204</v>
          </cell>
        </row>
        <row r="899">
          <cell r="A899">
            <v>64225</v>
          </cell>
        </row>
        <row r="900">
          <cell r="A900">
            <v>64238</v>
          </cell>
        </row>
        <row r="901">
          <cell r="A901">
            <v>64278</v>
          </cell>
        </row>
        <row r="902">
          <cell r="A902">
            <v>64285</v>
          </cell>
        </row>
        <row r="903">
          <cell r="A903">
            <v>64346</v>
          </cell>
        </row>
        <row r="904">
          <cell r="A904">
            <v>64347</v>
          </cell>
        </row>
        <row r="905">
          <cell r="A905">
            <v>64392</v>
          </cell>
        </row>
        <row r="906">
          <cell r="A906">
            <v>64396</v>
          </cell>
        </row>
        <row r="907">
          <cell r="A907">
            <v>64406</v>
          </cell>
        </row>
        <row r="908">
          <cell r="A908">
            <v>64454</v>
          </cell>
        </row>
        <row r="909">
          <cell r="A909">
            <v>64535</v>
          </cell>
        </row>
        <row r="910">
          <cell r="A910">
            <v>64570</v>
          </cell>
        </row>
        <row r="911">
          <cell r="A911">
            <v>64591</v>
          </cell>
        </row>
        <row r="912">
          <cell r="A912">
            <v>64604</v>
          </cell>
        </row>
        <row r="913">
          <cell r="A913">
            <v>64644</v>
          </cell>
        </row>
        <row r="914">
          <cell r="A914">
            <v>64651</v>
          </cell>
        </row>
        <row r="915">
          <cell r="A915">
            <v>64703</v>
          </cell>
        </row>
        <row r="916">
          <cell r="A916">
            <v>64704</v>
          </cell>
        </row>
        <row r="917">
          <cell r="A917">
            <v>64749</v>
          </cell>
        </row>
        <row r="918">
          <cell r="A918">
            <v>64761</v>
          </cell>
        </row>
        <row r="919">
          <cell r="A919">
            <v>64771</v>
          </cell>
        </row>
        <row r="920">
          <cell r="A920">
            <v>64811</v>
          </cell>
        </row>
        <row r="921">
          <cell r="A921">
            <v>64900</v>
          </cell>
        </row>
        <row r="922">
          <cell r="A922">
            <v>64935</v>
          </cell>
        </row>
        <row r="923">
          <cell r="A923">
            <v>64956</v>
          </cell>
        </row>
        <row r="924">
          <cell r="A924">
            <v>64969</v>
          </cell>
        </row>
        <row r="925">
          <cell r="A925">
            <v>65009</v>
          </cell>
        </row>
        <row r="926">
          <cell r="A926">
            <v>65016</v>
          </cell>
        </row>
        <row r="927">
          <cell r="A927">
            <v>65060</v>
          </cell>
        </row>
        <row r="928">
          <cell r="A928">
            <v>65061</v>
          </cell>
        </row>
        <row r="929">
          <cell r="A929">
            <v>65106</v>
          </cell>
        </row>
        <row r="930">
          <cell r="A930">
            <v>65126</v>
          </cell>
        </row>
        <row r="931">
          <cell r="A931">
            <v>65136</v>
          </cell>
        </row>
        <row r="932">
          <cell r="A932">
            <v>65168</v>
          </cell>
        </row>
        <row r="933">
          <cell r="A933">
            <v>65265</v>
          </cell>
        </row>
        <row r="934">
          <cell r="A934">
            <v>65300</v>
          </cell>
        </row>
        <row r="935">
          <cell r="A935">
            <v>65321</v>
          </cell>
        </row>
        <row r="936">
          <cell r="A936">
            <v>65334</v>
          </cell>
        </row>
        <row r="937">
          <cell r="A937">
            <v>65374</v>
          </cell>
        </row>
      </sheetData>
    </sheetDataSet>
  </externalBook>
</externalLink>
</file>

<file path=xl/persons/person.xml><?xml version="1.0" encoding="utf-8"?>
<personList xmlns="http://schemas.microsoft.com/office/spreadsheetml/2018/threadedcomments" xmlns:x="http://schemas.openxmlformats.org/spreadsheetml/2006/main">
  <person displayName="Eduardo Amaral" id="{87CF4EBF-8BA3-426F-AB5B-EF77EC28B643}" userId="1bfa2ac83e16c31e" providerId="Windows Live"/>
</personList>
</file>

<file path=xl/theme/theme1.xml><?xml version="1.0" encoding="utf-8"?>
<a:theme xmlns:a="http://schemas.openxmlformats.org/drawingml/2006/main" name="Tema do 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B2" dT="2022-02-06T18:42:12.31" personId="{87CF4EBF-8BA3-426F-AB5B-EF77EC28B643}" id="{FA56785D-205B-4D39-B027-61859D280B54}">
    <text>BCB SGS
Series: 24363 and 24364</text>
  </threadedComment>
</ThreadedComments>
</file>

<file path=xl/threadedComments/threadedComment2.xml><?xml version="1.0" encoding="utf-8"?>
<ThreadedComments xmlns="http://schemas.microsoft.com/office/spreadsheetml/2018/threadedcomments" xmlns:x="http://schemas.openxmlformats.org/spreadsheetml/2006/main">
  <threadedComment ref="B2" dT="2022-02-06T17:50:44.66" personId="{87CF4EBF-8BA3-426F-AB5B-EF77EC28B643}" id="{3F115306-7DD6-48E4-B0BB-33872E30CB27}">
    <text>IBGE
Tabela 3653
1 Indústria geral
Índice de base fixa sem ajuste sazonal (Base: média de 2012 = 100) (Número-índice): 1 de 1 casas decimais
Índice de base fixa com ajuste sazonal (Base: média de 2012 = 100) (Número-índice): 1 de 1 casas decimais</text>
  </threadedComment>
</ThreadedComments>
</file>

<file path=xl/threadedComments/threadedComment3.xml><?xml version="1.0" encoding="utf-8"?>
<ThreadedComments xmlns="http://schemas.microsoft.com/office/spreadsheetml/2018/threadedcomments" xmlns:x="http://schemas.openxmlformats.org/spreadsheetml/2006/main">
  <threadedComment ref="B3" dT="2022-02-06T18:47:00.51" personId="{87CF4EBF-8BA3-426F-AB5B-EF77EC28B643}" id="{4B8A4EB9-4371-491D-A0EA-A6C05E3F22FD}">
    <text>BCB SGS
Households gross disposable national income (deflated by IPCA, 3-months moving average)
Series: 29025 and 29027</text>
  </threadedComment>
</ThreadedComments>
</file>

<file path=xl/threadedComments/threadedComment4.xml><?xml version="1.0" encoding="utf-8"?>
<ThreadedComments xmlns="http://schemas.microsoft.com/office/spreadsheetml/2018/threadedcomments" xmlns:x="http://schemas.openxmlformats.org/spreadsheetml/2006/main">
  <threadedComment ref="B3" dT="2022-02-06T17:50:44.66" personId="{87CF4EBF-8BA3-426F-AB5B-EF77EC28B643}" id="{5A637A8F-F58B-47E1-9333-A1B3621D8C6D}">
    <text>IBGE
Tabela 3653
1 Indústria geral
Índice de base fixa sem ajuste sazonal (Base: média de 2012 = 100) (Número-índice): 1 de 1 casas decimais
Índice de base fixa com ajuste sazonal (Base: média de 2012 = 100) (Número-índice): 1 de 1 casas decimais</text>
  </threadedComment>
  <threadedComment ref="E3" dT="2022-02-06T17:50:44.66" personId="{87CF4EBF-8BA3-426F-AB5B-EF77EC28B643}" id="{D7E3E67A-65C8-42BD-BAB5-21199E873FEB}">
    <text>IBGE
Tabela 3653
1 Indústria geral
Índice de base fixa sem ajuste sazonal (Base: média de 2012 = 100) (Número-índice): 1 de 1 casas decimais
Índice de base fixa com ajuste sazonal (Base: média de 2012 = 100) (Número-índice): 1 de 1 casas decimais</text>
  </threadedComment>
</ThreadedComments>
</file>

<file path=xl/threadedComments/threadedComment5.xml><?xml version="1.0" encoding="utf-8"?>
<ThreadedComments xmlns="http://schemas.microsoft.com/office/spreadsheetml/2018/threadedcomments" xmlns:x="http://schemas.openxmlformats.org/spreadsheetml/2006/main">
  <threadedComment ref="B2" dT="2022-02-06T17:50:44.66" personId="{87CF4EBF-8BA3-426F-AB5B-EF77EC28B643}" id="{F5883DCC-5E18-4F34-AA09-DF1FE23DD35B}">
    <text>IBGE
Tabela 3653
1 Indústria geral
Índice de base fixa sem ajuste sazonal (Base: média de 2012 = 100) (Número-índice): 1 de 1 casas decimais
Índice de base fixa com ajuste sazonal (Base: média de 2012 = 100) (Número-índice): 1 de 1 casas decimais</text>
  </threadedComment>
</ThreadedComments>
</file>

<file path=xl/worksheets/_rels/sheet1.xml.rels><?xml version="1.0" encoding="UTF-8" standalone="yes"?>
<Relationships xmlns="http://schemas.openxmlformats.org/package/2006/relationships"><Relationship Id="rId3" Type="http://schemas.openxmlformats.org/officeDocument/2006/relationships/hyperlink" Target="https://support.microsoft.com/en-us/office/enable-or-disable-macros-in-office-files-12b036fd-d140-4e74-b45e-16fed1a7e5c6" TargetMode="External"/><Relationship Id="rId7" Type="http://schemas.openxmlformats.org/officeDocument/2006/relationships/drawing" Target="../drawings/drawing1.xml"/><Relationship Id="rId2" Type="http://schemas.openxmlformats.org/officeDocument/2006/relationships/hyperlink" Target="https://support.microsoft.com/en-us/topic/show-the-developer-tab-e1192344-5e56-4d45-931b-e5fd9bea2d45" TargetMode="External"/><Relationship Id="rId1" Type="http://schemas.openxmlformats.org/officeDocument/2006/relationships/hyperlink" Target="https://github.com/edugca/xlDESSAZ" TargetMode="External"/><Relationship Id="rId6" Type="http://schemas.openxmlformats.org/officeDocument/2006/relationships/printerSettings" Target="../printerSettings/printerSettings1.bin"/><Relationship Id="rId5" Type="http://schemas.openxmlformats.org/officeDocument/2006/relationships/hyperlink" Target="https://www2.census.gov/software/x-13arima-seats/x13as/unix-linux/documentation/docx13as.pdf" TargetMode="External"/><Relationship Id="rId4" Type="http://schemas.openxmlformats.org/officeDocument/2006/relationships/hyperlink" Target="https://www.census.gov/data/software/x13as.html" TargetMode="Externa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5.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4.xml"/><Relationship Id="rId4" Type="http://schemas.microsoft.com/office/2017/10/relationships/threadedComment" Target="../threadedComments/threadedComment1.xml"/></Relationships>
</file>

<file path=xl/worksheets/_rels/sheet6.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drawing" Target="../drawings/drawing5.xml"/><Relationship Id="rId4" Type="http://schemas.microsoft.com/office/2017/10/relationships/threadedComment" Target="../threadedComments/threadedComment2.xml"/></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8.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drawing" Target="../drawings/drawing7.xml"/><Relationship Id="rId4" Type="http://schemas.microsoft.com/office/2017/10/relationships/threadedComment" Target="../threadedComments/threadedComment3.xml"/></Relationships>
</file>

<file path=xl/worksheets/_rels/sheet9.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drawing" Target="../drawings/drawing8.xml"/><Relationship Id="rId4" Type="http://schemas.microsoft.com/office/2017/10/relationships/threadedComment" Target="../threadedComments/threadedComment4.xml"/></Relationships>
</file>

<file path=xl/worksheets/_rels/sheet10.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drawing" Target="../drawings/drawing9.xml"/><Relationship Id="rId4" Type="http://schemas.microsoft.com/office/2017/10/relationships/threadedComment" Target="../threadedComments/threadedComment5.xml"/></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32B315F-5F82-4B06-9BA3-63B8D50785F7}">
  <sheetPr codeName="Planilha9">
    <tabColor theme="9" tint="0.39997558519241921"/>
  </sheetPr>
  <dimension ref="B2:T76"/>
  <sheetViews>
    <sheetView showGridLines="0" tabSelected="1" workbookViewId="0">
      <selection activeCell="K9" sqref="K9"/>
    </sheetView>
  </sheetViews>
  <sheetFormatPr defaultRowHeight="12.75" x14ac:dyDescent="0.2"/>
  <cols>
    <col min="1" max="1" width="2.7109375" style="29" customWidth="1"/>
    <col min="2" max="2" width="9.140625" style="29" customWidth="1"/>
    <col min="3" max="3" width="19.28515625" style="29" customWidth="1"/>
    <col min="4" max="10" width="9.140625" style="29"/>
    <col min="11" max="17" width="13.7109375" style="29" customWidth="1"/>
    <col min="18" max="16384" width="9.140625" style="29"/>
  </cols>
  <sheetData>
    <row r="2" spans="2:20" ht="18" x14ac:dyDescent="0.25">
      <c r="B2" s="27" t="s">
        <v>94</v>
      </c>
      <c r="C2" s="28"/>
      <c r="D2" s="28"/>
      <c r="E2" s="28"/>
      <c r="F2" s="28"/>
      <c r="G2" s="28"/>
      <c r="H2" s="28"/>
      <c r="I2" s="28"/>
      <c r="J2" s="28"/>
      <c r="K2" s="28"/>
      <c r="L2" s="28"/>
      <c r="M2" s="28"/>
      <c r="N2" s="28"/>
      <c r="O2" s="28"/>
      <c r="P2" s="28"/>
      <c r="Q2" s="28"/>
      <c r="R2" s="28"/>
      <c r="S2" s="28"/>
      <c r="T2" s="28"/>
    </row>
    <row r="4" spans="2:20" ht="14.25" x14ac:dyDescent="0.2">
      <c r="B4" s="30" t="s">
        <v>90</v>
      </c>
    </row>
    <row r="5" spans="2:20" ht="15" x14ac:dyDescent="0.25">
      <c r="B5" s="30" t="s">
        <v>32</v>
      </c>
    </row>
    <row r="6" spans="2:20" ht="14.25" x14ac:dyDescent="0.2">
      <c r="B6" s="30" t="s">
        <v>33</v>
      </c>
    </row>
    <row r="8" spans="2:20" x14ac:dyDescent="0.2">
      <c r="B8" s="31" t="s">
        <v>34</v>
      </c>
    </row>
    <row r="9" spans="2:20" x14ac:dyDescent="0.2">
      <c r="B9" s="31"/>
    </row>
    <row r="10" spans="2:20" ht="15" x14ac:dyDescent="0.25">
      <c r="B10" s="32" t="s">
        <v>35</v>
      </c>
    </row>
    <row r="11" spans="2:20" ht="15" x14ac:dyDescent="0.25">
      <c r="B11" s="33" t="s">
        <v>47</v>
      </c>
    </row>
    <row r="12" spans="2:20" x14ac:dyDescent="0.2">
      <c r="B12" s="31"/>
    </row>
    <row r="13" spans="2:20" ht="15" x14ac:dyDescent="0.25">
      <c r="B13" s="32" t="s">
        <v>36</v>
      </c>
    </row>
    <row r="14" spans="2:20" ht="15" x14ac:dyDescent="0.25">
      <c r="B14" s="32" t="s">
        <v>48</v>
      </c>
    </row>
    <row r="15" spans="2:20" ht="15" x14ac:dyDescent="0.25">
      <c r="B15" s="32"/>
      <c r="C15" s="34" t="s">
        <v>42</v>
      </c>
    </row>
    <row r="16" spans="2:20" ht="15" x14ac:dyDescent="0.25">
      <c r="B16" s="32" t="s">
        <v>51</v>
      </c>
    </row>
    <row r="17" spans="2:4" ht="15" x14ac:dyDescent="0.25">
      <c r="B17" s="33" t="s">
        <v>50</v>
      </c>
      <c r="C17" s="31"/>
      <c r="D17" s="33"/>
    </row>
    <row r="18" spans="2:4" ht="15" x14ac:dyDescent="0.25">
      <c r="B18" s="33"/>
      <c r="C18" s="31"/>
      <c r="D18" s="33"/>
    </row>
    <row r="19" spans="2:4" ht="15" x14ac:dyDescent="0.25">
      <c r="B19" s="32" t="s">
        <v>54</v>
      </c>
      <c r="C19" s="31"/>
      <c r="D19" s="33"/>
    </row>
    <row r="20" spans="2:4" ht="15" x14ac:dyDescent="0.25">
      <c r="B20" s="33" t="s">
        <v>53</v>
      </c>
      <c r="C20" s="31"/>
      <c r="D20" s="33"/>
    </row>
    <row r="21" spans="2:4" ht="15" x14ac:dyDescent="0.25">
      <c r="B21" s="33"/>
      <c r="C21" s="31"/>
      <c r="D21" s="33"/>
    </row>
    <row r="22" spans="2:4" ht="15" x14ac:dyDescent="0.25">
      <c r="B22" s="32" t="s">
        <v>37</v>
      </c>
    </row>
    <row r="23" spans="2:4" ht="15" x14ac:dyDescent="0.25">
      <c r="B23" s="32" t="s">
        <v>49</v>
      </c>
    </row>
    <row r="24" spans="2:4" ht="15" x14ac:dyDescent="0.25">
      <c r="B24" s="33"/>
    </row>
    <row r="25" spans="2:4" ht="14.25" x14ac:dyDescent="0.2">
      <c r="C25" s="30" t="s">
        <v>38</v>
      </c>
    </row>
    <row r="26" spans="2:4" ht="10.5" customHeight="1" x14ac:dyDescent="0.2">
      <c r="C26" s="30"/>
    </row>
    <row r="27" spans="2:4" ht="15" customHeight="1" x14ac:dyDescent="0.25">
      <c r="C27" s="33" t="s">
        <v>39</v>
      </c>
    </row>
    <row r="28" spans="2:4" ht="15" customHeight="1" x14ac:dyDescent="0.25">
      <c r="C28" s="33" t="s">
        <v>40</v>
      </c>
    </row>
    <row r="29" spans="2:4" ht="15" x14ac:dyDescent="0.25">
      <c r="C29" s="30"/>
      <c r="D29" s="33"/>
    </row>
    <row r="30" spans="2:4" ht="14.25" x14ac:dyDescent="0.2">
      <c r="C30" s="30" t="s">
        <v>41</v>
      </c>
    </row>
    <row r="31" spans="2:4" ht="112.5" customHeight="1" x14ac:dyDescent="0.25">
      <c r="C31" s="33"/>
    </row>
    <row r="32" spans="2:4" ht="15" x14ac:dyDescent="0.25">
      <c r="B32" s="33"/>
    </row>
    <row r="33" spans="2:14" ht="14.25" x14ac:dyDescent="0.2">
      <c r="C33" s="30" t="s">
        <v>79</v>
      </c>
    </row>
    <row r="34" spans="2:14" ht="235.5" customHeight="1" x14ac:dyDescent="0.25">
      <c r="C34" s="33"/>
    </row>
    <row r="35" spans="2:14" ht="15" x14ac:dyDescent="0.25">
      <c r="B35" s="33"/>
    </row>
    <row r="36" spans="2:14" ht="105.75" customHeight="1" x14ac:dyDescent="0.2">
      <c r="C36" s="70" t="s">
        <v>92</v>
      </c>
      <c r="D36" s="70"/>
      <c r="E36" s="70"/>
      <c r="F36" s="70"/>
      <c r="G36" s="70"/>
      <c r="H36" s="70"/>
      <c r="I36" s="70"/>
      <c r="J36" s="70"/>
      <c r="K36" s="70"/>
      <c r="L36" s="70"/>
      <c r="M36" s="70"/>
      <c r="N36" s="70"/>
    </row>
    <row r="37" spans="2:14" ht="164.25" customHeight="1" x14ac:dyDescent="0.25">
      <c r="C37" s="33"/>
    </row>
    <row r="38" spans="2:14" ht="15" x14ac:dyDescent="0.25">
      <c r="B38" s="33"/>
    </row>
    <row r="39" spans="2:14" ht="15" x14ac:dyDescent="0.25">
      <c r="B39" s="32" t="s">
        <v>93</v>
      </c>
    </row>
    <row r="40" spans="2:14" ht="15" x14ac:dyDescent="0.25">
      <c r="C40" s="31"/>
      <c r="D40" s="33"/>
    </row>
    <row r="41" spans="2:14" ht="15" x14ac:dyDescent="0.25">
      <c r="B41" s="32" t="s">
        <v>52</v>
      </c>
    </row>
    <row r="43" spans="2:14" ht="15" x14ac:dyDescent="0.25">
      <c r="B43" s="32" t="s">
        <v>55</v>
      </c>
    </row>
    <row r="44" spans="2:14" ht="14.25" x14ac:dyDescent="0.2">
      <c r="C44" s="30" t="s">
        <v>56</v>
      </c>
    </row>
    <row r="45" spans="2:14" ht="14.25" x14ac:dyDescent="0.2">
      <c r="C45" s="30" t="s">
        <v>78</v>
      </c>
    </row>
    <row r="47" spans="2:14" ht="15" x14ac:dyDescent="0.25">
      <c r="B47" s="32" t="s">
        <v>57</v>
      </c>
    </row>
    <row r="49" spans="2:17" x14ac:dyDescent="0.2">
      <c r="C49" s="31" t="s">
        <v>43</v>
      </c>
      <c r="D49" s="31"/>
      <c r="E49" s="31"/>
      <c r="F49" s="31"/>
      <c r="G49" s="31"/>
      <c r="H49" s="35" t="s">
        <v>44</v>
      </c>
      <c r="I49" s="35"/>
      <c r="J49" s="36"/>
      <c r="K49" s="36"/>
      <c r="L49" s="36"/>
      <c r="M49" s="36"/>
      <c r="N49" s="36"/>
    </row>
    <row r="50" spans="2:17" x14ac:dyDescent="0.2">
      <c r="B50" s="31">
        <v>1</v>
      </c>
      <c r="C50" s="37" t="s">
        <v>18</v>
      </c>
      <c r="D50" s="38"/>
      <c r="E50" s="38"/>
      <c r="F50" s="53"/>
      <c r="G50" s="38"/>
      <c r="H50" s="29" t="s">
        <v>60</v>
      </c>
    </row>
    <row r="51" spans="2:17" x14ac:dyDescent="0.2">
      <c r="B51" s="31">
        <v>2</v>
      </c>
      <c r="C51" s="57" t="s">
        <v>106</v>
      </c>
      <c r="D51" s="58"/>
      <c r="E51" s="58"/>
      <c r="F51" s="59"/>
      <c r="G51" s="58"/>
      <c r="H51" s="60" t="s">
        <v>109</v>
      </c>
      <c r="I51" s="60"/>
      <c r="J51" s="60"/>
      <c r="K51" s="60"/>
      <c r="L51" s="60"/>
      <c r="M51" s="60"/>
      <c r="N51" s="60"/>
    </row>
    <row r="52" spans="2:17" x14ac:dyDescent="0.2">
      <c r="B52" s="31">
        <v>3</v>
      </c>
      <c r="C52" s="61" t="s">
        <v>58</v>
      </c>
      <c r="D52" s="62"/>
      <c r="E52" s="62"/>
      <c r="F52" s="63"/>
      <c r="G52" s="62"/>
      <c r="H52" s="62" t="s">
        <v>59</v>
      </c>
      <c r="I52" s="62"/>
      <c r="J52" s="62"/>
      <c r="K52" s="62"/>
      <c r="L52" s="62"/>
      <c r="M52" s="62"/>
      <c r="N52" s="62"/>
    </row>
    <row r="54" spans="2:17" x14ac:dyDescent="0.2">
      <c r="C54" s="31" t="s">
        <v>107</v>
      </c>
    </row>
    <row r="55" spans="2:17" x14ac:dyDescent="0.2">
      <c r="C55" s="31" t="s">
        <v>108</v>
      </c>
      <c r="D55" s="31"/>
      <c r="E55" s="31"/>
      <c r="F55" s="31" t="s">
        <v>72</v>
      </c>
      <c r="G55" s="31"/>
      <c r="H55" s="35" t="s">
        <v>44</v>
      </c>
      <c r="I55" s="35"/>
      <c r="J55" s="40"/>
      <c r="K55" s="40"/>
    </row>
    <row r="56" spans="2:17" x14ac:dyDescent="0.2">
      <c r="B56" s="31">
        <v>1</v>
      </c>
      <c r="C56" s="41" t="s">
        <v>62</v>
      </c>
      <c r="D56" s="42"/>
      <c r="E56" s="42"/>
      <c r="F56" s="50" t="s">
        <v>73</v>
      </c>
      <c r="G56" s="42"/>
      <c r="H56" s="43" t="s">
        <v>69</v>
      </c>
      <c r="I56" s="43"/>
      <c r="J56" s="42"/>
      <c r="K56" s="42"/>
      <c r="L56" s="42"/>
      <c r="M56" s="42"/>
      <c r="N56" s="42"/>
    </row>
    <row r="57" spans="2:17" x14ac:dyDescent="0.2">
      <c r="B57" s="31">
        <v>2</v>
      </c>
      <c r="C57" s="47" t="s">
        <v>63</v>
      </c>
      <c r="D57" s="48"/>
      <c r="E57" s="48"/>
      <c r="F57" s="51" t="s">
        <v>73</v>
      </c>
      <c r="G57" s="48"/>
      <c r="H57" s="48" t="s">
        <v>123</v>
      </c>
      <c r="I57" s="48"/>
      <c r="J57" s="48"/>
      <c r="K57" s="48"/>
      <c r="L57" s="48"/>
      <c r="M57" s="48"/>
      <c r="N57" s="48"/>
    </row>
    <row r="58" spans="2:17" ht="67.5" customHeight="1" x14ac:dyDescent="0.2">
      <c r="B58" s="31">
        <v>3</v>
      </c>
      <c r="C58" s="44" t="s">
        <v>64</v>
      </c>
      <c r="D58" s="43"/>
      <c r="E58" s="43"/>
      <c r="F58" s="49" t="s">
        <v>74</v>
      </c>
      <c r="G58" s="43"/>
      <c r="H58" s="68" t="s">
        <v>129</v>
      </c>
      <c r="I58" s="69"/>
      <c r="J58" s="69"/>
      <c r="K58" s="69"/>
      <c r="L58" s="69"/>
      <c r="M58" s="69"/>
      <c r="N58" s="69"/>
    </row>
    <row r="59" spans="2:17" ht="38.25" x14ac:dyDescent="0.2">
      <c r="B59" s="31">
        <v>4</v>
      </c>
      <c r="C59" s="47" t="s">
        <v>65</v>
      </c>
      <c r="D59" s="48"/>
      <c r="E59" s="48"/>
      <c r="F59" s="51" t="s">
        <v>75</v>
      </c>
      <c r="G59" s="48"/>
      <c r="H59" s="48" t="s">
        <v>124</v>
      </c>
      <c r="I59" s="48"/>
      <c r="J59" s="48"/>
      <c r="K59" s="48"/>
      <c r="L59" s="48"/>
      <c r="M59" s="48"/>
      <c r="N59" s="48"/>
    </row>
    <row r="60" spans="2:17" x14ac:dyDescent="0.2">
      <c r="B60" s="31">
        <v>5</v>
      </c>
      <c r="C60" s="44" t="s">
        <v>66</v>
      </c>
      <c r="D60" s="43"/>
      <c r="E60" s="43"/>
      <c r="F60" s="49" t="s">
        <v>76</v>
      </c>
      <c r="G60" s="43"/>
      <c r="H60" s="43" t="s">
        <v>71</v>
      </c>
      <c r="I60" s="43"/>
      <c r="J60" s="43"/>
      <c r="K60" s="43"/>
      <c r="L60" s="43"/>
      <c r="M60" s="43"/>
      <c r="N60" s="43"/>
    </row>
    <row r="61" spans="2:17" x14ac:dyDescent="0.2">
      <c r="B61" s="31">
        <v>6</v>
      </c>
      <c r="C61" s="47" t="s">
        <v>67</v>
      </c>
      <c r="D61" s="48"/>
      <c r="E61" s="48"/>
      <c r="F61" s="51" t="s">
        <v>76</v>
      </c>
      <c r="G61" s="48"/>
      <c r="H61" s="48" t="s">
        <v>70</v>
      </c>
      <c r="I61" s="48"/>
      <c r="J61" s="48"/>
      <c r="K61" s="48"/>
      <c r="L61" s="48"/>
      <c r="M61" s="48"/>
      <c r="N61" s="48"/>
    </row>
    <row r="62" spans="2:17" x14ac:dyDescent="0.2">
      <c r="B62" s="31">
        <v>7</v>
      </c>
      <c r="C62" s="45" t="s">
        <v>68</v>
      </c>
      <c r="D62" s="46"/>
      <c r="E62" s="46"/>
      <c r="F62" s="52" t="s">
        <v>76</v>
      </c>
      <c r="G62" s="46"/>
      <c r="H62" s="46" t="s">
        <v>77</v>
      </c>
      <c r="I62" s="46"/>
      <c r="J62" s="46"/>
      <c r="K62" s="46"/>
      <c r="L62" s="46"/>
      <c r="M62" s="46"/>
      <c r="N62" s="46"/>
    </row>
    <row r="63" spans="2:17" x14ac:dyDescent="0.2">
      <c r="K63" s="39"/>
      <c r="L63" s="39"/>
      <c r="M63" s="39"/>
      <c r="N63" s="39"/>
      <c r="O63" s="39"/>
      <c r="P63" s="39"/>
      <c r="Q63" s="39"/>
    </row>
    <row r="65" spans="2:2" ht="15" x14ac:dyDescent="0.25">
      <c r="B65" s="32" t="s">
        <v>45</v>
      </c>
    </row>
    <row r="67" spans="2:2" x14ac:dyDescent="0.2">
      <c r="B67" s="29" t="s">
        <v>61</v>
      </c>
    </row>
    <row r="68" spans="2:2" x14ac:dyDescent="0.2">
      <c r="B68" s="29" t="s">
        <v>46</v>
      </c>
    </row>
    <row r="70" spans="2:2" x14ac:dyDescent="0.2">
      <c r="B70" s="29" t="s">
        <v>89</v>
      </c>
    </row>
    <row r="71" spans="2:2" x14ac:dyDescent="0.2">
      <c r="B71" s="29" t="s">
        <v>91</v>
      </c>
    </row>
    <row r="73" spans="2:2" x14ac:dyDescent="0.2">
      <c r="B73" s="29" t="s">
        <v>142</v>
      </c>
    </row>
    <row r="74" spans="2:2" x14ac:dyDescent="0.2">
      <c r="B74" s="29" t="s">
        <v>122</v>
      </c>
    </row>
    <row r="75" spans="2:2" x14ac:dyDescent="0.2">
      <c r="B75" s="29" t="s">
        <v>141</v>
      </c>
    </row>
    <row r="76" spans="2:2" x14ac:dyDescent="0.2">
      <c r="B76" s="29" t="s">
        <v>110</v>
      </c>
    </row>
  </sheetData>
  <mergeCells count="2">
    <mergeCell ref="H58:N58"/>
    <mergeCell ref="C36:N36"/>
  </mergeCells>
  <hyperlinks>
    <hyperlink ref="B11" r:id="rId1" xr:uid="{70CDA504-75BF-465F-9362-CD38F2BED890}"/>
    <hyperlink ref="C28" r:id="rId2" xr:uid="{36E91AFA-A3E6-4346-843B-3D93B091C81B}"/>
    <hyperlink ref="C27" r:id="rId3" xr:uid="{210F3CCE-30AD-4D9B-95BE-37EEA9486829}"/>
    <hyperlink ref="B17" r:id="rId4" xr:uid="{4B5E4EBA-1022-456F-9F46-305E0110960E}"/>
    <hyperlink ref="B20" r:id="rId5" xr:uid="{5743A459-1DA5-4474-B250-025E064CC593}"/>
  </hyperlinks>
  <pageMargins left="0.511811024" right="0.511811024" top="0.78740157499999996" bottom="0.78740157499999996" header="0.31496062000000002" footer="0.31496062000000002"/>
  <pageSetup paperSize="9" orientation="portrait" r:id="rId6"/>
  <drawing r:id="rId7"/>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4BE2805-375C-44B2-B736-647C5554F119}">
  <sheetPr codeName="Planilha10"/>
  <dimension ref="A2:Q226"/>
  <sheetViews>
    <sheetView showGridLines="0" zoomScale="145" zoomScaleNormal="145" workbookViewId="0">
      <selection activeCell="C6" sqref="C6"/>
    </sheetView>
  </sheetViews>
  <sheetFormatPr defaultRowHeight="15" x14ac:dyDescent="0.25"/>
  <cols>
    <col min="1" max="1" width="2.7109375" customWidth="1"/>
    <col min="2" max="2" width="37.7109375" bestFit="1" customWidth="1"/>
    <col min="3" max="3" width="18.140625" customWidth="1"/>
  </cols>
  <sheetData>
    <row r="2" spans="1:17" ht="23.25" x14ac:dyDescent="0.35">
      <c r="B2" s="5" t="s">
        <v>11</v>
      </c>
    </row>
    <row r="4" spans="1:17" x14ac:dyDescent="0.25">
      <c r="B4" s="12" t="s">
        <v>104</v>
      </c>
      <c r="C4" s="56" t="str" cm="1">
        <f t="array" ref="C4">xlDESSAZ_X13_SetUp()</f>
        <v># Both the X13 executable and the temporary folder are OK!</v>
      </c>
      <c r="D4" s="56"/>
      <c r="E4" s="56"/>
      <c r="F4" s="56"/>
      <c r="G4" s="56"/>
    </row>
    <row r="5" spans="1:17" ht="15" customHeight="1" x14ac:dyDescent="0.25">
      <c r="B5" s="12" t="s">
        <v>105</v>
      </c>
      <c r="C5" s="55" t="s">
        <v>103</v>
      </c>
      <c r="D5" s="4"/>
      <c r="E5" s="4"/>
      <c r="F5" s="4"/>
    </row>
    <row r="7" spans="1:17" x14ac:dyDescent="0.25">
      <c r="A7" s="6"/>
      <c r="B7" s="7"/>
      <c r="C7" s="7"/>
    </row>
    <row r="8" spans="1:17" x14ac:dyDescent="0.25">
      <c r="A8" s="6"/>
      <c r="B8" s="7"/>
      <c r="C8" s="7"/>
    </row>
    <row r="9" spans="1:17" x14ac:dyDescent="0.25">
      <c r="A9" s="6"/>
      <c r="B9" s="7"/>
      <c r="C9" s="7"/>
    </row>
    <row r="10" spans="1:17" x14ac:dyDescent="0.25">
      <c r="A10" s="6"/>
      <c r="B10" s="7"/>
      <c r="C10" s="7"/>
    </row>
    <row r="11" spans="1:17" x14ac:dyDescent="0.25">
      <c r="A11" s="6"/>
      <c r="B11" s="7"/>
      <c r="C11" s="7"/>
    </row>
    <row r="12" spans="1:17" x14ac:dyDescent="0.25">
      <c r="A12" s="6"/>
      <c r="B12" s="7"/>
      <c r="C12" s="7"/>
    </row>
    <row r="13" spans="1:17" x14ac:dyDescent="0.25">
      <c r="A13" s="6"/>
      <c r="B13" s="7"/>
      <c r="C13" s="7"/>
    </row>
    <row r="14" spans="1:17" x14ac:dyDescent="0.25">
      <c r="A14" s="6"/>
      <c r="B14" s="7"/>
      <c r="C14" s="7"/>
      <c r="Q14" s="54" t="s">
        <v>42</v>
      </c>
    </row>
    <row r="15" spans="1:17" x14ac:dyDescent="0.25">
      <c r="A15" s="6"/>
      <c r="B15" s="7"/>
      <c r="C15" s="7"/>
    </row>
    <row r="16" spans="1:17" x14ac:dyDescent="0.25">
      <c r="A16" s="6"/>
      <c r="B16" s="7"/>
      <c r="C16" s="7"/>
    </row>
    <row r="17" spans="1:3" x14ac:dyDescent="0.25">
      <c r="A17" s="6"/>
      <c r="B17" s="7"/>
      <c r="C17" s="7"/>
    </row>
    <row r="18" spans="1:3" x14ac:dyDescent="0.25">
      <c r="A18" s="6"/>
      <c r="B18" s="7"/>
      <c r="C18" s="7"/>
    </row>
    <row r="19" spans="1:3" x14ac:dyDescent="0.25">
      <c r="A19" s="6"/>
      <c r="B19" s="7"/>
      <c r="C19" s="7"/>
    </row>
    <row r="20" spans="1:3" x14ac:dyDescent="0.25">
      <c r="A20" s="6"/>
      <c r="B20" s="7"/>
      <c r="C20" s="7"/>
    </row>
    <row r="21" spans="1:3" x14ac:dyDescent="0.25">
      <c r="A21" s="6"/>
      <c r="B21" s="7"/>
      <c r="C21" s="7"/>
    </row>
    <row r="22" spans="1:3" x14ac:dyDescent="0.25">
      <c r="A22" s="6"/>
      <c r="B22" s="7"/>
      <c r="C22" s="7"/>
    </row>
    <row r="23" spans="1:3" x14ac:dyDescent="0.25">
      <c r="A23" s="6"/>
      <c r="B23" s="7"/>
      <c r="C23" s="7"/>
    </row>
    <row r="24" spans="1:3" x14ac:dyDescent="0.25">
      <c r="A24" s="6"/>
      <c r="B24" s="7"/>
      <c r="C24" s="7"/>
    </row>
    <row r="25" spans="1:3" x14ac:dyDescent="0.25">
      <c r="A25" s="6"/>
      <c r="B25" s="7"/>
      <c r="C25" s="7"/>
    </row>
    <row r="26" spans="1:3" x14ac:dyDescent="0.25">
      <c r="A26" s="6"/>
      <c r="B26" s="7"/>
      <c r="C26" s="7"/>
    </row>
    <row r="27" spans="1:3" x14ac:dyDescent="0.25">
      <c r="A27" s="6"/>
      <c r="B27" s="7"/>
      <c r="C27" s="7"/>
    </row>
    <row r="28" spans="1:3" x14ac:dyDescent="0.25">
      <c r="A28" s="6"/>
      <c r="B28" s="7"/>
      <c r="C28" s="7"/>
    </row>
    <row r="29" spans="1:3" x14ac:dyDescent="0.25">
      <c r="A29" s="6"/>
      <c r="B29" s="7"/>
      <c r="C29" s="7"/>
    </row>
    <row r="30" spans="1:3" x14ac:dyDescent="0.25">
      <c r="A30" s="6"/>
      <c r="B30" s="7"/>
      <c r="C30" s="7"/>
    </row>
    <row r="31" spans="1:3" x14ac:dyDescent="0.25">
      <c r="A31" s="6"/>
      <c r="B31" s="7"/>
      <c r="C31" s="7"/>
    </row>
    <row r="32" spans="1:3" x14ac:dyDescent="0.25">
      <c r="A32" s="6"/>
      <c r="B32" s="7"/>
      <c r="C32" s="7"/>
    </row>
    <row r="33" spans="1:3" x14ac:dyDescent="0.25">
      <c r="A33" s="6"/>
      <c r="B33" s="7"/>
      <c r="C33" s="7"/>
    </row>
    <row r="34" spans="1:3" x14ac:dyDescent="0.25">
      <c r="A34" s="6"/>
      <c r="B34" s="7"/>
      <c r="C34" s="7"/>
    </row>
    <row r="35" spans="1:3" x14ac:dyDescent="0.25">
      <c r="A35" s="6"/>
      <c r="B35" s="7"/>
      <c r="C35" s="7"/>
    </row>
    <row r="36" spans="1:3" x14ac:dyDescent="0.25">
      <c r="A36" s="6"/>
      <c r="B36" s="7"/>
      <c r="C36" s="7"/>
    </row>
    <row r="37" spans="1:3" x14ac:dyDescent="0.25">
      <c r="A37" s="6"/>
      <c r="B37" s="7"/>
      <c r="C37" s="7"/>
    </row>
    <row r="38" spans="1:3" x14ac:dyDescent="0.25">
      <c r="A38" s="6"/>
      <c r="B38" s="7"/>
      <c r="C38" s="7"/>
    </row>
    <row r="39" spans="1:3" x14ac:dyDescent="0.25">
      <c r="A39" s="6"/>
      <c r="B39" s="7"/>
      <c r="C39" s="7"/>
    </row>
    <row r="40" spans="1:3" x14ac:dyDescent="0.25">
      <c r="A40" s="6"/>
      <c r="B40" s="7"/>
      <c r="C40" s="7"/>
    </row>
    <row r="41" spans="1:3" x14ac:dyDescent="0.25">
      <c r="A41" s="6"/>
      <c r="B41" s="7"/>
      <c r="C41" s="7"/>
    </row>
    <row r="42" spans="1:3" x14ac:dyDescent="0.25">
      <c r="A42" s="6"/>
      <c r="B42" s="7"/>
      <c r="C42" s="7"/>
    </row>
    <row r="43" spans="1:3" x14ac:dyDescent="0.25">
      <c r="A43" s="6"/>
      <c r="B43" s="7"/>
      <c r="C43" s="7"/>
    </row>
    <row r="44" spans="1:3" x14ac:dyDescent="0.25">
      <c r="A44" s="6"/>
      <c r="B44" s="7"/>
      <c r="C44" s="7"/>
    </row>
    <row r="45" spans="1:3" x14ac:dyDescent="0.25">
      <c r="A45" s="6"/>
      <c r="B45" s="7"/>
      <c r="C45" s="7"/>
    </row>
    <row r="46" spans="1:3" x14ac:dyDescent="0.25">
      <c r="A46" s="6"/>
      <c r="B46" s="7"/>
      <c r="C46" s="7"/>
    </row>
    <row r="47" spans="1:3" x14ac:dyDescent="0.25">
      <c r="A47" s="6"/>
      <c r="B47" s="7"/>
      <c r="C47" s="7"/>
    </row>
    <row r="48" spans="1:3" x14ac:dyDescent="0.25">
      <c r="A48" s="6"/>
      <c r="B48" s="7"/>
      <c r="C48" s="7"/>
    </row>
    <row r="49" spans="1:3" x14ac:dyDescent="0.25">
      <c r="A49" s="6"/>
      <c r="B49" s="7"/>
      <c r="C49" s="7"/>
    </row>
    <row r="50" spans="1:3" x14ac:dyDescent="0.25">
      <c r="A50" s="6"/>
      <c r="B50" s="7"/>
      <c r="C50" s="7"/>
    </row>
    <row r="51" spans="1:3" x14ac:dyDescent="0.25">
      <c r="A51" s="6"/>
      <c r="B51" s="7"/>
      <c r="C51" s="7"/>
    </row>
    <row r="52" spans="1:3" x14ac:dyDescent="0.25">
      <c r="A52" s="6"/>
      <c r="B52" s="7"/>
      <c r="C52" s="7"/>
    </row>
    <row r="53" spans="1:3" x14ac:dyDescent="0.25">
      <c r="A53" s="6"/>
      <c r="B53" s="7"/>
      <c r="C53" s="7"/>
    </row>
    <row r="54" spans="1:3" x14ac:dyDescent="0.25">
      <c r="A54" s="6"/>
      <c r="B54" s="7"/>
      <c r="C54" s="7"/>
    </row>
    <row r="55" spans="1:3" x14ac:dyDescent="0.25">
      <c r="A55" s="6"/>
      <c r="B55" s="7"/>
      <c r="C55" s="7"/>
    </row>
    <row r="56" spans="1:3" x14ac:dyDescent="0.25">
      <c r="A56" s="6"/>
      <c r="B56" s="7"/>
      <c r="C56" s="7"/>
    </row>
    <row r="57" spans="1:3" x14ac:dyDescent="0.25">
      <c r="A57" s="6"/>
      <c r="B57" s="7"/>
      <c r="C57" s="7"/>
    </row>
    <row r="58" spans="1:3" x14ac:dyDescent="0.25">
      <c r="A58" s="6"/>
      <c r="B58" s="7"/>
      <c r="C58" s="7"/>
    </row>
    <row r="59" spans="1:3" x14ac:dyDescent="0.25">
      <c r="A59" s="6"/>
      <c r="B59" s="7"/>
      <c r="C59" s="7"/>
    </row>
    <row r="60" spans="1:3" x14ac:dyDescent="0.25">
      <c r="A60" s="6"/>
      <c r="B60" s="7"/>
      <c r="C60" s="7"/>
    </row>
    <row r="61" spans="1:3" x14ac:dyDescent="0.25">
      <c r="A61" s="6"/>
      <c r="B61" s="7"/>
      <c r="C61" s="7"/>
    </row>
    <row r="62" spans="1:3" x14ac:dyDescent="0.25">
      <c r="A62" s="6"/>
      <c r="B62" s="7"/>
      <c r="C62" s="7"/>
    </row>
    <row r="63" spans="1:3" x14ac:dyDescent="0.25">
      <c r="A63" s="6"/>
      <c r="B63" s="7"/>
      <c r="C63" s="7"/>
    </row>
    <row r="64" spans="1:3" x14ac:dyDescent="0.25">
      <c r="A64" s="6"/>
      <c r="B64" s="7"/>
      <c r="C64" s="7"/>
    </row>
    <row r="65" spans="1:3" x14ac:dyDescent="0.25">
      <c r="A65" s="6"/>
      <c r="B65" s="7"/>
      <c r="C65" s="7"/>
    </row>
    <row r="66" spans="1:3" x14ac:dyDescent="0.25">
      <c r="A66" s="6"/>
      <c r="B66" s="7"/>
      <c r="C66" s="7"/>
    </row>
    <row r="67" spans="1:3" x14ac:dyDescent="0.25">
      <c r="A67" s="6"/>
      <c r="B67" s="7"/>
      <c r="C67" s="7"/>
    </row>
    <row r="68" spans="1:3" x14ac:dyDescent="0.25">
      <c r="A68" s="6"/>
      <c r="B68" s="7"/>
      <c r="C68" s="7"/>
    </row>
    <row r="69" spans="1:3" x14ac:dyDescent="0.25">
      <c r="A69" s="6"/>
      <c r="B69" s="7"/>
      <c r="C69" s="7"/>
    </row>
    <row r="70" spans="1:3" x14ac:dyDescent="0.25">
      <c r="A70" s="6"/>
      <c r="B70" s="7"/>
      <c r="C70" s="7"/>
    </row>
    <row r="71" spans="1:3" x14ac:dyDescent="0.25">
      <c r="A71" s="6"/>
      <c r="B71" s="7"/>
      <c r="C71" s="7"/>
    </row>
    <row r="72" spans="1:3" x14ac:dyDescent="0.25">
      <c r="A72" s="6"/>
      <c r="B72" s="7"/>
      <c r="C72" s="7"/>
    </row>
    <row r="73" spans="1:3" x14ac:dyDescent="0.25">
      <c r="A73" s="6"/>
      <c r="B73" s="7"/>
      <c r="C73" s="7"/>
    </row>
    <row r="74" spans="1:3" x14ac:dyDescent="0.25">
      <c r="A74" s="6"/>
      <c r="B74" s="7"/>
      <c r="C74" s="7"/>
    </row>
    <row r="75" spans="1:3" x14ac:dyDescent="0.25">
      <c r="A75" s="6"/>
      <c r="B75" s="7"/>
      <c r="C75" s="7"/>
    </row>
    <row r="76" spans="1:3" x14ac:dyDescent="0.25">
      <c r="A76" s="6"/>
      <c r="B76" s="7"/>
      <c r="C76" s="7"/>
    </row>
    <row r="77" spans="1:3" x14ac:dyDescent="0.25">
      <c r="A77" s="6"/>
      <c r="B77" s="7"/>
      <c r="C77" s="7"/>
    </row>
    <row r="78" spans="1:3" x14ac:dyDescent="0.25">
      <c r="A78" s="6"/>
      <c r="B78" s="7"/>
      <c r="C78" s="7"/>
    </row>
    <row r="79" spans="1:3" x14ac:dyDescent="0.25">
      <c r="A79" s="6"/>
      <c r="B79" s="7"/>
      <c r="C79" s="7"/>
    </row>
    <row r="80" spans="1:3" x14ac:dyDescent="0.25">
      <c r="A80" s="6"/>
      <c r="B80" s="7"/>
      <c r="C80" s="7"/>
    </row>
    <row r="81" spans="1:3" x14ac:dyDescent="0.25">
      <c r="A81" s="6"/>
      <c r="B81" s="7"/>
      <c r="C81" s="7"/>
    </row>
    <row r="82" spans="1:3" x14ac:dyDescent="0.25">
      <c r="A82" s="6"/>
      <c r="B82" s="7"/>
      <c r="C82" s="7"/>
    </row>
    <row r="83" spans="1:3" x14ac:dyDescent="0.25">
      <c r="A83" s="6"/>
      <c r="B83" s="7"/>
      <c r="C83" s="7"/>
    </row>
    <row r="84" spans="1:3" x14ac:dyDescent="0.25">
      <c r="A84" s="6"/>
      <c r="B84" s="7"/>
      <c r="C84" s="7"/>
    </row>
    <row r="85" spans="1:3" x14ac:dyDescent="0.25">
      <c r="A85" s="6"/>
      <c r="B85" s="7"/>
      <c r="C85" s="7"/>
    </row>
    <row r="86" spans="1:3" x14ac:dyDescent="0.25">
      <c r="A86" s="6"/>
      <c r="B86" s="7"/>
      <c r="C86" s="7"/>
    </row>
    <row r="87" spans="1:3" x14ac:dyDescent="0.25">
      <c r="A87" s="6"/>
      <c r="B87" s="7"/>
      <c r="C87" s="7"/>
    </row>
    <row r="88" spans="1:3" x14ac:dyDescent="0.25">
      <c r="A88" s="6"/>
      <c r="B88" s="7"/>
      <c r="C88" s="7"/>
    </row>
    <row r="89" spans="1:3" x14ac:dyDescent="0.25">
      <c r="A89" s="6"/>
      <c r="B89" s="7"/>
      <c r="C89" s="7"/>
    </row>
    <row r="90" spans="1:3" x14ac:dyDescent="0.25">
      <c r="A90" s="6"/>
      <c r="B90" s="7"/>
      <c r="C90" s="7"/>
    </row>
    <row r="91" spans="1:3" x14ac:dyDescent="0.25">
      <c r="A91" s="6"/>
      <c r="B91" s="7"/>
      <c r="C91" s="7"/>
    </row>
    <row r="92" spans="1:3" x14ac:dyDescent="0.25">
      <c r="A92" s="6"/>
      <c r="B92" s="7"/>
      <c r="C92" s="7"/>
    </row>
    <row r="93" spans="1:3" x14ac:dyDescent="0.25">
      <c r="A93" s="6"/>
      <c r="B93" s="7"/>
      <c r="C93" s="7"/>
    </row>
    <row r="94" spans="1:3" x14ac:dyDescent="0.25">
      <c r="A94" s="6"/>
      <c r="B94" s="7"/>
      <c r="C94" s="7"/>
    </row>
    <row r="95" spans="1:3" x14ac:dyDescent="0.25">
      <c r="A95" s="6"/>
      <c r="B95" s="7"/>
      <c r="C95" s="7"/>
    </row>
    <row r="96" spans="1:3" x14ac:dyDescent="0.25">
      <c r="A96" s="6"/>
      <c r="B96" s="7"/>
      <c r="C96" s="7"/>
    </row>
    <row r="97" spans="1:3" x14ac:dyDescent="0.25">
      <c r="A97" s="6"/>
      <c r="B97" s="7"/>
      <c r="C97" s="7"/>
    </row>
    <row r="98" spans="1:3" x14ac:dyDescent="0.25">
      <c r="A98" s="6"/>
      <c r="B98" s="7"/>
      <c r="C98" s="7"/>
    </row>
    <row r="99" spans="1:3" x14ac:dyDescent="0.25">
      <c r="A99" s="6"/>
      <c r="B99" s="7"/>
      <c r="C99" s="7"/>
    </row>
    <row r="100" spans="1:3" x14ac:dyDescent="0.25">
      <c r="A100" s="6"/>
      <c r="B100" s="7"/>
      <c r="C100" s="7"/>
    </row>
    <row r="101" spans="1:3" x14ac:dyDescent="0.25">
      <c r="A101" s="6"/>
      <c r="B101" s="7"/>
      <c r="C101" s="7"/>
    </row>
    <row r="102" spans="1:3" x14ac:dyDescent="0.25">
      <c r="A102" s="6"/>
      <c r="B102" s="7"/>
      <c r="C102" s="7"/>
    </row>
    <row r="103" spans="1:3" x14ac:dyDescent="0.25">
      <c r="A103" s="6"/>
      <c r="B103" s="7"/>
      <c r="C103" s="7"/>
    </row>
    <row r="104" spans="1:3" x14ac:dyDescent="0.25">
      <c r="A104" s="6"/>
      <c r="B104" s="7"/>
      <c r="C104" s="7"/>
    </row>
    <row r="105" spans="1:3" x14ac:dyDescent="0.25">
      <c r="A105" s="6"/>
      <c r="B105" s="7"/>
      <c r="C105" s="7"/>
    </row>
    <row r="106" spans="1:3" x14ac:dyDescent="0.25">
      <c r="A106" s="6"/>
      <c r="B106" s="7"/>
      <c r="C106" s="7"/>
    </row>
    <row r="107" spans="1:3" x14ac:dyDescent="0.25">
      <c r="A107" s="6"/>
      <c r="B107" s="7"/>
      <c r="C107" s="7"/>
    </row>
    <row r="108" spans="1:3" x14ac:dyDescent="0.25">
      <c r="A108" s="6"/>
      <c r="B108" s="7"/>
      <c r="C108" s="7"/>
    </row>
    <row r="109" spans="1:3" x14ac:dyDescent="0.25">
      <c r="A109" s="6"/>
      <c r="B109" s="7"/>
      <c r="C109" s="7"/>
    </row>
    <row r="110" spans="1:3" x14ac:dyDescent="0.25">
      <c r="A110" s="6"/>
      <c r="B110" s="7"/>
      <c r="C110" s="7"/>
    </row>
    <row r="111" spans="1:3" x14ac:dyDescent="0.25">
      <c r="A111" s="6"/>
      <c r="B111" s="7"/>
      <c r="C111" s="7"/>
    </row>
    <row r="112" spans="1:3" x14ac:dyDescent="0.25">
      <c r="A112" s="6"/>
      <c r="B112" s="7"/>
      <c r="C112" s="7"/>
    </row>
    <row r="113" spans="1:3" x14ac:dyDescent="0.25">
      <c r="A113" s="6"/>
      <c r="B113" s="7"/>
      <c r="C113" s="7"/>
    </row>
    <row r="114" spans="1:3" x14ac:dyDescent="0.25">
      <c r="A114" s="6"/>
      <c r="B114" s="7"/>
      <c r="C114" s="7"/>
    </row>
    <row r="115" spans="1:3" x14ac:dyDescent="0.25">
      <c r="A115" s="6"/>
      <c r="B115" s="7"/>
      <c r="C115" s="7"/>
    </row>
    <row r="116" spans="1:3" x14ac:dyDescent="0.25">
      <c r="A116" s="6"/>
      <c r="B116" s="7"/>
      <c r="C116" s="7"/>
    </row>
    <row r="117" spans="1:3" x14ac:dyDescent="0.25">
      <c r="A117" s="6"/>
      <c r="B117" s="7"/>
      <c r="C117" s="7"/>
    </row>
    <row r="118" spans="1:3" x14ac:dyDescent="0.25">
      <c r="A118" s="6"/>
      <c r="B118" s="7"/>
      <c r="C118" s="7"/>
    </row>
    <row r="119" spans="1:3" x14ac:dyDescent="0.25">
      <c r="A119" s="6"/>
      <c r="B119" s="7"/>
      <c r="C119" s="7"/>
    </row>
    <row r="120" spans="1:3" x14ac:dyDescent="0.25">
      <c r="A120" s="6"/>
      <c r="B120" s="7"/>
      <c r="C120" s="7"/>
    </row>
    <row r="121" spans="1:3" x14ac:dyDescent="0.25">
      <c r="A121" s="6"/>
      <c r="B121" s="7"/>
      <c r="C121" s="7"/>
    </row>
    <row r="122" spans="1:3" x14ac:dyDescent="0.25">
      <c r="A122" s="6"/>
      <c r="B122" s="7"/>
      <c r="C122" s="7"/>
    </row>
    <row r="123" spans="1:3" x14ac:dyDescent="0.25">
      <c r="A123" s="6"/>
      <c r="B123" s="7"/>
      <c r="C123" s="7"/>
    </row>
    <row r="124" spans="1:3" x14ac:dyDescent="0.25">
      <c r="A124" s="6"/>
      <c r="B124" s="7"/>
      <c r="C124" s="7"/>
    </row>
    <row r="125" spans="1:3" x14ac:dyDescent="0.25">
      <c r="A125" s="6"/>
      <c r="B125" s="7"/>
      <c r="C125" s="7"/>
    </row>
    <row r="126" spans="1:3" x14ac:dyDescent="0.25">
      <c r="A126" s="6"/>
      <c r="B126" s="7"/>
      <c r="C126" s="7"/>
    </row>
    <row r="127" spans="1:3" x14ac:dyDescent="0.25">
      <c r="A127" s="6"/>
      <c r="B127" s="7"/>
      <c r="C127" s="7"/>
    </row>
    <row r="128" spans="1:3" x14ac:dyDescent="0.25">
      <c r="A128" s="6"/>
      <c r="B128" s="7"/>
      <c r="C128" s="7"/>
    </row>
    <row r="129" spans="1:3" x14ac:dyDescent="0.25">
      <c r="A129" s="6"/>
      <c r="B129" s="7"/>
      <c r="C129" s="7"/>
    </row>
    <row r="130" spans="1:3" x14ac:dyDescent="0.25">
      <c r="A130" s="6"/>
      <c r="B130" s="7"/>
      <c r="C130" s="7"/>
    </row>
    <row r="131" spans="1:3" x14ac:dyDescent="0.25">
      <c r="A131" s="6"/>
      <c r="B131" s="7"/>
      <c r="C131" s="7"/>
    </row>
    <row r="132" spans="1:3" x14ac:dyDescent="0.25">
      <c r="A132" s="6"/>
      <c r="B132" s="7"/>
      <c r="C132" s="7"/>
    </row>
    <row r="133" spans="1:3" x14ac:dyDescent="0.25">
      <c r="A133" s="6"/>
      <c r="B133" s="7"/>
      <c r="C133" s="7"/>
    </row>
    <row r="134" spans="1:3" x14ac:dyDescent="0.25">
      <c r="A134" s="6"/>
      <c r="B134" s="7"/>
      <c r="C134" s="7"/>
    </row>
    <row r="135" spans="1:3" x14ac:dyDescent="0.25">
      <c r="A135" s="6"/>
      <c r="B135" s="7"/>
      <c r="C135" s="7"/>
    </row>
    <row r="136" spans="1:3" x14ac:dyDescent="0.25">
      <c r="A136" s="6"/>
      <c r="B136" s="7"/>
      <c r="C136" s="7"/>
    </row>
    <row r="137" spans="1:3" x14ac:dyDescent="0.25">
      <c r="A137" s="6"/>
      <c r="B137" s="7"/>
      <c r="C137" s="7"/>
    </row>
    <row r="138" spans="1:3" x14ac:dyDescent="0.25">
      <c r="A138" s="6"/>
      <c r="B138" s="7"/>
      <c r="C138" s="7"/>
    </row>
    <row r="139" spans="1:3" x14ac:dyDescent="0.25">
      <c r="A139" s="6"/>
      <c r="B139" s="7"/>
      <c r="C139" s="7"/>
    </row>
    <row r="140" spans="1:3" x14ac:dyDescent="0.25">
      <c r="A140" s="6"/>
      <c r="B140" s="7"/>
      <c r="C140" s="7"/>
    </row>
    <row r="141" spans="1:3" x14ac:dyDescent="0.25">
      <c r="A141" s="6"/>
      <c r="B141" s="7"/>
      <c r="C141" s="7"/>
    </row>
    <row r="142" spans="1:3" x14ac:dyDescent="0.25">
      <c r="A142" s="6"/>
      <c r="B142" s="7"/>
      <c r="C142" s="7"/>
    </row>
    <row r="143" spans="1:3" x14ac:dyDescent="0.25">
      <c r="A143" s="6"/>
      <c r="B143" s="7"/>
      <c r="C143" s="7"/>
    </row>
    <row r="144" spans="1:3" x14ac:dyDescent="0.25">
      <c r="A144" s="6"/>
      <c r="B144" s="7"/>
      <c r="C144" s="7"/>
    </row>
    <row r="145" spans="1:3" x14ac:dyDescent="0.25">
      <c r="A145" s="6"/>
      <c r="B145" s="7"/>
      <c r="C145" s="7"/>
    </row>
    <row r="146" spans="1:3" x14ac:dyDescent="0.25">
      <c r="A146" s="6"/>
      <c r="B146" s="7"/>
      <c r="C146" s="7"/>
    </row>
    <row r="147" spans="1:3" x14ac:dyDescent="0.25">
      <c r="A147" s="6"/>
      <c r="B147" s="7"/>
      <c r="C147" s="7"/>
    </row>
    <row r="148" spans="1:3" x14ac:dyDescent="0.25">
      <c r="A148" s="6"/>
      <c r="B148" s="7"/>
      <c r="C148" s="7"/>
    </row>
    <row r="149" spans="1:3" x14ac:dyDescent="0.25">
      <c r="A149" s="6"/>
      <c r="B149" s="7"/>
      <c r="C149" s="7"/>
    </row>
    <row r="150" spans="1:3" x14ac:dyDescent="0.25">
      <c r="A150" s="6"/>
      <c r="B150" s="7"/>
      <c r="C150" s="7"/>
    </row>
    <row r="151" spans="1:3" x14ac:dyDescent="0.25">
      <c r="A151" s="6"/>
      <c r="B151" s="7"/>
      <c r="C151" s="7"/>
    </row>
    <row r="152" spans="1:3" x14ac:dyDescent="0.25">
      <c r="A152" s="6"/>
      <c r="B152" s="7"/>
      <c r="C152" s="7"/>
    </row>
    <row r="153" spans="1:3" x14ac:dyDescent="0.25">
      <c r="A153" s="6"/>
      <c r="B153" s="7"/>
      <c r="C153" s="7"/>
    </row>
    <row r="154" spans="1:3" x14ac:dyDescent="0.25">
      <c r="A154" s="6"/>
      <c r="B154" s="7"/>
      <c r="C154" s="7"/>
    </row>
    <row r="155" spans="1:3" x14ac:dyDescent="0.25">
      <c r="A155" s="6"/>
      <c r="B155" s="7"/>
      <c r="C155" s="7"/>
    </row>
    <row r="156" spans="1:3" x14ac:dyDescent="0.25">
      <c r="A156" s="6"/>
      <c r="B156" s="7"/>
      <c r="C156" s="7"/>
    </row>
    <row r="157" spans="1:3" x14ac:dyDescent="0.25">
      <c r="A157" s="6"/>
      <c r="B157" s="7"/>
      <c r="C157" s="7"/>
    </row>
    <row r="158" spans="1:3" x14ac:dyDescent="0.25">
      <c r="A158" s="6"/>
      <c r="B158" s="7"/>
      <c r="C158" s="7"/>
    </row>
    <row r="159" spans="1:3" x14ac:dyDescent="0.25">
      <c r="A159" s="6"/>
      <c r="B159" s="7"/>
      <c r="C159" s="7"/>
    </row>
    <row r="160" spans="1:3" x14ac:dyDescent="0.25">
      <c r="A160" s="6"/>
      <c r="B160" s="7"/>
      <c r="C160" s="7"/>
    </row>
    <row r="161" spans="1:3" x14ac:dyDescent="0.25">
      <c r="A161" s="6"/>
      <c r="B161" s="7"/>
      <c r="C161" s="7"/>
    </row>
    <row r="162" spans="1:3" x14ac:dyDescent="0.25">
      <c r="A162" s="6"/>
      <c r="B162" s="7"/>
      <c r="C162" s="7"/>
    </row>
    <row r="163" spans="1:3" x14ac:dyDescent="0.25">
      <c r="A163" s="6"/>
      <c r="B163" s="7"/>
      <c r="C163" s="7"/>
    </row>
    <row r="164" spans="1:3" x14ac:dyDescent="0.25">
      <c r="A164" s="6"/>
      <c r="B164" s="7"/>
      <c r="C164" s="7"/>
    </row>
    <row r="165" spans="1:3" x14ac:dyDescent="0.25">
      <c r="A165" s="6"/>
      <c r="B165" s="7"/>
      <c r="C165" s="7"/>
    </row>
    <row r="166" spans="1:3" x14ac:dyDescent="0.25">
      <c r="A166" s="6"/>
      <c r="B166" s="7"/>
      <c r="C166" s="7"/>
    </row>
    <row r="167" spans="1:3" x14ac:dyDescent="0.25">
      <c r="A167" s="6"/>
      <c r="B167" s="7"/>
      <c r="C167" s="7"/>
    </row>
    <row r="168" spans="1:3" x14ac:dyDescent="0.25">
      <c r="A168" s="6"/>
      <c r="B168" s="7"/>
      <c r="C168" s="7"/>
    </row>
    <row r="169" spans="1:3" x14ac:dyDescent="0.25">
      <c r="A169" s="6"/>
      <c r="B169" s="7"/>
      <c r="C169" s="7"/>
    </row>
    <row r="170" spans="1:3" x14ac:dyDescent="0.25">
      <c r="A170" s="6"/>
      <c r="B170" s="7"/>
      <c r="C170" s="7"/>
    </row>
    <row r="171" spans="1:3" x14ac:dyDescent="0.25">
      <c r="A171" s="6"/>
      <c r="B171" s="7"/>
      <c r="C171" s="7"/>
    </row>
    <row r="172" spans="1:3" x14ac:dyDescent="0.25">
      <c r="A172" s="6"/>
      <c r="B172" s="7"/>
      <c r="C172" s="7"/>
    </row>
    <row r="173" spans="1:3" x14ac:dyDescent="0.25">
      <c r="A173" s="6"/>
      <c r="B173" s="7"/>
      <c r="C173" s="7"/>
    </row>
    <row r="174" spans="1:3" x14ac:dyDescent="0.25">
      <c r="A174" s="6"/>
      <c r="B174" s="7"/>
      <c r="C174" s="7"/>
    </row>
    <row r="175" spans="1:3" x14ac:dyDescent="0.25">
      <c r="A175" s="6"/>
      <c r="B175" s="7"/>
      <c r="C175" s="7"/>
    </row>
    <row r="176" spans="1:3" x14ac:dyDescent="0.25">
      <c r="A176" s="6"/>
      <c r="B176" s="7"/>
      <c r="C176" s="7"/>
    </row>
    <row r="177" spans="1:3" x14ac:dyDescent="0.25">
      <c r="A177" s="6"/>
      <c r="B177" s="7"/>
      <c r="C177" s="7"/>
    </row>
    <row r="178" spans="1:3" x14ac:dyDescent="0.25">
      <c r="A178" s="6"/>
      <c r="B178" s="7"/>
      <c r="C178" s="7"/>
    </row>
    <row r="179" spans="1:3" x14ac:dyDescent="0.25">
      <c r="A179" s="6"/>
      <c r="B179" s="7"/>
      <c r="C179" s="7"/>
    </row>
    <row r="180" spans="1:3" x14ac:dyDescent="0.25">
      <c r="A180" s="6"/>
      <c r="B180" s="7"/>
      <c r="C180" s="7"/>
    </row>
    <row r="181" spans="1:3" x14ac:dyDescent="0.25">
      <c r="A181" s="6"/>
      <c r="B181" s="7"/>
      <c r="C181" s="7"/>
    </row>
    <row r="182" spans="1:3" x14ac:dyDescent="0.25">
      <c r="A182" s="6"/>
      <c r="B182" s="7"/>
      <c r="C182" s="7"/>
    </row>
    <row r="183" spans="1:3" x14ac:dyDescent="0.25">
      <c r="A183" s="6"/>
      <c r="B183" s="7"/>
      <c r="C183" s="7"/>
    </row>
    <row r="184" spans="1:3" x14ac:dyDescent="0.25">
      <c r="A184" s="6"/>
      <c r="B184" s="7"/>
      <c r="C184" s="7"/>
    </row>
    <row r="185" spans="1:3" x14ac:dyDescent="0.25">
      <c r="A185" s="6"/>
      <c r="B185" s="7"/>
      <c r="C185" s="7"/>
    </row>
    <row r="186" spans="1:3" x14ac:dyDescent="0.25">
      <c r="A186" s="6"/>
      <c r="B186" s="7"/>
      <c r="C186" s="7"/>
    </row>
    <row r="187" spans="1:3" x14ac:dyDescent="0.25">
      <c r="A187" s="6"/>
      <c r="B187" s="7"/>
      <c r="C187" s="7"/>
    </row>
    <row r="188" spans="1:3" x14ac:dyDescent="0.25">
      <c r="A188" s="6"/>
      <c r="B188" s="7"/>
      <c r="C188" s="7"/>
    </row>
    <row r="189" spans="1:3" x14ac:dyDescent="0.25">
      <c r="A189" s="6"/>
      <c r="B189" s="7"/>
      <c r="C189" s="7"/>
    </row>
    <row r="190" spans="1:3" x14ac:dyDescent="0.25">
      <c r="A190" s="6"/>
      <c r="B190" s="7"/>
      <c r="C190" s="7"/>
    </row>
    <row r="191" spans="1:3" x14ac:dyDescent="0.25">
      <c r="A191" s="6"/>
      <c r="B191" s="7"/>
      <c r="C191" s="7"/>
    </row>
    <row r="192" spans="1:3" x14ac:dyDescent="0.25">
      <c r="A192" s="6"/>
      <c r="B192" s="7"/>
      <c r="C192" s="7"/>
    </row>
    <row r="193" spans="1:3" x14ac:dyDescent="0.25">
      <c r="A193" s="6"/>
      <c r="B193" s="7"/>
      <c r="C193" s="7"/>
    </row>
    <row r="194" spans="1:3" x14ac:dyDescent="0.25">
      <c r="A194" s="6"/>
      <c r="B194" s="7"/>
      <c r="C194" s="7"/>
    </row>
    <row r="195" spans="1:3" x14ac:dyDescent="0.25">
      <c r="A195" s="6"/>
      <c r="B195" s="7"/>
      <c r="C195" s="7"/>
    </row>
    <row r="196" spans="1:3" x14ac:dyDescent="0.25">
      <c r="A196" s="6"/>
      <c r="B196" s="7"/>
      <c r="C196" s="7"/>
    </row>
    <row r="197" spans="1:3" x14ac:dyDescent="0.25">
      <c r="A197" s="6"/>
      <c r="B197" s="7"/>
      <c r="C197" s="7"/>
    </row>
    <row r="198" spans="1:3" x14ac:dyDescent="0.25">
      <c r="A198" s="6"/>
      <c r="B198" s="7"/>
      <c r="C198" s="7"/>
    </row>
    <row r="199" spans="1:3" x14ac:dyDescent="0.25">
      <c r="A199" s="6"/>
      <c r="B199" s="7"/>
      <c r="C199" s="7"/>
    </row>
    <row r="200" spans="1:3" x14ac:dyDescent="0.25">
      <c r="A200" s="6"/>
      <c r="B200" s="7"/>
      <c r="C200" s="7"/>
    </row>
    <row r="201" spans="1:3" x14ac:dyDescent="0.25">
      <c r="A201" s="6"/>
      <c r="B201" s="7"/>
      <c r="C201" s="7"/>
    </row>
    <row r="202" spans="1:3" x14ac:dyDescent="0.25">
      <c r="A202" s="6"/>
      <c r="B202" s="7"/>
      <c r="C202" s="7"/>
    </row>
    <row r="203" spans="1:3" x14ac:dyDescent="0.25">
      <c r="A203" s="6"/>
      <c r="B203" s="7"/>
      <c r="C203" s="7"/>
    </row>
    <row r="204" spans="1:3" x14ac:dyDescent="0.25">
      <c r="A204" s="6"/>
      <c r="B204" s="7"/>
      <c r="C204" s="7"/>
    </row>
    <row r="205" spans="1:3" x14ac:dyDescent="0.25">
      <c r="A205" s="6"/>
      <c r="B205" s="7"/>
      <c r="C205" s="7"/>
    </row>
    <row r="206" spans="1:3" x14ac:dyDescent="0.25">
      <c r="A206" s="6"/>
      <c r="B206" s="7"/>
      <c r="C206" s="7"/>
    </row>
    <row r="207" spans="1:3" x14ac:dyDescent="0.25">
      <c r="A207" s="6"/>
      <c r="B207" s="7"/>
      <c r="C207" s="7"/>
    </row>
    <row r="208" spans="1:3" x14ac:dyDescent="0.25">
      <c r="A208" s="6"/>
      <c r="B208" s="7"/>
      <c r="C208" s="7"/>
    </row>
    <row r="209" spans="1:3" x14ac:dyDescent="0.25">
      <c r="A209" s="6"/>
      <c r="B209" s="7"/>
      <c r="C209" s="7"/>
    </row>
    <row r="210" spans="1:3" x14ac:dyDescent="0.25">
      <c r="A210" s="6"/>
      <c r="B210" s="7"/>
      <c r="C210" s="7"/>
    </row>
    <row r="211" spans="1:3" x14ac:dyDescent="0.25">
      <c r="A211" s="6"/>
      <c r="B211" s="7"/>
      <c r="C211" s="7"/>
    </row>
    <row r="212" spans="1:3" x14ac:dyDescent="0.25">
      <c r="A212" s="6"/>
      <c r="B212" s="7"/>
      <c r="C212" s="7"/>
    </row>
    <row r="213" spans="1:3" x14ac:dyDescent="0.25">
      <c r="A213" s="6"/>
      <c r="B213" s="7"/>
      <c r="C213" s="7"/>
    </row>
    <row r="214" spans="1:3" x14ac:dyDescent="0.25">
      <c r="A214" s="6"/>
      <c r="B214" s="7"/>
      <c r="C214" s="7"/>
    </row>
    <row r="215" spans="1:3" x14ac:dyDescent="0.25">
      <c r="A215" s="6"/>
      <c r="B215" s="7"/>
      <c r="C215" s="7"/>
    </row>
    <row r="216" spans="1:3" x14ac:dyDescent="0.25">
      <c r="A216" s="6"/>
      <c r="B216" s="7"/>
      <c r="C216" s="7"/>
    </row>
    <row r="217" spans="1:3" x14ac:dyDescent="0.25">
      <c r="A217" s="6"/>
      <c r="B217" s="7"/>
      <c r="C217" s="7"/>
    </row>
    <row r="218" spans="1:3" x14ac:dyDescent="0.25">
      <c r="A218" s="6"/>
      <c r="B218" s="7"/>
      <c r="C218" s="7"/>
    </row>
    <row r="219" spans="1:3" x14ac:dyDescent="0.25">
      <c r="A219" s="6"/>
      <c r="B219" s="7"/>
      <c r="C219" s="7"/>
    </row>
    <row r="220" spans="1:3" x14ac:dyDescent="0.25">
      <c r="A220" s="6"/>
      <c r="B220" s="7"/>
      <c r="C220" s="7"/>
    </row>
    <row r="221" spans="1:3" x14ac:dyDescent="0.25">
      <c r="A221" s="6"/>
      <c r="B221" s="7"/>
      <c r="C221" s="7"/>
    </row>
    <row r="222" spans="1:3" x14ac:dyDescent="0.25">
      <c r="A222" s="6"/>
      <c r="B222" s="7"/>
      <c r="C222" s="7"/>
    </row>
    <row r="223" spans="1:3" x14ac:dyDescent="0.25">
      <c r="A223" s="6"/>
      <c r="B223" s="7"/>
      <c r="C223" s="7"/>
    </row>
    <row r="224" spans="1:3" x14ac:dyDescent="0.25">
      <c r="A224" s="6"/>
      <c r="B224" s="7"/>
      <c r="C224" s="7"/>
    </row>
    <row r="225" spans="1:3" x14ac:dyDescent="0.25">
      <c r="A225" s="6"/>
      <c r="B225" s="7"/>
      <c r="C225" s="7"/>
    </row>
    <row r="226" spans="1:3" x14ac:dyDescent="0.25">
      <c r="A226" s="6"/>
      <c r="B226" s="7"/>
      <c r="C226" s="7"/>
    </row>
  </sheetData>
  <pageMargins left="0.511811024" right="0.511811024" top="0.78740157499999996" bottom="0.78740157499999996" header="0.31496062000000002" footer="0.31496062000000002"/>
  <pageSetup paperSize="9" orientation="portrait" horizontalDpi="300" verticalDpi="300"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A4243E0-916B-45D5-85DE-C23793D71DA6}">
  <sheetPr codeName="Planilha3"/>
  <dimension ref="A2:L226"/>
  <sheetViews>
    <sheetView showGridLines="0" zoomScale="85" zoomScaleNormal="85" workbookViewId="0">
      <pane ySplit="6" topLeftCell="A7" activePane="bottomLeft" state="frozen"/>
      <selection activeCell="N3" sqref="N3"/>
      <selection pane="bottomLeft" activeCell="R4" sqref="R4"/>
    </sheetView>
  </sheetViews>
  <sheetFormatPr defaultRowHeight="15" x14ac:dyDescent="0.25"/>
  <cols>
    <col min="2" max="3" width="18.140625" customWidth="1"/>
    <col min="4" max="4" width="13.28515625" customWidth="1"/>
    <col min="5" max="5" width="10.5703125" bestFit="1" customWidth="1"/>
    <col min="6" max="6" width="13.7109375" customWidth="1"/>
    <col min="7" max="7" width="18" customWidth="1"/>
    <col min="8" max="8" width="15.42578125" customWidth="1"/>
    <col min="9" max="9" width="9" customWidth="1"/>
    <col min="10" max="10" width="5.85546875" bestFit="1" customWidth="1"/>
    <col min="11" max="11" width="7.5703125" customWidth="1"/>
    <col min="12" max="13" width="9.140625" customWidth="1"/>
    <col min="14" max="14" width="10" customWidth="1"/>
  </cols>
  <sheetData>
    <row r="2" spans="1:12" ht="23.25" x14ac:dyDescent="0.35">
      <c r="B2" s="5" t="s">
        <v>11</v>
      </c>
    </row>
    <row r="3" spans="1:12" x14ac:dyDescent="0.25">
      <c r="F3" t="s">
        <v>12</v>
      </c>
      <c r="G3" s="24" t="s">
        <v>83</v>
      </c>
      <c r="H3" s="24"/>
      <c r="I3" s="24"/>
      <c r="J3" s="24"/>
      <c r="K3" s="24"/>
      <c r="L3" s="24"/>
    </row>
    <row r="4" spans="1:12" ht="90" x14ac:dyDescent="0.25">
      <c r="A4" t="s">
        <v>10</v>
      </c>
      <c r="B4" s="4" t="s">
        <v>4</v>
      </c>
      <c r="C4" s="4" t="s">
        <v>5</v>
      </c>
      <c r="D4" s="4"/>
      <c r="E4" s="4"/>
      <c r="F4" s="4"/>
      <c r="G4" s="4"/>
      <c r="H4" s="4"/>
      <c r="I4" s="4"/>
    </row>
    <row r="5" spans="1:12" x14ac:dyDescent="0.25">
      <c r="B5" s="4"/>
      <c r="C5" s="4"/>
      <c r="D5" s="71" t="s">
        <v>23</v>
      </c>
      <c r="E5" s="71"/>
      <c r="F5" s="71"/>
      <c r="G5" s="72" t="s">
        <v>22</v>
      </c>
      <c r="H5" s="72"/>
      <c r="I5" s="4"/>
      <c r="J5" s="73" t="s">
        <v>20</v>
      </c>
      <c r="K5" s="73"/>
    </row>
    <row r="6" spans="1:12" ht="30" x14ac:dyDescent="0.25">
      <c r="A6" s="15" t="s">
        <v>9</v>
      </c>
      <c r="B6" s="16" t="s">
        <v>13</v>
      </c>
      <c r="C6" s="16" t="s">
        <v>14</v>
      </c>
      <c r="D6" s="16" t="s">
        <v>15</v>
      </c>
      <c r="E6" s="16" t="s">
        <v>15</v>
      </c>
      <c r="F6" s="16" t="s">
        <v>15</v>
      </c>
      <c r="G6" s="16" t="s">
        <v>84</v>
      </c>
      <c r="H6" s="16" t="s">
        <v>85</v>
      </c>
      <c r="I6" s="17"/>
      <c r="J6" s="17" t="s">
        <v>6</v>
      </c>
      <c r="K6" s="17" t="s">
        <v>86</v>
      </c>
      <c r="L6" s="4"/>
    </row>
    <row r="7" spans="1:12" x14ac:dyDescent="0.25">
      <c r="A7" s="6">
        <v>37622</v>
      </c>
      <c r="B7" s="7">
        <v>96.15</v>
      </c>
      <c r="C7" s="7">
        <v>100.5</v>
      </c>
      <c r="D7" s="7" cm="1">
        <f t="array" ref="D7:D226">xlDESSAZ($A$7:$A$226,$B$7:$B$226)</f>
        <v>101.580051050555</v>
      </c>
      <c r="E7" s="7" cm="1">
        <f t="array" ref="E7:E226">xlDESSAZ($A$7:$A$226,$B$7:$B$226,"SA")</f>
        <v>101.580051050555</v>
      </c>
      <c r="F7" s="7" cm="1">
        <f t="array" ref="F7:F226">xlDESSAZ($A$7:$A$226,$B$7:$B$226,"SA","X13")</f>
        <v>101.580051050555</v>
      </c>
      <c r="G7" s="7" cm="1">
        <f t="array" ref="G7:G226">xlDESSAZ($A$7:$A$226,$B$7:$B$226,"SA","X13",$G$3)</f>
        <v>100.498050423983</v>
      </c>
      <c r="H7" s="7" cm="1">
        <f t="array" ref="H7:H226">xlDESSAZ($A$7:$A$226,$B$7:$B$226,"SA","X13",,Specs!$B$3)</f>
        <v>100.498050423983</v>
      </c>
      <c r="I7" s="9"/>
      <c r="J7" s="9">
        <f t="shared" ref="J7:J70" si="0">E7/$C7-1</f>
        <v>1.0746776622437837E-2</v>
      </c>
      <c r="K7" s="9">
        <f t="shared" ref="K7:K70" si="1">G7/$C7-1</f>
        <v>-1.939876633827442E-5</v>
      </c>
      <c r="L7" s="9"/>
    </row>
    <row r="8" spans="1:12" x14ac:dyDescent="0.25">
      <c r="A8" s="6">
        <v>37653</v>
      </c>
      <c r="B8" s="7">
        <v>98.67</v>
      </c>
      <c r="C8" s="7">
        <v>102</v>
      </c>
      <c r="D8" s="7">
        <v>104.319529580658</v>
      </c>
      <c r="E8" s="7">
        <v>104.319529580658</v>
      </c>
      <c r="F8" s="7">
        <v>104.319529580658</v>
      </c>
      <c r="G8" s="7">
        <v>102.003989431153</v>
      </c>
      <c r="H8" s="7">
        <v>102.003989431153</v>
      </c>
      <c r="I8" s="9"/>
      <c r="J8" s="9">
        <f t="shared" si="0"/>
        <v>2.2740486084882328E-2</v>
      </c>
      <c r="K8" s="9">
        <f t="shared" si="1"/>
        <v>3.9112070127522713E-5</v>
      </c>
      <c r="L8" s="9"/>
    </row>
    <row r="9" spans="1:12" x14ac:dyDescent="0.25">
      <c r="A9" s="6">
        <v>37681</v>
      </c>
      <c r="B9" s="7">
        <v>103.41</v>
      </c>
      <c r="C9" s="7">
        <v>101.77</v>
      </c>
      <c r="D9" s="7">
        <v>97.853067294410394</v>
      </c>
      <c r="E9" s="7">
        <v>97.853067294410394</v>
      </c>
      <c r="F9" s="7">
        <v>97.853067294410394</v>
      </c>
      <c r="G9" s="7">
        <v>101.76529100051</v>
      </c>
      <c r="H9" s="7">
        <v>101.76529100051</v>
      </c>
      <c r="I9" s="9"/>
      <c r="J9" s="9">
        <f t="shared" si="0"/>
        <v>-3.848808790006486E-2</v>
      </c>
      <c r="K9" s="9">
        <f t="shared" si="1"/>
        <v>-4.6270998231179306E-5</v>
      </c>
      <c r="L9" s="9"/>
    </row>
    <row r="10" spans="1:12" x14ac:dyDescent="0.25">
      <c r="A10" s="6">
        <v>37712</v>
      </c>
      <c r="B10" s="7">
        <v>102.19</v>
      </c>
      <c r="C10" s="7">
        <v>100.94</v>
      </c>
      <c r="D10" s="8">
        <v>100.706855574748</v>
      </c>
      <c r="E10" s="7">
        <v>100.706855574748</v>
      </c>
      <c r="F10" s="7">
        <v>100.706855574748</v>
      </c>
      <c r="G10" s="7">
        <v>100.938417368765</v>
      </c>
      <c r="H10" s="7">
        <v>100.938417368765</v>
      </c>
      <c r="I10" s="9"/>
      <c r="J10" s="9">
        <f t="shared" si="0"/>
        <v>-2.3097327645332788E-3</v>
      </c>
      <c r="K10" s="9">
        <f t="shared" si="1"/>
        <v>-1.5678930404106062E-5</v>
      </c>
      <c r="L10" s="9"/>
    </row>
    <row r="11" spans="1:12" x14ac:dyDescent="0.25">
      <c r="A11" s="6">
        <v>37742</v>
      </c>
      <c r="B11" s="7">
        <v>100.3</v>
      </c>
      <c r="C11" s="7">
        <v>99.8</v>
      </c>
      <c r="D11" s="7">
        <v>100.201790870327</v>
      </c>
      <c r="E11" s="7">
        <v>100.201790870327</v>
      </c>
      <c r="F11" s="7">
        <v>100.201790870327</v>
      </c>
      <c r="G11" s="7">
        <v>99.795972897947905</v>
      </c>
      <c r="H11" s="7">
        <v>99.795972897947905</v>
      </c>
      <c r="I11" s="9"/>
      <c r="J11" s="9">
        <f t="shared" si="0"/>
        <v>4.0259606245189872E-3</v>
      </c>
      <c r="K11" s="9">
        <f t="shared" si="1"/>
        <v>-4.0351723968878872E-5</v>
      </c>
      <c r="L11" s="9"/>
    </row>
    <row r="12" spans="1:12" x14ac:dyDescent="0.25">
      <c r="A12" s="6">
        <v>37773</v>
      </c>
      <c r="B12" s="7">
        <v>98.58</v>
      </c>
      <c r="C12" s="7">
        <v>100.39</v>
      </c>
      <c r="D12" s="7">
        <v>99.028018924873706</v>
      </c>
      <c r="E12" s="7">
        <v>99.028018924873706</v>
      </c>
      <c r="F12" s="7">
        <v>99.028018924873706</v>
      </c>
      <c r="G12" s="7">
        <v>100.39422086085401</v>
      </c>
      <c r="H12" s="7">
        <v>100.39422086085401</v>
      </c>
      <c r="I12" s="9"/>
      <c r="J12" s="9">
        <f t="shared" si="0"/>
        <v>-1.3566899841879643E-2</v>
      </c>
      <c r="K12" s="9">
        <f t="shared" si="1"/>
        <v>4.2044634465554509E-5</v>
      </c>
      <c r="L12" s="9"/>
    </row>
    <row r="13" spans="1:12" x14ac:dyDescent="0.25">
      <c r="A13" s="6">
        <v>37803</v>
      </c>
      <c r="B13" s="7">
        <v>103.05</v>
      </c>
      <c r="C13" s="7">
        <v>99.12</v>
      </c>
      <c r="D13" s="7">
        <v>100.086923622285</v>
      </c>
      <c r="E13" s="7">
        <v>100.086923622285</v>
      </c>
      <c r="F13" s="7">
        <v>100.086923622285</v>
      </c>
      <c r="G13" s="7">
        <v>99.117415746327097</v>
      </c>
      <c r="H13" s="7">
        <v>99.117415746327097</v>
      </c>
      <c r="I13" s="9"/>
      <c r="J13" s="9">
        <f t="shared" si="0"/>
        <v>9.7550809350785972E-3</v>
      </c>
      <c r="K13" s="9">
        <f t="shared" si="1"/>
        <v>-2.6071970065655314E-5</v>
      </c>
      <c r="L13" s="9"/>
    </row>
    <row r="14" spans="1:12" x14ac:dyDescent="0.25">
      <c r="A14" s="6">
        <v>37834</v>
      </c>
      <c r="B14" s="7">
        <v>101.47</v>
      </c>
      <c r="C14" s="7">
        <v>99.72</v>
      </c>
      <c r="D14" s="7">
        <v>97.9721154001694</v>
      </c>
      <c r="E14" s="7">
        <v>97.9721154001694</v>
      </c>
      <c r="F14" s="7">
        <v>97.9721154001694</v>
      </c>
      <c r="G14" s="7">
        <v>99.7177268355194</v>
      </c>
      <c r="H14" s="7">
        <v>99.7177268355194</v>
      </c>
      <c r="I14" s="9"/>
      <c r="J14" s="9">
        <f t="shared" si="0"/>
        <v>-1.7527924186026889E-2</v>
      </c>
      <c r="K14" s="9">
        <f t="shared" si="1"/>
        <v>-2.279547212791222E-5</v>
      </c>
      <c r="L14" s="9"/>
    </row>
    <row r="15" spans="1:12" x14ac:dyDescent="0.25">
      <c r="A15" s="6">
        <v>37865</v>
      </c>
      <c r="B15" s="7">
        <v>102.87</v>
      </c>
      <c r="C15" s="7">
        <v>101.81</v>
      </c>
      <c r="D15" s="7">
        <v>102.554330970539</v>
      </c>
      <c r="E15" s="7">
        <v>102.554330970539</v>
      </c>
      <c r="F15" s="7">
        <v>102.554330970539</v>
      </c>
      <c r="G15" s="7">
        <v>101.811675550701</v>
      </c>
      <c r="H15" s="7">
        <v>101.811675550701</v>
      </c>
      <c r="I15" s="9"/>
      <c r="J15" s="9">
        <f t="shared" si="0"/>
        <v>7.310980950191448E-3</v>
      </c>
      <c r="K15" s="9">
        <f t="shared" si="1"/>
        <v>1.6457624015364658E-5</v>
      </c>
      <c r="L15" s="9"/>
    </row>
    <row r="16" spans="1:12" x14ac:dyDescent="0.25">
      <c r="A16" s="6">
        <v>37895</v>
      </c>
      <c r="B16" s="7">
        <v>105.06</v>
      </c>
      <c r="C16" s="7">
        <v>101.88</v>
      </c>
      <c r="D16" s="7">
        <v>104.85673319103</v>
      </c>
      <c r="E16" s="7">
        <v>104.85673319103</v>
      </c>
      <c r="F16" s="7">
        <v>104.85673319103</v>
      </c>
      <c r="G16" s="7">
        <v>101.880818098048</v>
      </c>
      <c r="H16" s="7">
        <v>101.880818098048</v>
      </c>
      <c r="I16" s="9"/>
      <c r="J16" s="9">
        <f t="shared" si="0"/>
        <v>2.9218032891931811E-2</v>
      </c>
      <c r="K16" s="9">
        <f t="shared" si="1"/>
        <v>8.03001617599719E-6</v>
      </c>
      <c r="L16" s="9"/>
    </row>
    <row r="17" spans="1:12" x14ac:dyDescent="0.25">
      <c r="A17" s="6">
        <v>37926</v>
      </c>
      <c r="B17" s="7">
        <v>101.95</v>
      </c>
      <c r="C17" s="7">
        <v>101.97</v>
      </c>
      <c r="D17" s="7">
        <v>102.13332963821701</v>
      </c>
      <c r="E17" s="7">
        <v>102.13332963821701</v>
      </c>
      <c r="F17" s="7">
        <v>102.13332963821701</v>
      </c>
      <c r="G17" s="7">
        <v>101.973159862332</v>
      </c>
      <c r="H17" s="7">
        <v>101.973159862332</v>
      </c>
      <c r="I17" s="9"/>
      <c r="J17" s="9">
        <f t="shared" si="0"/>
        <v>1.6017420635188184E-3</v>
      </c>
      <c r="K17" s="9">
        <f t="shared" si="1"/>
        <v>3.098815663427068E-5</v>
      </c>
      <c r="L17" s="9"/>
    </row>
    <row r="18" spans="1:12" x14ac:dyDescent="0.25">
      <c r="A18" s="6">
        <v>37956</v>
      </c>
      <c r="B18" s="7">
        <v>99.74</v>
      </c>
      <c r="C18" s="7">
        <v>101.59</v>
      </c>
      <c r="D18" s="7">
        <v>102.104482335387</v>
      </c>
      <c r="E18" s="7">
        <v>102.104482335387</v>
      </c>
      <c r="F18" s="7">
        <v>102.104482335387</v>
      </c>
      <c r="G18" s="7">
        <v>101.586666280949</v>
      </c>
      <c r="H18" s="7">
        <v>101.586666280949</v>
      </c>
      <c r="I18" s="9"/>
      <c r="J18" s="9">
        <f t="shared" si="0"/>
        <v>5.0643009684712137E-3</v>
      </c>
      <c r="K18" s="9">
        <f t="shared" si="1"/>
        <v>-3.2815425248577945E-5</v>
      </c>
      <c r="L18" s="9"/>
    </row>
    <row r="19" spans="1:12" x14ac:dyDescent="0.25">
      <c r="A19" s="6">
        <v>37987</v>
      </c>
      <c r="B19" s="7">
        <v>98.59</v>
      </c>
      <c r="C19" s="7">
        <v>103.61</v>
      </c>
      <c r="D19" s="7">
        <v>103.925477428923</v>
      </c>
      <c r="E19" s="7">
        <v>103.925477428923</v>
      </c>
      <c r="F19" s="7">
        <v>103.925477428923</v>
      </c>
      <c r="G19" s="7">
        <v>103.614858958376</v>
      </c>
      <c r="H19" s="7">
        <v>103.614858958376</v>
      </c>
      <c r="I19" s="9"/>
      <c r="J19" s="9">
        <f t="shared" si="0"/>
        <v>3.0448550229031923E-3</v>
      </c>
      <c r="K19" s="9">
        <f t="shared" si="1"/>
        <v>4.6896615925051677E-5</v>
      </c>
      <c r="L19" s="9"/>
    </row>
    <row r="20" spans="1:12" x14ac:dyDescent="0.25">
      <c r="A20" s="6">
        <v>38018</v>
      </c>
      <c r="B20" s="7">
        <v>99.45</v>
      </c>
      <c r="C20" s="7">
        <v>104.48</v>
      </c>
      <c r="D20" s="7">
        <v>105.185342785239</v>
      </c>
      <c r="E20" s="7">
        <v>105.185342785239</v>
      </c>
      <c r="F20" s="7">
        <v>105.185342785239</v>
      </c>
      <c r="G20" s="7">
        <v>104.477184002843</v>
      </c>
      <c r="H20" s="7">
        <v>104.477184002843</v>
      </c>
      <c r="I20" s="9"/>
      <c r="J20" s="9">
        <f t="shared" si="0"/>
        <v>6.7509837790868943E-3</v>
      </c>
      <c r="K20" s="9">
        <f t="shared" si="1"/>
        <v>-2.6952499588395185E-5</v>
      </c>
      <c r="L20" s="9"/>
    </row>
    <row r="21" spans="1:12" x14ac:dyDescent="0.25">
      <c r="A21" s="6">
        <v>38047</v>
      </c>
      <c r="B21" s="7">
        <v>111.98</v>
      </c>
      <c r="C21" s="7">
        <v>105.81</v>
      </c>
      <c r="D21" s="7">
        <v>106.52893619227901</v>
      </c>
      <c r="E21" s="7">
        <v>106.52893619227901</v>
      </c>
      <c r="F21" s="7">
        <v>106.52893619227901</v>
      </c>
      <c r="G21" s="7">
        <v>105.812398569129</v>
      </c>
      <c r="H21" s="7">
        <v>105.812398569129</v>
      </c>
      <c r="I21" s="9"/>
      <c r="J21" s="9">
        <f t="shared" si="0"/>
        <v>6.7945959009452217E-3</v>
      </c>
      <c r="K21" s="9">
        <f t="shared" si="1"/>
        <v>2.2668643124390542E-5</v>
      </c>
      <c r="L21" s="9"/>
    </row>
    <row r="22" spans="1:12" x14ac:dyDescent="0.25">
      <c r="A22" s="6">
        <v>38078</v>
      </c>
      <c r="B22" s="7">
        <v>107.36</v>
      </c>
      <c r="C22" s="7">
        <v>106.45</v>
      </c>
      <c r="D22" s="7">
        <v>106.105588406495</v>
      </c>
      <c r="E22" s="7">
        <v>106.105588406495</v>
      </c>
      <c r="F22" s="7">
        <v>106.105588406495</v>
      </c>
      <c r="G22" s="7">
        <v>106.45475247373901</v>
      </c>
      <c r="H22" s="7">
        <v>106.45475247373901</v>
      </c>
      <c r="I22" s="9"/>
      <c r="J22" s="9">
        <f t="shared" si="0"/>
        <v>-3.2354306576326541E-3</v>
      </c>
      <c r="K22" s="9">
        <f t="shared" si="1"/>
        <v>4.4645126716869044E-5</v>
      </c>
      <c r="L22" s="9"/>
    </row>
    <row r="23" spans="1:12" x14ac:dyDescent="0.25">
      <c r="A23" s="6">
        <v>38108</v>
      </c>
      <c r="B23" s="7">
        <v>106.03</v>
      </c>
      <c r="C23" s="7">
        <v>106.34</v>
      </c>
      <c r="D23" s="7">
        <v>105.77383733198</v>
      </c>
      <c r="E23" s="7">
        <v>105.77383733198</v>
      </c>
      <c r="F23" s="7">
        <v>105.77383733198</v>
      </c>
      <c r="G23" s="7">
        <v>106.33746575830899</v>
      </c>
      <c r="H23" s="7">
        <v>106.33746575830899</v>
      </c>
      <c r="I23" s="9"/>
      <c r="J23" s="9">
        <f t="shared" si="0"/>
        <v>-5.3240800077111183E-3</v>
      </c>
      <c r="K23" s="9">
        <f t="shared" si="1"/>
        <v>-2.3831499821436175E-5</v>
      </c>
      <c r="L23" s="9"/>
    </row>
    <row r="24" spans="1:12" x14ac:dyDescent="0.25">
      <c r="A24" s="6">
        <v>38139</v>
      </c>
      <c r="B24" s="7">
        <v>107</v>
      </c>
      <c r="C24" s="7">
        <v>107.38</v>
      </c>
      <c r="D24" s="7">
        <v>107.480549081782</v>
      </c>
      <c r="E24" s="7">
        <v>107.480549081782</v>
      </c>
      <c r="F24" s="7">
        <v>107.480549081782</v>
      </c>
      <c r="G24" s="7">
        <v>107.375314718082</v>
      </c>
      <c r="H24" s="7">
        <v>107.375314718082</v>
      </c>
      <c r="I24" s="9"/>
      <c r="J24" s="9">
        <f t="shared" si="0"/>
        <v>9.3638556325204014E-4</v>
      </c>
      <c r="K24" s="9">
        <f t="shared" si="1"/>
        <v>-4.3632724138542578E-5</v>
      </c>
      <c r="L24" s="9"/>
    </row>
    <row r="25" spans="1:12" x14ac:dyDescent="0.25">
      <c r="A25" s="6">
        <v>38169</v>
      </c>
      <c r="B25" s="7">
        <v>111.47</v>
      </c>
      <c r="C25" s="7">
        <v>107.85</v>
      </c>
      <c r="D25" s="7">
        <v>108.390933089664</v>
      </c>
      <c r="E25" s="7">
        <v>108.390933089664</v>
      </c>
      <c r="F25" s="7">
        <v>108.390933089664</v>
      </c>
      <c r="G25" s="7">
        <v>107.848949164426</v>
      </c>
      <c r="H25" s="7">
        <v>107.848949164426</v>
      </c>
      <c r="I25" s="9"/>
      <c r="J25" s="9">
        <f t="shared" si="0"/>
        <v>5.0156058383310498E-3</v>
      </c>
      <c r="K25" s="9">
        <f t="shared" si="1"/>
        <v>-9.7434916457306286E-6</v>
      </c>
      <c r="L25" s="9"/>
    </row>
    <row r="26" spans="1:12" x14ac:dyDescent="0.25">
      <c r="A26" s="6">
        <v>38200</v>
      </c>
      <c r="B26" s="7">
        <v>110.65</v>
      </c>
      <c r="C26" s="7">
        <v>108.21</v>
      </c>
      <c r="D26" s="7">
        <v>107.001064260376</v>
      </c>
      <c r="E26" s="7">
        <v>107.001064260376</v>
      </c>
      <c r="F26" s="7">
        <v>107.001064260376</v>
      </c>
      <c r="G26" s="7">
        <v>108.210314589394</v>
      </c>
      <c r="H26" s="7">
        <v>108.210314589394</v>
      </c>
      <c r="I26" s="9"/>
      <c r="J26" s="9">
        <f t="shared" si="0"/>
        <v>-1.1172125862896176E-2</v>
      </c>
      <c r="K26" s="9">
        <f t="shared" si="1"/>
        <v>2.9072118474804398E-6</v>
      </c>
      <c r="L26" s="9"/>
    </row>
    <row r="27" spans="1:12" x14ac:dyDescent="0.25">
      <c r="A27" s="6">
        <v>38231</v>
      </c>
      <c r="B27" s="7">
        <v>109.21</v>
      </c>
      <c r="C27" s="7">
        <v>109.41</v>
      </c>
      <c r="D27" s="7">
        <v>109.009581020775</v>
      </c>
      <c r="E27" s="7">
        <v>109.009581020775</v>
      </c>
      <c r="F27" s="7">
        <v>109.009581020775</v>
      </c>
      <c r="G27" s="7">
        <v>109.40826553101699</v>
      </c>
      <c r="H27" s="7">
        <v>109.40826553101699</v>
      </c>
      <c r="I27" s="9"/>
      <c r="J27" s="9">
        <f t="shared" si="0"/>
        <v>-3.6598023875787922E-3</v>
      </c>
      <c r="K27" s="9">
        <f t="shared" si="1"/>
        <v>-1.5852929192927689E-5</v>
      </c>
      <c r="L27" s="9"/>
    </row>
    <row r="28" spans="1:12" x14ac:dyDescent="0.25">
      <c r="A28" s="6">
        <v>38261</v>
      </c>
      <c r="B28" s="7">
        <v>108.89</v>
      </c>
      <c r="C28" s="7">
        <v>108.67</v>
      </c>
      <c r="D28" s="7">
        <v>108.513997975777</v>
      </c>
      <c r="E28" s="7">
        <v>108.513997975777</v>
      </c>
      <c r="F28" s="7">
        <v>108.513997975777</v>
      </c>
      <c r="G28" s="7">
        <v>108.673211650547</v>
      </c>
      <c r="H28" s="7">
        <v>108.673211650547</v>
      </c>
      <c r="I28" s="9"/>
      <c r="J28" s="9">
        <f t="shared" si="0"/>
        <v>-1.4355574144013783E-3</v>
      </c>
      <c r="K28" s="9">
        <f t="shared" si="1"/>
        <v>2.9554159814093595E-5</v>
      </c>
      <c r="L28" s="9"/>
    </row>
    <row r="29" spans="1:12" x14ac:dyDescent="0.25">
      <c r="A29" s="6">
        <v>38292</v>
      </c>
      <c r="B29" s="7">
        <v>109.59</v>
      </c>
      <c r="C29" s="7">
        <v>109.62</v>
      </c>
      <c r="D29" s="7">
        <v>109.705109738991</v>
      </c>
      <c r="E29" s="7">
        <v>109.705109738991</v>
      </c>
      <c r="F29" s="7">
        <v>109.705109738991</v>
      </c>
      <c r="G29" s="7">
        <v>109.620805096678</v>
      </c>
      <c r="H29" s="7">
        <v>109.620805096678</v>
      </c>
      <c r="I29" s="9"/>
      <c r="J29" s="9">
        <f t="shared" si="0"/>
        <v>7.7640703330583705E-4</v>
      </c>
      <c r="K29" s="9">
        <f t="shared" si="1"/>
        <v>7.3444323844817916E-6</v>
      </c>
      <c r="L29" s="9"/>
    </row>
    <row r="30" spans="1:12" x14ac:dyDescent="0.25">
      <c r="A30" s="6">
        <v>38322</v>
      </c>
      <c r="B30" s="7">
        <v>107.56</v>
      </c>
      <c r="C30" s="7">
        <v>108.75</v>
      </c>
      <c r="D30" s="7">
        <v>110.028019007935</v>
      </c>
      <c r="E30" s="7">
        <v>110.028019007935</v>
      </c>
      <c r="F30" s="7">
        <v>110.028019007935</v>
      </c>
      <c r="G30" s="7">
        <v>108.750537824944</v>
      </c>
      <c r="H30" s="7">
        <v>108.750537824944</v>
      </c>
      <c r="I30" s="9"/>
      <c r="J30" s="9">
        <f t="shared" si="0"/>
        <v>1.1751898923540338E-2</v>
      </c>
      <c r="K30" s="9">
        <f t="shared" si="1"/>
        <v>4.9455167265843869E-6</v>
      </c>
      <c r="L30" s="9"/>
    </row>
    <row r="31" spans="1:12" x14ac:dyDescent="0.25">
      <c r="A31" s="6">
        <v>38353</v>
      </c>
      <c r="B31" s="7">
        <v>103.52</v>
      </c>
      <c r="C31" s="7">
        <v>109.65</v>
      </c>
      <c r="D31" s="7">
        <v>108.78570376115501</v>
      </c>
      <c r="E31" s="7">
        <v>108.78570376115501</v>
      </c>
      <c r="F31" s="7">
        <v>108.78570376115501</v>
      </c>
      <c r="G31" s="7">
        <v>109.646371061213</v>
      </c>
      <c r="H31" s="7">
        <v>109.646371061213</v>
      </c>
      <c r="I31" s="9"/>
      <c r="J31" s="9">
        <f t="shared" si="0"/>
        <v>-7.8823186397173339E-3</v>
      </c>
      <c r="K31" s="9">
        <f t="shared" si="1"/>
        <v>-3.3095656972181864E-5</v>
      </c>
      <c r="L31" s="9"/>
    </row>
    <row r="32" spans="1:12" x14ac:dyDescent="0.25">
      <c r="A32" s="6">
        <v>38384</v>
      </c>
      <c r="B32" s="7">
        <v>104</v>
      </c>
      <c r="C32" s="7">
        <v>110.13</v>
      </c>
      <c r="D32" s="7">
        <v>109.860204120536</v>
      </c>
      <c r="E32" s="7">
        <v>109.860204120536</v>
      </c>
      <c r="F32" s="7">
        <v>109.860204120536</v>
      </c>
      <c r="G32" s="7">
        <v>110.129534520596</v>
      </c>
      <c r="H32" s="7">
        <v>110.129534520596</v>
      </c>
      <c r="I32" s="9"/>
      <c r="J32" s="9">
        <f t="shared" si="0"/>
        <v>-2.4497946015072936E-3</v>
      </c>
      <c r="K32" s="9">
        <f t="shared" si="1"/>
        <v>-4.2266358303288953E-6</v>
      </c>
      <c r="L32" s="9"/>
    </row>
    <row r="33" spans="1:12" x14ac:dyDescent="0.25">
      <c r="A33" s="6">
        <v>38412</v>
      </c>
      <c r="B33" s="7">
        <v>115.42</v>
      </c>
      <c r="C33" s="7">
        <v>110.29</v>
      </c>
      <c r="D33" s="7">
        <v>110.139084436574</v>
      </c>
      <c r="E33" s="7">
        <v>110.139084436574</v>
      </c>
      <c r="F33" s="7">
        <v>110.139084436574</v>
      </c>
      <c r="G33" s="7">
        <v>110.293287353217</v>
      </c>
      <c r="H33" s="7">
        <v>110.293287353217</v>
      </c>
      <c r="I33" s="9"/>
      <c r="J33" s="9">
        <f t="shared" si="0"/>
        <v>-1.3683521935443643E-3</v>
      </c>
      <c r="K33" s="9">
        <f t="shared" si="1"/>
        <v>2.9806448608171721E-5</v>
      </c>
      <c r="L33" s="9"/>
    </row>
    <row r="34" spans="1:12" x14ac:dyDescent="0.25">
      <c r="A34" s="6">
        <v>38443</v>
      </c>
      <c r="B34" s="7">
        <v>112.35</v>
      </c>
      <c r="C34" s="7">
        <v>110.96</v>
      </c>
      <c r="D34" s="7">
        <v>111.449885996295</v>
      </c>
      <c r="E34" s="7">
        <v>111.449885996295</v>
      </c>
      <c r="F34" s="7">
        <v>111.449885996295</v>
      </c>
      <c r="G34" s="7">
        <v>110.957501659781</v>
      </c>
      <c r="H34" s="7">
        <v>110.957501659781</v>
      </c>
      <c r="I34" s="9"/>
      <c r="J34" s="9">
        <f t="shared" si="0"/>
        <v>4.4149783371936202E-3</v>
      </c>
      <c r="K34" s="9">
        <f t="shared" si="1"/>
        <v>-2.2515683300250444E-5</v>
      </c>
      <c r="L34" s="9"/>
    </row>
    <row r="35" spans="1:12" x14ac:dyDescent="0.25">
      <c r="A35" s="6">
        <v>38473</v>
      </c>
      <c r="B35" s="7">
        <v>110.86</v>
      </c>
      <c r="C35" s="7">
        <v>110.99</v>
      </c>
      <c r="D35" s="7">
        <v>110.52891321011001</v>
      </c>
      <c r="E35" s="7">
        <v>110.52891321011001</v>
      </c>
      <c r="F35" s="7">
        <v>110.52891321011001</v>
      </c>
      <c r="G35" s="7">
        <v>110.986940880105</v>
      </c>
      <c r="H35" s="7">
        <v>110.986940880105</v>
      </c>
      <c r="I35" s="9"/>
      <c r="J35" s="9">
        <f t="shared" si="0"/>
        <v>-4.1543093061535696E-3</v>
      </c>
      <c r="K35" s="9">
        <f t="shared" si="1"/>
        <v>-2.7562121767688019E-5</v>
      </c>
      <c r="L35" s="9"/>
    </row>
    <row r="36" spans="1:12" x14ac:dyDescent="0.25">
      <c r="A36" s="6">
        <v>38504</v>
      </c>
      <c r="B36" s="7">
        <v>111.5</v>
      </c>
      <c r="C36" s="7">
        <v>110.75</v>
      </c>
      <c r="D36" s="7">
        <v>111.90244516947899</v>
      </c>
      <c r="E36" s="7">
        <v>111.90244516947899</v>
      </c>
      <c r="F36" s="7">
        <v>111.90244516947899</v>
      </c>
      <c r="G36" s="7">
        <v>110.74862360116499</v>
      </c>
      <c r="H36" s="7">
        <v>110.74862360116499</v>
      </c>
      <c r="I36" s="9"/>
      <c r="J36" s="9">
        <f t="shared" si="0"/>
        <v>1.0405825458049689E-2</v>
      </c>
      <c r="K36" s="9">
        <f t="shared" si="1"/>
        <v>-1.2427980451534815E-5</v>
      </c>
      <c r="L36" s="9"/>
    </row>
    <row r="37" spans="1:12" x14ac:dyDescent="0.25">
      <c r="A37" s="6">
        <v>38534</v>
      </c>
      <c r="B37" s="7">
        <v>113.15</v>
      </c>
      <c r="C37" s="7">
        <v>110.64</v>
      </c>
      <c r="D37" s="7">
        <v>109.74799721238099</v>
      </c>
      <c r="E37" s="7">
        <v>109.74799721238099</v>
      </c>
      <c r="F37" s="7">
        <v>109.74799721238099</v>
      </c>
      <c r="G37" s="7">
        <v>110.636520905802</v>
      </c>
      <c r="H37" s="7">
        <v>110.636520905802</v>
      </c>
      <c r="I37" s="9"/>
      <c r="J37" s="9">
        <f t="shared" si="0"/>
        <v>-8.0622088541124626E-3</v>
      </c>
      <c r="K37" s="9">
        <f t="shared" si="1"/>
        <v>-3.1445175325384156E-5</v>
      </c>
      <c r="L37" s="9"/>
    </row>
    <row r="38" spans="1:12" x14ac:dyDescent="0.25">
      <c r="A38" s="6">
        <v>38565</v>
      </c>
      <c r="B38" s="7">
        <v>115.15</v>
      </c>
      <c r="C38" s="7">
        <v>111.27</v>
      </c>
      <c r="D38" s="7">
        <v>111.387152299261</v>
      </c>
      <c r="E38" s="7">
        <v>111.387152299261</v>
      </c>
      <c r="F38" s="7">
        <v>111.387152299261</v>
      </c>
      <c r="G38" s="7">
        <v>111.27259849370699</v>
      </c>
      <c r="H38" s="7">
        <v>111.27259849370699</v>
      </c>
      <c r="I38" s="9"/>
      <c r="J38" s="9">
        <f t="shared" si="0"/>
        <v>1.0528650962613462E-3</v>
      </c>
      <c r="K38" s="9">
        <f t="shared" si="1"/>
        <v>2.3353048503649276E-5</v>
      </c>
      <c r="L38" s="9"/>
    </row>
    <row r="39" spans="1:12" x14ac:dyDescent="0.25">
      <c r="A39" s="6">
        <v>38596</v>
      </c>
      <c r="B39" s="7">
        <v>110.95</v>
      </c>
      <c r="C39" s="7">
        <v>110.92</v>
      </c>
      <c r="D39" s="7">
        <v>110.865600429952</v>
      </c>
      <c r="E39" s="7">
        <v>110.865600429952</v>
      </c>
      <c r="F39" s="7">
        <v>110.865600429952</v>
      </c>
      <c r="G39" s="7">
        <v>110.91528812662401</v>
      </c>
      <c r="H39" s="7">
        <v>110.91528812662401</v>
      </c>
      <c r="I39" s="9"/>
      <c r="J39" s="9">
        <f t="shared" si="0"/>
        <v>-4.9043968669315596E-4</v>
      </c>
      <c r="K39" s="9">
        <f t="shared" si="1"/>
        <v>-4.2479925856486744E-5</v>
      </c>
      <c r="L39" s="9"/>
    </row>
    <row r="40" spans="1:12" x14ac:dyDescent="0.25">
      <c r="A40" s="6">
        <v>38626</v>
      </c>
      <c r="B40" s="7">
        <v>111.33</v>
      </c>
      <c r="C40" s="7">
        <v>111.06</v>
      </c>
      <c r="D40" s="7">
        <v>110.709597958562</v>
      </c>
      <c r="E40" s="7">
        <v>110.709597958562</v>
      </c>
      <c r="F40" s="7">
        <v>110.709597958562</v>
      </c>
      <c r="G40" s="7">
        <v>111.064722785999</v>
      </c>
      <c r="H40" s="7">
        <v>111.064722785999</v>
      </c>
      <c r="I40" s="9"/>
      <c r="J40" s="9">
        <f t="shared" si="0"/>
        <v>-3.1550697050063414E-3</v>
      </c>
      <c r="K40" s="9">
        <f t="shared" si="1"/>
        <v>4.2524635323282212E-5</v>
      </c>
      <c r="L40" s="9"/>
    </row>
    <row r="41" spans="1:12" x14ac:dyDescent="0.25">
      <c r="A41" s="6">
        <v>38657</v>
      </c>
      <c r="B41" s="7">
        <v>111.73</v>
      </c>
      <c r="C41" s="7">
        <v>111.8</v>
      </c>
      <c r="D41" s="7">
        <v>111.72967676090801</v>
      </c>
      <c r="E41" s="7">
        <v>111.72967676090801</v>
      </c>
      <c r="F41" s="7">
        <v>111.72967676090801</v>
      </c>
      <c r="G41" s="7">
        <v>111.799789279797</v>
      </c>
      <c r="H41" s="7">
        <v>111.799789279797</v>
      </c>
      <c r="I41" s="9"/>
      <c r="J41" s="9">
        <f t="shared" si="0"/>
        <v>-6.2900929420384166E-4</v>
      </c>
      <c r="K41" s="9">
        <f t="shared" si="1"/>
        <v>-1.8847960912005135E-6</v>
      </c>
      <c r="L41" s="9"/>
    </row>
    <row r="42" spans="1:12" x14ac:dyDescent="0.25">
      <c r="A42" s="6">
        <v>38687</v>
      </c>
      <c r="B42" s="7">
        <v>111.25</v>
      </c>
      <c r="C42" s="7">
        <v>112.34</v>
      </c>
      <c r="D42" s="7">
        <v>113.788719939068</v>
      </c>
      <c r="E42" s="7">
        <v>113.788719939068</v>
      </c>
      <c r="F42" s="7">
        <v>113.788719939068</v>
      </c>
      <c r="G42" s="7">
        <v>112.344243882328</v>
      </c>
      <c r="H42" s="7">
        <v>112.344243882328</v>
      </c>
      <c r="I42" s="9"/>
      <c r="J42" s="9">
        <f t="shared" si="0"/>
        <v>1.2895851335837705E-2</v>
      </c>
      <c r="K42" s="9">
        <f t="shared" si="1"/>
        <v>3.7777125938998068E-5</v>
      </c>
      <c r="L42" s="9"/>
    </row>
    <row r="43" spans="1:12" x14ac:dyDescent="0.25">
      <c r="A43" s="6">
        <v>38718</v>
      </c>
      <c r="B43" s="7">
        <v>108.55</v>
      </c>
      <c r="C43" s="7">
        <v>113.47</v>
      </c>
      <c r="D43" s="7">
        <v>113.875256447547</v>
      </c>
      <c r="E43" s="7">
        <v>113.875256447547</v>
      </c>
      <c r="F43" s="7">
        <v>113.875256447547</v>
      </c>
      <c r="G43" s="7">
        <v>113.469171570933</v>
      </c>
      <c r="H43" s="7">
        <v>113.469171570933</v>
      </c>
      <c r="I43" s="9"/>
      <c r="J43" s="9">
        <f t="shared" si="0"/>
        <v>3.5714853930290946E-3</v>
      </c>
      <c r="K43" s="9">
        <f t="shared" si="1"/>
        <v>-7.3008642548222369E-6</v>
      </c>
      <c r="L43" s="9"/>
    </row>
    <row r="44" spans="1:12" x14ac:dyDescent="0.25">
      <c r="A44" s="6">
        <v>38749</v>
      </c>
      <c r="B44" s="7">
        <v>107.8</v>
      </c>
      <c r="C44" s="7">
        <v>113.6</v>
      </c>
      <c r="D44" s="7">
        <v>113.87281448776599</v>
      </c>
      <c r="E44" s="7">
        <v>113.87281448776599</v>
      </c>
      <c r="F44" s="7">
        <v>113.87281448776599</v>
      </c>
      <c r="G44" s="7">
        <v>113.597215115655</v>
      </c>
      <c r="H44" s="7">
        <v>113.597215115655</v>
      </c>
      <c r="I44" s="9"/>
      <c r="J44" s="9">
        <f t="shared" si="0"/>
        <v>2.4015359838556183E-3</v>
      </c>
      <c r="K44" s="9">
        <f t="shared" si="1"/>
        <v>-2.4514826980515103E-5</v>
      </c>
      <c r="L44" s="9"/>
    </row>
    <row r="45" spans="1:12" x14ac:dyDescent="0.25">
      <c r="A45" s="6">
        <v>38777</v>
      </c>
      <c r="B45" s="7">
        <v>119.09</v>
      </c>
      <c r="C45" s="7">
        <v>113.43</v>
      </c>
      <c r="D45" s="7">
        <v>114.036597353697</v>
      </c>
      <c r="E45" s="7">
        <v>114.036597353697</v>
      </c>
      <c r="F45" s="7">
        <v>114.036597353697</v>
      </c>
      <c r="G45" s="7">
        <v>113.43190328745</v>
      </c>
      <c r="H45" s="7">
        <v>113.43190328745</v>
      </c>
      <c r="I45" s="9"/>
      <c r="J45" s="9">
        <f t="shared" si="0"/>
        <v>5.3477682596931864E-3</v>
      </c>
      <c r="K45" s="9">
        <f t="shared" si="1"/>
        <v>1.6779400952016132E-5</v>
      </c>
      <c r="L45" s="9"/>
    </row>
    <row r="46" spans="1:12" x14ac:dyDescent="0.25">
      <c r="A46" s="6">
        <v>38808</v>
      </c>
      <c r="B46" s="7">
        <v>112.61</v>
      </c>
      <c r="C46" s="7">
        <v>114.21</v>
      </c>
      <c r="D46" s="7">
        <v>112.108090862507</v>
      </c>
      <c r="E46" s="7">
        <v>112.108090862507</v>
      </c>
      <c r="F46" s="7">
        <v>112.108090862507</v>
      </c>
      <c r="G46" s="7">
        <v>114.209309600781</v>
      </c>
      <c r="H46" s="7">
        <v>114.209309600781</v>
      </c>
      <c r="I46" s="9"/>
      <c r="J46" s="9">
        <f t="shared" si="0"/>
        <v>-1.8403897535180791E-2</v>
      </c>
      <c r="K46" s="9">
        <f t="shared" si="1"/>
        <v>-6.0449979774057638E-6</v>
      </c>
      <c r="L46" s="9"/>
    </row>
    <row r="47" spans="1:12" x14ac:dyDescent="0.25">
      <c r="A47" s="6">
        <v>38838</v>
      </c>
      <c r="B47" s="7">
        <v>117.19</v>
      </c>
      <c r="C47" s="7">
        <v>115.69</v>
      </c>
      <c r="D47" s="7">
        <v>116.796747873252</v>
      </c>
      <c r="E47" s="7">
        <v>116.796747873252</v>
      </c>
      <c r="F47" s="7">
        <v>116.796747873252</v>
      </c>
      <c r="G47" s="7">
        <v>115.687529671349</v>
      </c>
      <c r="H47" s="7">
        <v>115.687529671349</v>
      </c>
      <c r="I47" s="9"/>
      <c r="J47" s="9">
        <f t="shared" si="0"/>
        <v>9.5664955765579762E-3</v>
      </c>
      <c r="K47" s="9">
        <f t="shared" si="1"/>
        <v>-2.1353000700163882E-5</v>
      </c>
      <c r="L47" s="9"/>
    </row>
    <row r="48" spans="1:12" x14ac:dyDescent="0.25">
      <c r="A48" s="6">
        <v>38869</v>
      </c>
      <c r="B48" s="7">
        <v>114.4</v>
      </c>
      <c r="C48" s="7">
        <v>114.81</v>
      </c>
      <c r="D48" s="7">
        <v>114.654906878166</v>
      </c>
      <c r="E48" s="7">
        <v>114.654906878166</v>
      </c>
      <c r="F48" s="7">
        <v>114.654906878166</v>
      </c>
      <c r="G48" s="7">
        <v>114.813663973567</v>
      </c>
      <c r="H48" s="7">
        <v>114.813663973567</v>
      </c>
      <c r="I48" s="9"/>
      <c r="J48" s="9">
        <f t="shared" si="0"/>
        <v>-1.3508677104259181E-3</v>
      </c>
      <c r="K48" s="9">
        <f t="shared" si="1"/>
        <v>3.1913366144165067E-5</v>
      </c>
      <c r="L48" s="9"/>
    </row>
    <row r="49" spans="1:12" x14ac:dyDescent="0.25">
      <c r="A49" s="6">
        <v>38899</v>
      </c>
      <c r="B49" s="7">
        <v>119.41</v>
      </c>
      <c r="C49" s="7">
        <v>116.95</v>
      </c>
      <c r="D49" s="7">
        <v>115.621437624438</v>
      </c>
      <c r="E49" s="7">
        <v>115.621437624438</v>
      </c>
      <c r="F49" s="7">
        <v>115.621437624438</v>
      </c>
      <c r="G49" s="7">
        <v>116.947738137172</v>
      </c>
      <c r="H49" s="7">
        <v>116.947738137172</v>
      </c>
      <c r="I49" s="9"/>
      <c r="J49" s="9">
        <f t="shared" si="0"/>
        <v>-1.1360088717930705E-2</v>
      </c>
      <c r="K49" s="9">
        <f t="shared" si="1"/>
        <v>-1.9340426062441907E-5</v>
      </c>
      <c r="L49" s="9"/>
    </row>
    <row r="50" spans="1:12" x14ac:dyDescent="0.25">
      <c r="A50" s="6">
        <v>38930</v>
      </c>
      <c r="B50" s="7">
        <v>121.06</v>
      </c>
      <c r="C50" s="7">
        <v>116.6</v>
      </c>
      <c r="D50" s="7">
        <v>117.18786896311499</v>
      </c>
      <c r="E50" s="7">
        <v>117.18786896311499</v>
      </c>
      <c r="F50" s="7">
        <v>117.18786896311499</v>
      </c>
      <c r="G50" s="7">
        <v>116.601432516701</v>
      </c>
      <c r="H50" s="7">
        <v>116.601432516701</v>
      </c>
      <c r="I50" s="9"/>
      <c r="J50" s="9">
        <f t="shared" si="0"/>
        <v>5.0417578311749978E-3</v>
      </c>
      <c r="K50" s="9">
        <f t="shared" si="1"/>
        <v>1.2285735000006071E-5</v>
      </c>
      <c r="L50" s="9"/>
    </row>
    <row r="51" spans="1:12" x14ac:dyDescent="0.25">
      <c r="A51" s="6">
        <v>38961</v>
      </c>
      <c r="B51" s="7">
        <v>116.21</v>
      </c>
      <c r="C51" s="7">
        <v>116.8</v>
      </c>
      <c r="D51" s="7">
        <v>116.12521247811701</v>
      </c>
      <c r="E51" s="7">
        <v>116.12521247811701</v>
      </c>
      <c r="F51" s="7">
        <v>116.12521247811701</v>
      </c>
      <c r="G51" s="7">
        <v>116.797996843357</v>
      </c>
      <c r="H51" s="7">
        <v>116.797996843357</v>
      </c>
      <c r="I51" s="9"/>
      <c r="J51" s="9">
        <f t="shared" si="0"/>
        <v>-5.7772904270804171E-3</v>
      </c>
      <c r="K51" s="9">
        <f t="shared" si="1"/>
        <v>-1.71503137242901E-5</v>
      </c>
      <c r="L51" s="9"/>
    </row>
    <row r="52" spans="1:12" x14ac:dyDescent="0.25">
      <c r="A52" s="6">
        <v>38991</v>
      </c>
      <c r="B52" s="7">
        <v>119.33</v>
      </c>
      <c r="C52" s="7">
        <v>118.07</v>
      </c>
      <c r="D52" s="7">
        <v>118.360590245404</v>
      </c>
      <c r="E52" s="7">
        <v>118.360590245404</v>
      </c>
      <c r="F52" s="7">
        <v>118.360590245404</v>
      </c>
      <c r="G52" s="7">
        <v>118.07270662266799</v>
      </c>
      <c r="H52" s="7">
        <v>118.07270662266799</v>
      </c>
      <c r="I52" s="9"/>
      <c r="J52" s="9">
        <f t="shared" si="0"/>
        <v>2.4611691827221005E-3</v>
      </c>
      <c r="K52" s="9">
        <f t="shared" si="1"/>
        <v>2.2923881324743434E-5</v>
      </c>
      <c r="L52" s="9"/>
    </row>
    <row r="53" spans="1:12" x14ac:dyDescent="0.25">
      <c r="A53" s="6">
        <v>39022</v>
      </c>
      <c r="B53" s="7">
        <v>118.67</v>
      </c>
      <c r="C53" s="7">
        <v>118.87</v>
      </c>
      <c r="D53" s="7">
        <v>118.695272473168</v>
      </c>
      <c r="E53" s="7">
        <v>118.695272473168</v>
      </c>
      <c r="F53" s="7">
        <v>118.695272473168</v>
      </c>
      <c r="G53" s="7">
        <v>118.866023115085</v>
      </c>
      <c r="H53" s="7">
        <v>118.866023115085</v>
      </c>
      <c r="I53" s="9"/>
      <c r="J53" s="9">
        <f t="shared" si="0"/>
        <v>-1.4699043226381603E-3</v>
      </c>
      <c r="K53" s="9">
        <f t="shared" si="1"/>
        <v>-3.3455749263944234E-5</v>
      </c>
      <c r="L53" s="9"/>
    </row>
    <row r="54" spans="1:12" x14ac:dyDescent="0.25">
      <c r="A54" s="6">
        <v>39052</v>
      </c>
      <c r="B54" s="7">
        <v>116.3</v>
      </c>
      <c r="C54" s="7">
        <v>119.87</v>
      </c>
      <c r="D54" s="7">
        <v>118.951419148398</v>
      </c>
      <c r="E54" s="7">
        <v>118.951419148398</v>
      </c>
      <c r="F54" s="7">
        <v>118.951419148398</v>
      </c>
      <c r="G54" s="7">
        <v>119.868640356285</v>
      </c>
      <c r="H54" s="7">
        <v>119.868640356285</v>
      </c>
      <c r="I54" s="9"/>
      <c r="J54" s="9">
        <f t="shared" si="0"/>
        <v>-7.6631421673646338E-3</v>
      </c>
      <c r="K54" s="9">
        <f t="shared" si="1"/>
        <v>-1.1342652164847422E-5</v>
      </c>
      <c r="L54" s="9"/>
    </row>
    <row r="55" spans="1:12" x14ac:dyDescent="0.25">
      <c r="A55" s="6">
        <v>39083</v>
      </c>
      <c r="B55" s="7">
        <v>114.79</v>
      </c>
      <c r="C55" s="7">
        <v>119.71</v>
      </c>
      <c r="D55" s="7">
        <v>120.290984053372</v>
      </c>
      <c r="E55" s="7">
        <v>120.290984053372</v>
      </c>
      <c r="F55" s="7">
        <v>120.290984053372</v>
      </c>
      <c r="G55" s="7">
        <v>119.709200807885</v>
      </c>
      <c r="H55" s="7">
        <v>119.709200807885</v>
      </c>
      <c r="I55" s="9"/>
      <c r="J55" s="9">
        <f t="shared" si="0"/>
        <v>4.8532624957982051E-3</v>
      </c>
      <c r="K55" s="9">
        <f t="shared" si="1"/>
        <v>-6.6760681229904861E-6</v>
      </c>
      <c r="L55" s="9"/>
    </row>
    <row r="56" spans="1:12" x14ac:dyDescent="0.25">
      <c r="A56" s="6">
        <v>39114</v>
      </c>
      <c r="B56" s="7">
        <v>113.33</v>
      </c>
      <c r="C56" s="7">
        <v>120.16</v>
      </c>
      <c r="D56" s="7">
        <v>119.582878059956</v>
      </c>
      <c r="E56" s="7">
        <v>119.582878059956</v>
      </c>
      <c r="F56" s="7">
        <v>119.582878059956</v>
      </c>
      <c r="G56" s="7">
        <v>120.163267372447</v>
      </c>
      <c r="H56" s="7">
        <v>120.163267372447</v>
      </c>
      <c r="I56" s="9"/>
      <c r="J56" s="9">
        <f t="shared" si="0"/>
        <v>-4.8029455729360349E-3</v>
      </c>
      <c r="K56" s="9">
        <f t="shared" si="1"/>
        <v>2.7191847927765522E-5</v>
      </c>
      <c r="L56" s="9"/>
    </row>
    <row r="57" spans="1:12" x14ac:dyDescent="0.25">
      <c r="A57" s="6">
        <v>39142</v>
      </c>
      <c r="B57" s="7">
        <v>125.11</v>
      </c>
      <c r="C57" s="7">
        <v>119.34</v>
      </c>
      <c r="D57" s="7">
        <v>120.253604345879</v>
      </c>
      <c r="E57" s="7">
        <v>120.253604345879</v>
      </c>
      <c r="F57" s="7">
        <v>120.253604345879</v>
      </c>
      <c r="G57" s="7">
        <v>119.34280677963601</v>
      </c>
      <c r="H57" s="7">
        <v>119.34280677963601</v>
      </c>
      <c r="I57" s="9"/>
      <c r="J57" s="9">
        <f t="shared" si="0"/>
        <v>7.6554746596195766E-3</v>
      </c>
      <c r="K57" s="9">
        <f t="shared" si="1"/>
        <v>2.3519185821996302E-5</v>
      </c>
      <c r="L57" s="9"/>
    </row>
    <row r="58" spans="1:12" x14ac:dyDescent="0.25">
      <c r="A58" s="6">
        <v>39173</v>
      </c>
      <c r="B58" s="7">
        <v>120.29</v>
      </c>
      <c r="C58" s="7">
        <v>121.14</v>
      </c>
      <c r="D58" s="7">
        <v>120.065921560097</v>
      </c>
      <c r="E58" s="7">
        <v>120.065921560097</v>
      </c>
      <c r="F58" s="7">
        <v>120.065921560097</v>
      </c>
      <c r="G58" s="7">
        <v>121.135931900979</v>
      </c>
      <c r="H58" s="7">
        <v>121.135931900979</v>
      </c>
      <c r="I58" s="9"/>
      <c r="J58" s="9">
        <f t="shared" si="0"/>
        <v>-8.8664226506769417E-3</v>
      </c>
      <c r="K58" s="9">
        <f t="shared" si="1"/>
        <v>-3.358179809309636E-5</v>
      </c>
      <c r="L58" s="9"/>
    </row>
    <row r="59" spans="1:12" x14ac:dyDescent="0.25">
      <c r="A59" s="6">
        <v>39203</v>
      </c>
      <c r="B59" s="7">
        <v>123.9</v>
      </c>
      <c r="C59" s="7">
        <v>122.39</v>
      </c>
      <c r="D59" s="7">
        <v>123.533113479086</v>
      </c>
      <c r="E59" s="7">
        <v>123.533113479086</v>
      </c>
      <c r="F59" s="7">
        <v>123.533113479086</v>
      </c>
      <c r="G59" s="7">
        <v>122.390623496016</v>
      </c>
      <c r="H59" s="7">
        <v>122.390623496016</v>
      </c>
      <c r="I59" s="9"/>
      <c r="J59" s="9">
        <f t="shared" si="0"/>
        <v>9.3399254766401985E-3</v>
      </c>
      <c r="K59" s="9">
        <f t="shared" si="1"/>
        <v>5.0943379035217617E-6</v>
      </c>
      <c r="L59" s="9"/>
    </row>
    <row r="60" spans="1:12" x14ac:dyDescent="0.25">
      <c r="A60" s="6">
        <v>39234</v>
      </c>
      <c r="B60" s="7">
        <v>122.38</v>
      </c>
      <c r="C60" s="7">
        <v>123.47</v>
      </c>
      <c r="D60" s="7">
        <v>122.56827810880399</v>
      </c>
      <c r="E60" s="7">
        <v>122.56827810880399</v>
      </c>
      <c r="F60" s="7">
        <v>122.56827810880399</v>
      </c>
      <c r="G60" s="7">
        <v>123.47017542367399</v>
      </c>
      <c r="H60" s="7">
        <v>123.47017542367399</v>
      </c>
      <c r="I60" s="9"/>
      <c r="J60" s="9">
        <f t="shared" si="0"/>
        <v>-7.3031658799385113E-3</v>
      </c>
      <c r="K60" s="9">
        <f t="shared" si="1"/>
        <v>1.4207797358611884E-6</v>
      </c>
      <c r="L60" s="9"/>
    </row>
    <row r="61" spans="1:12" x14ac:dyDescent="0.25">
      <c r="A61" s="6">
        <v>39264</v>
      </c>
      <c r="B61" s="7">
        <v>127.85</v>
      </c>
      <c r="C61" s="7">
        <v>124.29</v>
      </c>
      <c r="D61" s="7">
        <v>123.600977279475</v>
      </c>
      <c r="E61" s="7">
        <v>123.600977279475</v>
      </c>
      <c r="F61" s="7">
        <v>123.600977279475</v>
      </c>
      <c r="G61" s="7">
        <v>124.28845365242699</v>
      </c>
      <c r="H61" s="7">
        <v>124.28845365242699</v>
      </c>
      <c r="I61" s="9"/>
      <c r="J61" s="9">
        <f t="shared" si="0"/>
        <v>-5.5436698087135694E-3</v>
      </c>
      <c r="K61" s="9">
        <f t="shared" si="1"/>
        <v>-1.2441448008826406E-5</v>
      </c>
      <c r="L61" s="9"/>
    </row>
    <row r="62" spans="1:12" x14ac:dyDescent="0.25">
      <c r="A62" s="6">
        <v>39295</v>
      </c>
      <c r="B62" s="7">
        <v>129.05000000000001</v>
      </c>
      <c r="C62" s="7">
        <v>124.25</v>
      </c>
      <c r="D62" s="7">
        <v>125.1614444618</v>
      </c>
      <c r="E62" s="7">
        <v>125.1614444618</v>
      </c>
      <c r="F62" s="7">
        <v>125.1614444618</v>
      </c>
      <c r="G62" s="7">
        <v>124.251457605472</v>
      </c>
      <c r="H62" s="7">
        <v>124.251457605472</v>
      </c>
      <c r="I62" s="9"/>
      <c r="J62" s="9">
        <f t="shared" si="0"/>
        <v>7.3355691090544184E-3</v>
      </c>
      <c r="K62" s="9">
        <f t="shared" si="1"/>
        <v>1.173123116293695E-5</v>
      </c>
      <c r="L62" s="9"/>
    </row>
    <row r="63" spans="1:12" x14ac:dyDescent="0.25">
      <c r="A63" s="6">
        <v>39326</v>
      </c>
      <c r="B63" s="7">
        <v>123.24</v>
      </c>
      <c r="C63" s="7">
        <v>125.29</v>
      </c>
      <c r="D63" s="7">
        <v>122.995419928052</v>
      </c>
      <c r="E63" s="7">
        <v>122.995419928052</v>
      </c>
      <c r="F63" s="7">
        <v>122.995419928052</v>
      </c>
      <c r="G63" s="7">
        <v>125.28513263087601</v>
      </c>
      <c r="H63" s="7">
        <v>125.28513263087601</v>
      </c>
      <c r="I63" s="9"/>
      <c r="J63" s="9">
        <f t="shared" si="0"/>
        <v>-1.8314151743539009E-2</v>
      </c>
      <c r="K63" s="9">
        <f t="shared" si="1"/>
        <v>-3.8848823720960546E-5</v>
      </c>
      <c r="L63" s="9"/>
    </row>
    <row r="64" spans="1:12" x14ac:dyDescent="0.25">
      <c r="A64" s="6">
        <v>39356</v>
      </c>
      <c r="B64" s="7">
        <v>129.16999999999999</v>
      </c>
      <c r="C64" s="7">
        <v>126.29</v>
      </c>
      <c r="D64" s="7">
        <v>127.865383687858</v>
      </c>
      <c r="E64" s="7">
        <v>127.865383687858</v>
      </c>
      <c r="F64" s="7">
        <v>127.865383687858</v>
      </c>
      <c r="G64" s="7">
        <v>126.293279078268</v>
      </c>
      <c r="H64" s="7">
        <v>126.293279078268</v>
      </c>
      <c r="I64" s="9"/>
      <c r="J64" s="9">
        <f t="shared" si="0"/>
        <v>1.2474334372143403E-2</v>
      </c>
      <c r="K64" s="9">
        <f t="shared" si="1"/>
        <v>2.5964670741895901E-5</v>
      </c>
      <c r="L64" s="9"/>
    </row>
    <row r="65" spans="1:12" x14ac:dyDescent="0.25">
      <c r="A65" s="6">
        <v>39387</v>
      </c>
      <c r="B65" s="7">
        <v>125.88</v>
      </c>
      <c r="C65" s="7">
        <v>126.22</v>
      </c>
      <c r="D65" s="7">
        <v>125.89888578852</v>
      </c>
      <c r="E65" s="7">
        <v>125.89888578852</v>
      </c>
      <c r="F65" s="7">
        <v>125.89888578852</v>
      </c>
      <c r="G65" s="7">
        <v>126.22120534469001</v>
      </c>
      <c r="H65" s="7">
        <v>126.22120534469001</v>
      </c>
      <c r="I65" s="9"/>
      <c r="J65" s="9">
        <f t="shared" si="0"/>
        <v>-2.544083437490019E-3</v>
      </c>
      <c r="K65" s="9">
        <f t="shared" si="1"/>
        <v>9.5495538743328723E-6</v>
      </c>
      <c r="L65" s="9"/>
    </row>
    <row r="66" spans="1:12" x14ac:dyDescent="0.25">
      <c r="A66" s="6">
        <v>39417</v>
      </c>
      <c r="B66" s="7">
        <v>122.43</v>
      </c>
      <c r="C66" s="7">
        <v>126.9</v>
      </c>
      <c r="D66" s="7">
        <v>125.210475109507</v>
      </c>
      <c r="E66" s="7">
        <v>125.210475109507</v>
      </c>
      <c r="F66" s="7">
        <v>125.210475109507</v>
      </c>
      <c r="G66" s="7">
        <v>126.90051219800399</v>
      </c>
      <c r="H66" s="7">
        <v>126.90051219800399</v>
      </c>
      <c r="I66" s="9"/>
      <c r="J66" s="9">
        <f t="shared" si="0"/>
        <v>-1.3313828924294779E-2</v>
      </c>
      <c r="K66" s="9">
        <f t="shared" si="1"/>
        <v>4.0362332860421901E-6</v>
      </c>
      <c r="L66" s="9"/>
    </row>
    <row r="67" spans="1:12" x14ac:dyDescent="0.25">
      <c r="A67" s="6">
        <v>39448</v>
      </c>
      <c r="B67" s="7">
        <v>121.86</v>
      </c>
      <c r="C67" s="7">
        <v>127.22</v>
      </c>
      <c r="D67" s="7">
        <v>127.71693097823599</v>
      </c>
      <c r="E67" s="7">
        <v>127.71693097823599</v>
      </c>
      <c r="F67" s="7">
        <v>127.71693097823599</v>
      </c>
      <c r="G67" s="7">
        <v>127.22351323624601</v>
      </c>
      <c r="H67" s="7">
        <v>127.22351323624601</v>
      </c>
      <c r="I67" s="9"/>
      <c r="J67" s="9">
        <f t="shared" si="0"/>
        <v>3.9060759175915116E-3</v>
      </c>
      <c r="K67" s="9">
        <f t="shared" si="1"/>
        <v>2.7615439758044147E-5</v>
      </c>
      <c r="L67" s="9"/>
    </row>
    <row r="68" spans="1:12" x14ac:dyDescent="0.25">
      <c r="A68" s="6">
        <v>39479</v>
      </c>
      <c r="B68" s="7">
        <v>121.91</v>
      </c>
      <c r="C68" s="7">
        <v>126.84</v>
      </c>
      <c r="D68" s="7">
        <v>128.21436632171</v>
      </c>
      <c r="E68" s="7">
        <v>128.21436632171</v>
      </c>
      <c r="F68" s="7">
        <v>128.21436632171</v>
      </c>
      <c r="G68" s="7">
        <v>126.83586051399099</v>
      </c>
      <c r="H68" s="7">
        <v>126.83586051399099</v>
      </c>
      <c r="I68" s="9"/>
      <c r="J68" s="9">
        <f t="shared" si="0"/>
        <v>1.083543299992118E-2</v>
      </c>
      <c r="K68" s="9">
        <f t="shared" si="1"/>
        <v>-3.2635493606214538E-5</v>
      </c>
      <c r="L68" s="9"/>
    </row>
    <row r="69" spans="1:12" x14ac:dyDescent="0.25">
      <c r="A69" s="6">
        <v>39508</v>
      </c>
      <c r="B69" s="7">
        <v>128.99</v>
      </c>
      <c r="C69" s="7">
        <v>126.35</v>
      </c>
      <c r="D69" s="7">
        <v>124.34544382939001</v>
      </c>
      <c r="E69" s="7">
        <v>124.34544382939001</v>
      </c>
      <c r="F69" s="7">
        <v>124.34544382939001</v>
      </c>
      <c r="G69" s="7">
        <v>126.349338918198</v>
      </c>
      <c r="H69" s="7">
        <v>126.349338918198</v>
      </c>
      <c r="I69" s="9"/>
      <c r="J69" s="9">
        <f t="shared" si="0"/>
        <v>-1.5865106217728409E-2</v>
      </c>
      <c r="K69" s="9">
        <f t="shared" si="1"/>
        <v>-5.2321472259198032E-6</v>
      </c>
      <c r="L69" s="9"/>
    </row>
    <row r="70" spans="1:12" x14ac:dyDescent="0.25">
      <c r="A70" s="6">
        <v>39539</v>
      </c>
      <c r="B70" s="7">
        <v>129.47999999999999</v>
      </c>
      <c r="C70" s="7">
        <v>127.73</v>
      </c>
      <c r="D70" s="7">
        <v>129.532494192325</v>
      </c>
      <c r="E70" s="7">
        <v>129.532494192325</v>
      </c>
      <c r="F70" s="7">
        <v>129.532494192325</v>
      </c>
      <c r="G70" s="7">
        <v>127.72569199262701</v>
      </c>
      <c r="H70" s="7">
        <v>127.72569199262701</v>
      </c>
      <c r="I70" s="9"/>
      <c r="J70" s="9">
        <f t="shared" si="0"/>
        <v>1.4111752856220239E-2</v>
      </c>
      <c r="K70" s="9">
        <f t="shared" si="1"/>
        <v>-3.3727451444476308E-5</v>
      </c>
      <c r="L70" s="9"/>
    </row>
    <row r="71" spans="1:12" x14ac:dyDescent="0.25">
      <c r="A71" s="6">
        <v>39569</v>
      </c>
      <c r="B71" s="7">
        <v>128.91999999999999</v>
      </c>
      <c r="C71" s="7">
        <v>129.41999999999999</v>
      </c>
      <c r="D71" s="7">
        <v>128.45569858272199</v>
      </c>
      <c r="E71" s="7">
        <v>128.45569858272199</v>
      </c>
      <c r="F71" s="7">
        <v>128.45569858272199</v>
      </c>
      <c r="G71" s="7">
        <v>129.41832033864</v>
      </c>
      <c r="H71" s="7">
        <v>129.41832033864</v>
      </c>
      <c r="I71" s="9"/>
      <c r="J71" s="9">
        <f t="shared" ref="J71:J134" si="2">E71/$C71-1</f>
        <v>-7.4509458915005267E-3</v>
      </c>
      <c r="K71" s="9">
        <f t="shared" ref="K71:K134" si="3">G71/$C71-1</f>
        <v>-1.2978375521499608E-5</v>
      </c>
      <c r="L71" s="9"/>
    </row>
    <row r="72" spans="1:12" x14ac:dyDescent="0.25">
      <c r="A72" s="6">
        <v>39600</v>
      </c>
      <c r="B72" s="7">
        <v>130.59</v>
      </c>
      <c r="C72" s="7">
        <v>131.19999999999999</v>
      </c>
      <c r="D72" s="7">
        <v>130.75225993833499</v>
      </c>
      <c r="E72" s="7">
        <v>130.75225993833499</v>
      </c>
      <c r="F72" s="7">
        <v>130.75225993833499</v>
      </c>
      <c r="G72" s="7">
        <v>131.20342560078799</v>
      </c>
      <c r="H72" s="7">
        <v>131.20342560078799</v>
      </c>
      <c r="I72" s="9"/>
      <c r="J72" s="9">
        <f t="shared" si="2"/>
        <v>-3.4126529090320323E-3</v>
      </c>
      <c r="K72" s="9">
        <f t="shared" si="3"/>
        <v>2.6109762103709855E-5</v>
      </c>
      <c r="L72" s="9"/>
    </row>
    <row r="73" spans="1:12" x14ac:dyDescent="0.25">
      <c r="A73" s="6">
        <v>39630</v>
      </c>
      <c r="B73" s="7">
        <v>136.53</v>
      </c>
      <c r="C73" s="7">
        <v>130.96</v>
      </c>
      <c r="D73" s="7">
        <v>132.028401506184</v>
      </c>
      <c r="E73" s="7">
        <v>132.028401506184</v>
      </c>
      <c r="F73" s="7">
        <v>132.028401506184</v>
      </c>
      <c r="G73" s="7">
        <v>130.96313614634701</v>
      </c>
      <c r="H73" s="7">
        <v>130.96313614634701</v>
      </c>
      <c r="I73" s="9"/>
      <c r="J73" s="9">
        <f t="shared" si="2"/>
        <v>8.1582277503358114E-3</v>
      </c>
      <c r="K73" s="9">
        <f t="shared" si="3"/>
        <v>2.394736062161229E-5</v>
      </c>
      <c r="L73" s="9"/>
    </row>
    <row r="74" spans="1:12" x14ac:dyDescent="0.25">
      <c r="A74" s="6">
        <v>39661</v>
      </c>
      <c r="B74" s="7">
        <v>133.87</v>
      </c>
      <c r="C74" s="7">
        <v>130.94999999999999</v>
      </c>
      <c r="D74" s="7">
        <v>129.83765664175601</v>
      </c>
      <c r="E74" s="7">
        <v>129.83765664175601</v>
      </c>
      <c r="F74" s="7">
        <v>129.83765664175601</v>
      </c>
      <c r="G74" s="7">
        <v>130.94507589333</v>
      </c>
      <c r="H74" s="7">
        <v>130.94507589333</v>
      </c>
      <c r="I74" s="9"/>
      <c r="J74" s="9">
        <f t="shared" si="2"/>
        <v>-8.4944128159143428E-3</v>
      </c>
      <c r="K74" s="9">
        <f t="shared" si="3"/>
        <v>-3.7602952806303769E-5</v>
      </c>
      <c r="L74" s="9"/>
    </row>
    <row r="75" spans="1:12" x14ac:dyDescent="0.25">
      <c r="A75" s="6">
        <v>39692</v>
      </c>
      <c r="B75" s="7">
        <v>132.6</v>
      </c>
      <c r="C75" s="7">
        <v>130.94</v>
      </c>
      <c r="D75" s="7">
        <v>132.08159474467101</v>
      </c>
      <c r="E75" s="7">
        <v>132.08159474467101</v>
      </c>
      <c r="F75" s="7">
        <v>132.08159474467101</v>
      </c>
      <c r="G75" s="7">
        <v>130.93818790177201</v>
      </c>
      <c r="H75" s="7">
        <v>130.93818790177201</v>
      </c>
      <c r="I75" s="9"/>
      <c r="J75" s="9">
        <f t="shared" si="2"/>
        <v>8.7184568861387035E-3</v>
      </c>
      <c r="K75" s="9">
        <f t="shared" si="3"/>
        <v>-1.3839149442418375E-5</v>
      </c>
      <c r="L75" s="9"/>
    </row>
    <row r="76" spans="1:12" x14ac:dyDescent="0.25">
      <c r="A76" s="6">
        <v>39722</v>
      </c>
      <c r="B76" s="7">
        <v>132.80000000000001</v>
      </c>
      <c r="C76" s="7">
        <v>128.13</v>
      </c>
      <c r="D76" s="7">
        <v>131.296425771625</v>
      </c>
      <c r="E76" s="7">
        <v>131.296425771625</v>
      </c>
      <c r="F76" s="7">
        <v>131.296425771625</v>
      </c>
      <c r="G76" s="7">
        <v>128.13046690950699</v>
      </c>
      <c r="H76" s="7">
        <v>128.13046690950699</v>
      </c>
      <c r="I76" s="9"/>
      <c r="J76" s="9">
        <f t="shared" si="2"/>
        <v>2.4712602603800926E-2</v>
      </c>
      <c r="K76" s="9">
        <f t="shared" si="3"/>
        <v>3.6440295558826108E-6</v>
      </c>
      <c r="L76" s="9"/>
    </row>
    <row r="77" spans="1:12" x14ac:dyDescent="0.25">
      <c r="A77" s="6">
        <v>39753</v>
      </c>
      <c r="B77" s="7">
        <v>124.58</v>
      </c>
      <c r="C77" s="7">
        <v>125.06</v>
      </c>
      <c r="D77" s="7">
        <v>124.62919867740101</v>
      </c>
      <c r="E77" s="7">
        <v>124.62919867740101</v>
      </c>
      <c r="F77" s="7">
        <v>124.62919867740101</v>
      </c>
      <c r="G77" s="7">
        <v>125.063975179057</v>
      </c>
      <c r="H77" s="7">
        <v>125.063975179057</v>
      </c>
      <c r="I77" s="9"/>
      <c r="J77" s="9">
        <f t="shared" si="2"/>
        <v>-3.4447570973852315E-3</v>
      </c>
      <c r="K77" s="9">
        <f t="shared" si="3"/>
        <v>3.1786175091808033E-5</v>
      </c>
      <c r="L77" s="9"/>
    </row>
    <row r="78" spans="1:12" x14ac:dyDescent="0.25">
      <c r="A78" s="6">
        <v>39783</v>
      </c>
      <c r="B78" s="7">
        <v>118.9</v>
      </c>
      <c r="C78" s="7">
        <v>120.95</v>
      </c>
      <c r="D78" s="7">
        <v>121.80493666242999</v>
      </c>
      <c r="E78" s="7">
        <v>121.80493666242999</v>
      </c>
      <c r="F78" s="7">
        <v>121.80493666242999</v>
      </c>
      <c r="G78" s="7">
        <v>120.94629257877</v>
      </c>
      <c r="H78" s="7">
        <v>120.94629257877</v>
      </c>
      <c r="I78" s="9"/>
      <c r="J78" s="9">
        <f t="shared" si="2"/>
        <v>7.0685131246794874E-3</v>
      </c>
      <c r="K78" s="9">
        <f t="shared" si="3"/>
        <v>-3.0652511203044241E-5</v>
      </c>
      <c r="L78" s="9"/>
    </row>
    <row r="79" spans="1:12" x14ac:dyDescent="0.25">
      <c r="A79" s="6">
        <v>39814</v>
      </c>
      <c r="B79" s="7">
        <v>115.2</v>
      </c>
      <c r="C79" s="7">
        <v>120.85</v>
      </c>
      <c r="D79" s="7">
        <v>121.536611195654</v>
      </c>
      <c r="E79" s="7">
        <v>121.536611195654</v>
      </c>
      <c r="F79" s="7">
        <v>121.536611195654</v>
      </c>
      <c r="G79" s="7">
        <v>120.850700865896</v>
      </c>
      <c r="H79" s="7">
        <v>120.850700865896</v>
      </c>
      <c r="I79" s="9"/>
      <c r="J79" s="9">
        <f t="shared" si="2"/>
        <v>5.6815158928755771E-3</v>
      </c>
      <c r="K79" s="9">
        <f t="shared" si="3"/>
        <v>5.7994695572549659E-6</v>
      </c>
      <c r="L79" s="9"/>
    </row>
    <row r="80" spans="1:12" x14ac:dyDescent="0.25">
      <c r="A80" s="6">
        <v>39845</v>
      </c>
      <c r="B80" s="7">
        <v>115.26</v>
      </c>
      <c r="C80" s="7">
        <v>122.19</v>
      </c>
      <c r="D80" s="7">
        <v>121.456594681585</v>
      </c>
      <c r="E80" s="7">
        <v>121.456594681585</v>
      </c>
      <c r="F80" s="7">
        <v>121.456594681585</v>
      </c>
      <c r="G80" s="7">
        <v>122.18762654451299</v>
      </c>
      <c r="H80" s="7">
        <v>122.18762654451299</v>
      </c>
      <c r="I80" s="9"/>
      <c r="J80" s="9">
        <f t="shared" si="2"/>
        <v>-6.0021713594811121E-3</v>
      </c>
      <c r="K80" s="9">
        <f t="shared" si="3"/>
        <v>-1.9424302209691824E-5</v>
      </c>
      <c r="L80" s="9"/>
    </row>
    <row r="81" spans="1:12" x14ac:dyDescent="0.25">
      <c r="A81" s="6">
        <v>39873</v>
      </c>
      <c r="B81" s="7">
        <v>127.81</v>
      </c>
      <c r="C81" s="7">
        <v>122.96</v>
      </c>
      <c r="D81" s="7">
        <v>123.25572625188801</v>
      </c>
      <c r="E81" s="7">
        <v>123.25572625188801</v>
      </c>
      <c r="F81" s="7">
        <v>123.25572625188801</v>
      </c>
      <c r="G81" s="7">
        <v>122.963596948842</v>
      </c>
      <c r="H81" s="7">
        <v>122.963596948842</v>
      </c>
      <c r="I81" s="9"/>
      <c r="J81" s="9">
        <f t="shared" si="2"/>
        <v>2.405060604164122E-3</v>
      </c>
      <c r="K81" s="9">
        <f t="shared" si="3"/>
        <v>2.9252999691031789E-5</v>
      </c>
      <c r="L81" s="9"/>
    </row>
    <row r="82" spans="1:12" x14ac:dyDescent="0.25">
      <c r="A82" s="6">
        <v>39904</v>
      </c>
      <c r="B82" s="7">
        <v>123.09</v>
      </c>
      <c r="C82" s="7">
        <v>123.53</v>
      </c>
      <c r="D82" s="7">
        <v>123.35583515712599</v>
      </c>
      <c r="E82" s="7">
        <v>123.35583515712599</v>
      </c>
      <c r="F82" s="7">
        <v>123.35583515712599</v>
      </c>
      <c r="G82" s="7">
        <v>123.53450073120899</v>
      </c>
      <c r="H82" s="7">
        <v>123.53450073120899</v>
      </c>
      <c r="I82" s="9"/>
      <c r="J82" s="9">
        <f t="shared" si="2"/>
        <v>-1.4098991570793418E-3</v>
      </c>
      <c r="K82" s="9">
        <f t="shared" si="3"/>
        <v>3.6434317242761693E-5</v>
      </c>
      <c r="L82" s="9"/>
    </row>
    <row r="83" spans="1:12" x14ac:dyDescent="0.25">
      <c r="A83" s="6">
        <v>39934</v>
      </c>
      <c r="B83" s="7">
        <v>124.41</v>
      </c>
      <c r="C83" s="7">
        <v>124.88</v>
      </c>
      <c r="D83" s="7">
        <v>123.880509476556</v>
      </c>
      <c r="E83" s="7">
        <v>123.880509476556</v>
      </c>
      <c r="F83" s="7">
        <v>123.880509476556</v>
      </c>
      <c r="G83" s="7">
        <v>124.87942034163299</v>
      </c>
      <c r="H83" s="7">
        <v>124.87942034163299</v>
      </c>
      <c r="I83" s="9"/>
      <c r="J83" s="9">
        <f t="shared" si="2"/>
        <v>-8.0036076508968046E-3</v>
      </c>
      <c r="K83" s="9">
        <f t="shared" si="3"/>
        <v>-4.6417229900841406E-6</v>
      </c>
      <c r="L83" s="9"/>
    </row>
    <row r="84" spans="1:12" x14ac:dyDescent="0.25">
      <c r="A84" s="6">
        <v>39965</v>
      </c>
      <c r="B84" s="7">
        <v>125.61</v>
      </c>
      <c r="C84" s="7">
        <v>125.96</v>
      </c>
      <c r="D84" s="7">
        <v>125.808263814011</v>
      </c>
      <c r="E84" s="7">
        <v>125.808263814011</v>
      </c>
      <c r="F84" s="7">
        <v>125.808263814011</v>
      </c>
      <c r="G84" s="7">
        <v>125.956917137692</v>
      </c>
      <c r="H84" s="7">
        <v>125.956917137692</v>
      </c>
      <c r="I84" s="9"/>
      <c r="J84" s="9">
        <f t="shared" si="2"/>
        <v>-1.2046378690774295E-3</v>
      </c>
      <c r="K84" s="9">
        <f t="shared" si="3"/>
        <v>-2.4474930993889643E-5</v>
      </c>
      <c r="L84" s="9"/>
    </row>
    <row r="85" spans="1:12" x14ac:dyDescent="0.25">
      <c r="A85" s="6">
        <v>39995</v>
      </c>
      <c r="B85" s="7">
        <v>131.44</v>
      </c>
      <c r="C85" s="7">
        <v>126.25</v>
      </c>
      <c r="D85" s="7">
        <v>126.82173594654699</v>
      </c>
      <c r="E85" s="7">
        <v>126.82173594654699</v>
      </c>
      <c r="F85" s="7">
        <v>126.82173594654699</v>
      </c>
      <c r="G85" s="7">
        <v>126.25151819206199</v>
      </c>
      <c r="H85" s="7">
        <v>126.25151819206199</v>
      </c>
      <c r="I85" s="9"/>
      <c r="J85" s="9">
        <f t="shared" si="2"/>
        <v>4.5286015568077875E-3</v>
      </c>
      <c r="K85" s="9">
        <f t="shared" si="3"/>
        <v>1.2025283659289343E-5</v>
      </c>
      <c r="L85" s="9"/>
    </row>
    <row r="86" spans="1:12" x14ac:dyDescent="0.25">
      <c r="A86" s="6">
        <v>40026</v>
      </c>
      <c r="B86" s="7">
        <v>130.69999999999999</v>
      </c>
      <c r="C86" s="7">
        <v>128.06</v>
      </c>
      <c r="D86" s="7">
        <v>126.53357491684601</v>
      </c>
      <c r="E86" s="7">
        <v>126.53357491684601</v>
      </c>
      <c r="F86" s="7">
        <v>126.53357491684601</v>
      </c>
      <c r="G86" s="7">
        <v>128.058464552852</v>
      </c>
      <c r="H86" s="7">
        <v>128.058464552852</v>
      </c>
      <c r="I86" s="9"/>
      <c r="J86" s="9">
        <f t="shared" si="2"/>
        <v>-1.1919608645587942E-2</v>
      </c>
      <c r="K86" s="9">
        <f t="shared" si="3"/>
        <v>-1.1990060502897748E-5</v>
      </c>
      <c r="L86" s="9"/>
    </row>
    <row r="87" spans="1:12" x14ac:dyDescent="0.25">
      <c r="A87" s="6">
        <v>40057</v>
      </c>
      <c r="B87" s="7">
        <v>129.81</v>
      </c>
      <c r="C87" s="7">
        <v>129.07</v>
      </c>
      <c r="D87" s="7">
        <v>129.00966216130399</v>
      </c>
      <c r="E87" s="7">
        <v>129.00966216130399</v>
      </c>
      <c r="F87" s="7">
        <v>129.00966216130399</v>
      </c>
      <c r="G87" s="7">
        <v>129.066404350954</v>
      </c>
      <c r="H87" s="7">
        <v>129.066404350954</v>
      </c>
      <c r="I87" s="9"/>
      <c r="J87" s="9">
        <f t="shared" si="2"/>
        <v>-4.6748151155184825E-4</v>
      </c>
      <c r="K87" s="9">
        <f t="shared" si="3"/>
        <v>-2.7858131602886971E-5</v>
      </c>
      <c r="L87" s="9"/>
    </row>
    <row r="88" spans="1:12" x14ac:dyDescent="0.25">
      <c r="A88" s="6">
        <v>40087</v>
      </c>
      <c r="B88" s="7">
        <v>132.47999999999999</v>
      </c>
      <c r="C88" s="7">
        <v>129.77000000000001</v>
      </c>
      <c r="D88" s="7">
        <v>130.84946981733199</v>
      </c>
      <c r="E88" s="7">
        <v>130.84946981733199</v>
      </c>
      <c r="F88" s="7">
        <v>130.84946981733199</v>
      </c>
      <c r="G88" s="7">
        <v>129.765520148055</v>
      </c>
      <c r="H88" s="7">
        <v>129.765520148055</v>
      </c>
      <c r="I88" s="9"/>
      <c r="J88" s="9">
        <f t="shared" si="2"/>
        <v>8.3183310266778943E-3</v>
      </c>
      <c r="K88" s="9">
        <f t="shared" si="3"/>
        <v>-3.4521476034554688E-5</v>
      </c>
      <c r="L88" s="9"/>
    </row>
    <row r="89" spans="1:12" x14ac:dyDescent="0.25">
      <c r="A89" s="6">
        <v>40118</v>
      </c>
      <c r="B89" s="7">
        <v>129.62</v>
      </c>
      <c r="C89" s="7">
        <v>130.19</v>
      </c>
      <c r="D89" s="7">
        <v>129.62084374235599</v>
      </c>
      <c r="E89" s="7">
        <v>129.62084374235599</v>
      </c>
      <c r="F89" s="7">
        <v>129.62084374235599</v>
      </c>
      <c r="G89" s="7">
        <v>130.18522864930301</v>
      </c>
      <c r="H89" s="7">
        <v>130.18522864930301</v>
      </c>
      <c r="I89" s="9"/>
      <c r="J89" s="9">
        <f t="shared" si="2"/>
        <v>-4.3717355990783302E-3</v>
      </c>
      <c r="K89" s="9">
        <f t="shared" si="3"/>
        <v>-3.6649133550836765E-5</v>
      </c>
      <c r="L89" s="9"/>
    </row>
    <row r="90" spans="1:12" x14ac:dyDescent="0.25">
      <c r="A90" s="6">
        <v>40148</v>
      </c>
      <c r="B90" s="7">
        <v>129.22999999999999</v>
      </c>
      <c r="C90" s="7">
        <v>131.34</v>
      </c>
      <c r="D90" s="7">
        <v>132.21465278134201</v>
      </c>
      <c r="E90" s="7">
        <v>132.21465278134201</v>
      </c>
      <c r="F90" s="7">
        <v>132.21465278134201</v>
      </c>
      <c r="G90" s="7">
        <v>131.33544383082599</v>
      </c>
      <c r="H90" s="7">
        <v>131.33544383082599</v>
      </c>
      <c r="I90" s="9"/>
      <c r="J90" s="9">
        <f t="shared" si="2"/>
        <v>6.6594547079488198E-3</v>
      </c>
      <c r="K90" s="9">
        <f t="shared" si="3"/>
        <v>-3.4689882549177042E-5</v>
      </c>
      <c r="L90" s="9"/>
    </row>
    <row r="91" spans="1:12" x14ac:dyDescent="0.25">
      <c r="A91" s="6">
        <v>40179</v>
      </c>
      <c r="B91" s="7">
        <v>125.81</v>
      </c>
      <c r="C91" s="7">
        <v>133.47</v>
      </c>
      <c r="D91" s="7">
        <v>132.53786285006899</v>
      </c>
      <c r="E91" s="7">
        <v>132.53786285006899</v>
      </c>
      <c r="F91" s="7">
        <v>132.53786285006899</v>
      </c>
      <c r="G91" s="7">
        <v>133.47461313406799</v>
      </c>
      <c r="H91" s="7">
        <v>133.47461313406799</v>
      </c>
      <c r="I91" s="9"/>
      <c r="J91" s="9">
        <f t="shared" si="2"/>
        <v>-6.9838701575710704E-3</v>
      </c>
      <c r="K91" s="9">
        <f t="shared" si="3"/>
        <v>3.4563078354699073E-5</v>
      </c>
      <c r="L91" s="9"/>
    </row>
    <row r="92" spans="1:12" x14ac:dyDescent="0.25">
      <c r="A92" s="6">
        <v>40210</v>
      </c>
      <c r="B92" s="7">
        <v>127.61</v>
      </c>
      <c r="C92" s="7">
        <v>135.16999999999999</v>
      </c>
      <c r="D92" s="7">
        <v>133.68718059266999</v>
      </c>
      <c r="E92" s="7">
        <v>133.68718059266999</v>
      </c>
      <c r="F92" s="7">
        <v>133.68718059266999</v>
      </c>
      <c r="G92" s="7">
        <v>135.173923976331</v>
      </c>
      <c r="H92" s="7">
        <v>135.173923976331</v>
      </c>
      <c r="I92" s="9"/>
      <c r="J92" s="9">
        <f t="shared" si="2"/>
        <v>-1.0970033345638841E-2</v>
      </c>
      <c r="K92" s="9">
        <f t="shared" si="3"/>
        <v>2.9029935126212436E-5</v>
      </c>
      <c r="L92" s="9"/>
    </row>
    <row r="93" spans="1:12" x14ac:dyDescent="0.25">
      <c r="A93" s="6">
        <v>40238</v>
      </c>
      <c r="B93" s="7">
        <v>143.44</v>
      </c>
      <c r="C93" s="7">
        <v>136.57</v>
      </c>
      <c r="D93" s="7">
        <v>139.02730102816301</v>
      </c>
      <c r="E93" s="7">
        <v>139.02730102816301</v>
      </c>
      <c r="F93" s="7">
        <v>139.02730102816301</v>
      </c>
      <c r="G93" s="7">
        <v>136.57158113931999</v>
      </c>
      <c r="H93" s="7">
        <v>136.57158113931999</v>
      </c>
      <c r="I93" s="9"/>
      <c r="J93" s="9">
        <f t="shared" si="2"/>
        <v>1.7992978166237128E-2</v>
      </c>
      <c r="K93" s="9">
        <f t="shared" si="3"/>
        <v>1.1577501061621476E-5</v>
      </c>
      <c r="L93" s="9"/>
    </row>
    <row r="94" spans="1:12" x14ac:dyDescent="0.25">
      <c r="A94" s="6">
        <v>40269</v>
      </c>
      <c r="B94" s="7">
        <v>136.87</v>
      </c>
      <c r="C94" s="7">
        <v>137.09</v>
      </c>
      <c r="D94" s="7">
        <v>137.307205852821</v>
      </c>
      <c r="E94" s="7">
        <v>137.307205852821</v>
      </c>
      <c r="F94" s="7">
        <v>137.307205852821</v>
      </c>
      <c r="G94" s="7">
        <v>137.094222563546</v>
      </c>
      <c r="H94" s="7">
        <v>137.094222563546</v>
      </c>
      <c r="I94" s="9"/>
      <c r="J94" s="9">
        <f t="shared" si="2"/>
        <v>1.5844033322707229E-3</v>
      </c>
      <c r="K94" s="9">
        <f t="shared" si="3"/>
        <v>3.0801397228108485E-5</v>
      </c>
      <c r="L94" s="9"/>
    </row>
    <row r="95" spans="1:12" x14ac:dyDescent="0.25">
      <c r="A95" s="6">
        <v>40299</v>
      </c>
      <c r="B95" s="7">
        <v>136.52000000000001</v>
      </c>
      <c r="C95" s="7">
        <v>136.47</v>
      </c>
      <c r="D95" s="7">
        <v>135.80911230436399</v>
      </c>
      <c r="E95" s="7">
        <v>135.80911230436399</v>
      </c>
      <c r="F95" s="7">
        <v>135.80911230436399</v>
      </c>
      <c r="G95" s="7">
        <v>136.465966906939</v>
      </c>
      <c r="H95" s="7">
        <v>136.465966906939</v>
      </c>
      <c r="I95" s="9"/>
      <c r="J95" s="9">
        <f t="shared" si="2"/>
        <v>-4.8427324366967506E-3</v>
      </c>
      <c r="K95" s="9">
        <f t="shared" si="3"/>
        <v>-2.9552964468382292E-5</v>
      </c>
      <c r="L95" s="9"/>
    </row>
    <row r="96" spans="1:12" x14ac:dyDescent="0.25">
      <c r="A96" s="6">
        <v>40330</v>
      </c>
      <c r="B96" s="7">
        <v>136.09</v>
      </c>
      <c r="C96" s="7">
        <v>136.18</v>
      </c>
      <c r="D96" s="7">
        <v>136.37709917866201</v>
      </c>
      <c r="E96" s="7">
        <v>136.37709917866201</v>
      </c>
      <c r="F96" s="7">
        <v>136.37709917866201</v>
      </c>
      <c r="G96" s="7">
        <v>136.180842221191</v>
      </c>
      <c r="H96" s="7">
        <v>136.180842221191</v>
      </c>
      <c r="I96" s="9"/>
      <c r="J96" s="9">
        <f t="shared" si="2"/>
        <v>1.4473430655161934E-3</v>
      </c>
      <c r="K96" s="9">
        <f t="shared" si="3"/>
        <v>6.1846173520230252E-6</v>
      </c>
      <c r="L96" s="9"/>
    </row>
    <row r="97" spans="1:12" x14ac:dyDescent="0.25">
      <c r="A97" s="6">
        <v>40360</v>
      </c>
      <c r="B97" s="7">
        <v>141.63999999999999</v>
      </c>
      <c r="C97" s="7">
        <v>136.94</v>
      </c>
      <c r="D97" s="7">
        <v>137.12266759990399</v>
      </c>
      <c r="E97" s="7">
        <v>137.12266759990399</v>
      </c>
      <c r="F97" s="7">
        <v>137.12266759990399</v>
      </c>
      <c r="G97" s="7">
        <v>136.93870646308301</v>
      </c>
      <c r="H97" s="7">
        <v>136.93870646308301</v>
      </c>
      <c r="I97" s="9"/>
      <c r="J97" s="9">
        <f t="shared" si="2"/>
        <v>1.3339243457279881E-3</v>
      </c>
      <c r="K97" s="9">
        <f t="shared" si="3"/>
        <v>-9.4460122461725859E-6</v>
      </c>
      <c r="L97" s="9"/>
    </row>
    <row r="98" spans="1:12" x14ac:dyDescent="0.25">
      <c r="A98" s="6">
        <v>40391</v>
      </c>
      <c r="B98" s="7">
        <v>141.55000000000001</v>
      </c>
      <c r="C98" s="7">
        <v>137.71</v>
      </c>
      <c r="D98" s="7">
        <v>137.15874886953699</v>
      </c>
      <c r="E98" s="7">
        <v>137.15874886953699</v>
      </c>
      <c r="F98" s="7">
        <v>137.15874886953699</v>
      </c>
      <c r="G98" s="7">
        <v>137.70905093278799</v>
      </c>
      <c r="H98" s="7">
        <v>137.70905093278799</v>
      </c>
      <c r="I98" s="9"/>
      <c r="J98" s="9">
        <f t="shared" si="2"/>
        <v>-4.0029854800887055E-3</v>
      </c>
      <c r="K98" s="9">
        <f t="shared" si="3"/>
        <v>-6.8917813668134542E-6</v>
      </c>
      <c r="L98" s="9"/>
    </row>
    <row r="99" spans="1:12" x14ac:dyDescent="0.25">
      <c r="A99" s="6">
        <v>40422</v>
      </c>
      <c r="B99" s="7">
        <v>139.46</v>
      </c>
      <c r="C99" s="7">
        <v>139.24</v>
      </c>
      <c r="D99" s="7">
        <v>138.63009651847599</v>
      </c>
      <c r="E99" s="7">
        <v>138.63009651847599</v>
      </c>
      <c r="F99" s="7">
        <v>138.63009651847599</v>
      </c>
      <c r="G99" s="7">
        <v>139.23756315451001</v>
      </c>
      <c r="H99" s="7">
        <v>139.23756315451001</v>
      </c>
      <c r="I99" s="9"/>
      <c r="J99" s="9">
        <f t="shared" si="2"/>
        <v>-4.3802318408792118E-3</v>
      </c>
      <c r="K99" s="9">
        <f t="shared" si="3"/>
        <v>-1.7501044886514272E-5</v>
      </c>
      <c r="L99" s="9"/>
    </row>
    <row r="100" spans="1:12" x14ac:dyDescent="0.25">
      <c r="A100" s="6">
        <v>40452</v>
      </c>
      <c r="B100" s="7">
        <v>139.33000000000001</v>
      </c>
      <c r="C100" s="7">
        <v>138.61000000000001</v>
      </c>
      <c r="D100" s="7">
        <v>137.493368983403</v>
      </c>
      <c r="E100" s="7">
        <v>137.493368983403</v>
      </c>
      <c r="F100" s="7">
        <v>137.493368983403</v>
      </c>
      <c r="G100" s="7">
        <v>138.61427440307</v>
      </c>
      <c r="H100" s="7">
        <v>138.61427440307</v>
      </c>
      <c r="I100" s="9"/>
      <c r="J100" s="9">
        <f t="shared" si="2"/>
        <v>-8.055919606067441E-3</v>
      </c>
      <c r="K100" s="9">
        <f t="shared" si="3"/>
        <v>3.0837624052981738E-5</v>
      </c>
      <c r="L100" s="9"/>
    </row>
    <row r="101" spans="1:12" x14ac:dyDescent="0.25">
      <c r="A101" s="6">
        <v>40483</v>
      </c>
      <c r="B101" s="7">
        <v>139.68</v>
      </c>
      <c r="C101" s="7">
        <v>140.29</v>
      </c>
      <c r="D101" s="7">
        <v>139.74245977051001</v>
      </c>
      <c r="E101" s="7">
        <v>139.74245977051001</v>
      </c>
      <c r="F101" s="7">
        <v>139.74245977051001</v>
      </c>
      <c r="G101" s="7">
        <v>140.28566005862999</v>
      </c>
      <c r="H101" s="7">
        <v>140.28566005862999</v>
      </c>
      <c r="I101" s="9"/>
      <c r="J101" s="9">
        <f t="shared" si="2"/>
        <v>-3.9029170253759293E-3</v>
      </c>
      <c r="K101" s="9">
        <f t="shared" si="3"/>
        <v>-3.0935500534678972E-5</v>
      </c>
      <c r="L101" s="9"/>
    </row>
    <row r="102" spans="1:12" x14ac:dyDescent="0.25">
      <c r="A102" s="6">
        <v>40513</v>
      </c>
      <c r="B102" s="7">
        <v>136.69</v>
      </c>
      <c r="C102" s="7">
        <v>138.24</v>
      </c>
      <c r="D102" s="7">
        <v>139.62661137812901</v>
      </c>
      <c r="E102" s="7">
        <v>139.62661137812901</v>
      </c>
      <c r="F102" s="7">
        <v>139.62661137812901</v>
      </c>
      <c r="G102" s="7">
        <v>138.23992663044899</v>
      </c>
      <c r="H102" s="7">
        <v>138.23992663044899</v>
      </c>
      <c r="I102" s="9"/>
      <c r="J102" s="9">
        <f t="shared" si="2"/>
        <v>1.0030464251511884E-2</v>
      </c>
      <c r="K102" s="9">
        <f t="shared" si="3"/>
        <v>-5.307403864174276E-7</v>
      </c>
      <c r="L102" s="9"/>
    </row>
    <row r="103" spans="1:12" x14ac:dyDescent="0.25">
      <c r="A103" s="6">
        <v>40544</v>
      </c>
      <c r="B103" s="7">
        <v>132.66</v>
      </c>
      <c r="C103" s="7">
        <v>140.12</v>
      </c>
      <c r="D103" s="7">
        <v>139.51252484457601</v>
      </c>
      <c r="E103" s="7">
        <v>139.51252484457601</v>
      </c>
      <c r="F103" s="7">
        <v>139.51252484457601</v>
      </c>
      <c r="G103" s="7">
        <v>140.118540526022</v>
      </c>
      <c r="H103" s="7">
        <v>140.118540526022</v>
      </c>
      <c r="I103" s="9"/>
      <c r="J103" s="9">
        <f t="shared" si="2"/>
        <v>-4.3353922025691771E-3</v>
      </c>
      <c r="K103" s="9">
        <f t="shared" si="3"/>
        <v>-1.0415886226078364E-5</v>
      </c>
      <c r="L103" s="9"/>
    </row>
    <row r="104" spans="1:12" x14ac:dyDescent="0.25">
      <c r="A104" s="6">
        <v>40575</v>
      </c>
      <c r="B104" s="7">
        <v>136.18</v>
      </c>
      <c r="C104" s="7">
        <v>140.81</v>
      </c>
      <c r="D104" s="7">
        <v>142.07360459191599</v>
      </c>
      <c r="E104" s="7">
        <v>142.07360459191599</v>
      </c>
      <c r="F104" s="7">
        <v>142.07360459191599</v>
      </c>
      <c r="G104" s="7">
        <v>140.80680390150701</v>
      </c>
      <c r="H104" s="7">
        <v>140.80680390150701</v>
      </c>
      <c r="I104" s="9"/>
      <c r="J104" s="9">
        <f t="shared" si="2"/>
        <v>8.9738270855479474E-3</v>
      </c>
      <c r="K104" s="9">
        <f t="shared" si="3"/>
        <v>-2.2697951090111523E-5</v>
      </c>
      <c r="L104" s="9"/>
    </row>
    <row r="105" spans="1:12" x14ac:dyDescent="0.25">
      <c r="A105" s="6">
        <v>40603</v>
      </c>
      <c r="B105" s="7">
        <v>144.93</v>
      </c>
      <c r="C105" s="7">
        <v>141.04</v>
      </c>
      <c r="D105" s="7">
        <v>140.71644577897399</v>
      </c>
      <c r="E105" s="7">
        <v>140.71644577897399</v>
      </c>
      <c r="F105" s="7">
        <v>140.71644577897399</v>
      </c>
      <c r="G105" s="7">
        <v>141.035978430413</v>
      </c>
      <c r="H105" s="7">
        <v>141.035978430413</v>
      </c>
      <c r="I105" s="9"/>
      <c r="J105" s="9">
        <f t="shared" si="2"/>
        <v>-2.2940599902581127E-3</v>
      </c>
      <c r="K105" s="9">
        <f t="shared" si="3"/>
        <v>-2.8513681132991131E-5</v>
      </c>
      <c r="L105" s="9"/>
    </row>
    <row r="106" spans="1:12" x14ac:dyDescent="0.25">
      <c r="A106" s="6">
        <v>40634</v>
      </c>
      <c r="B106" s="7">
        <v>139.88999999999999</v>
      </c>
      <c r="C106" s="7">
        <v>140.81</v>
      </c>
      <c r="D106" s="7">
        <v>140.33366494212601</v>
      </c>
      <c r="E106" s="7">
        <v>140.33366494212601</v>
      </c>
      <c r="F106" s="7">
        <v>140.33366494212601</v>
      </c>
      <c r="G106" s="7">
        <v>140.80633607843899</v>
      </c>
      <c r="H106" s="7">
        <v>140.80633607843899</v>
      </c>
      <c r="I106" s="9"/>
      <c r="J106" s="9">
        <f t="shared" si="2"/>
        <v>-3.3828212333925078E-3</v>
      </c>
      <c r="K106" s="9">
        <f t="shared" si="3"/>
        <v>-2.6020322143383012E-5</v>
      </c>
      <c r="L106" s="9"/>
    </row>
    <row r="107" spans="1:12" x14ac:dyDescent="0.25">
      <c r="A107" s="6">
        <v>40664</v>
      </c>
      <c r="B107" s="7">
        <v>143.22999999999999</v>
      </c>
      <c r="C107" s="7">
        <v>141.33000000000001</v>
      </c>
      <c r="D107" s="7">
        <v>142.36696708922599</v>
      </c>
      <c r="E107" s="7">
        <v>142.36696708922599</v>
      </c>
      <c r="F107" s="7">
        <v>142.36696708922599</v>
      </c>
      <c r="G107" s="7">
        <v>141.326419377642</v>
      </c>
      <c r="H107" s="7">
        <v>141.326419377642</v>
      </c>
      <c r="I107" s="9"/>
      <c r="J107" s="9">
        <f t="shared" si="2"/>
        <v>7.3372043389654529E-3</v>
      </c>
      <c r="K107" s="9">
        <f t="shared" si="3"/>
        <v>-2.533518968383941E-5</v>
      </c>
      <c r="L107" s="9"/>
    </row>
    <row r="108" spans="1:12" x14ac:dyDescent="0.25">
      <c r="A108" s="6">
        <v>40695</v>
      </c>
      <c r="B108" s="7">
        <v>141.75</v>
      </c>
      <c r="C108" s="7">
        <v>142.13</v>
      </c>
      <c r="D108" s="7">
        <v>142.32356720527801</v>
      </c>
      <c r="E108" s="7">
        <v>142.32356720527801</v>
      </c>
      <c r="F108" s="7">
        <v>142.32356720527801</v>
      </c>
      <c r="G108" s="7">
        <v>142.13403828654299</v>
      </c>
      <c r="H108" s="7">
        <v>142.13403828654299</v>
      </c>
      <c r="I108" s="9"/>
      <c r="J108" s="9">
        <f t="shared" si="2"/>
        <v>1.3619025207769475E-3</v>
      </c>
      <c r="K108" s="9">
        <f t="shared" si="3"/>
        <v>2.8412626067675362E-5</v>
      </c>
      <c r="L108" s="9"/>
    </row>
    <row r="109" spans="1:12" x14ac:dyDescent="0.25">
      <c r="A109" s="6">
        <v>40725</v>
      </c>
      <c r="B109" s="7">
        <v>145.19</v>
      </c>
      <c r="C109" s="7">
        <v>142.16999999999999</v>
      </c>
      <c r="D109" s="7">
        <v>140.882175394689</v>
      </c>
      <c r="E109" s="7">
        <v>140.882175394689</v>
      </c>
      <c r="F109" s="7">
        <v>140.882175394689</v>
      </c>
      <c r="G109" s="7">
        <v>142.17193379948</v>
      </c>
      <c r="H109" s="7">
        <v>142.17193379948</v>
      </c>
      <c r="I109" s="9"/>
      <c r="J109" s="9">
        <f t="shared" si="2"/>
        <v>-9.0583428663640886E-3</v>
      </c>
      <c r="K109" s="9">
        <f t="shared" si="3"/>
        <v>1.3602022086223187E-5</v>
      </c>
      <c r="L109" s="9"/>
    </row>
    <row r="110" spans="1:12" x14ac:dyDescent="0.25">
      <c r="A110" s="6">
        <v>40756</v>
      </c>
      <c r="B110" s="7">
        <v>147.51</v>
      </c>
      <c r="C110" s="7">
        <v>141.97999999999999</v>
      </c>
      <c r="D110" s="7">
        <v>143.06750535047499</v>
      </c>
      <c r="E110" s="7">
        <v>143.06750535047499</v>
      </c>
      <c r="F110" s="7">
        <v>143.06750535047499</v>
      </c>
      <c r="G110" s="7">
        <v>141.97666638342801</v>
      </c>
      <c r="H110" s="7">
        <v>141.97666638342801</v>
      </c>
      <c r="I110" s="9"/>
      <c r="J110" s="9">
        <f t="shared" si="2"/>
        <v>7.6595671959078793E-3</v>
      </c>
      <c r="K110" s="9">
        <f t="shared" si="3"/>
        <v>-2.3479480011134868E-5</v>
      </c>
      <c r="L110" s="9"/>
    </row>
    <row r="111" spans="1:12" x14ac:dyDescent="0.25">
      <c r="A111" s="6">
        <v>40787</v>
      </c>
      <c r="B111" s="7">
        <v>142.30000000000001</v>
      </c>
      <c r="C111" s="7">
        <v>141.79</v>
      </c>
      <c r="D111" s="7">
        <v>141.51838604845699</v>
      </c>
      <c r="E111" s="7">
        <v>141.51838604845699</v>
      </c>
      <c r="F111" s="7">
        <v>141.51838604845699</v>
      </c>
      <c r="G111" s="7">
        <v>141.79242761119301</v>
      </c>
      <c r="H111" s="7">
        <v>141.79242761119301</v>
      </c>
      <c r="I111" s="9"/>
      <c r="J111" s="9">
        <f t="shared" si="2"/>
        <v>-1.9156072469356245E-3</v>
      </c>
      <c r="K111" s="9">
        <f t="shared" si="3"/>
        <v>1.7121173517375965E-5</v>
      </c>
      <c r="L111" s="9"/>
    </row>
    <row r="112" spans="1:12" x14ac:dyDescent="0.25">
      <c r="A112" s="6">
        <v>40817</v>
      </c>
      <c r="B112" s="7">
        <v>142.02000000000001</v>
      </c>
      <c r="C112" s="7">
        <v>141.6</v>
      </c>
      <c r="D112" s="7">
        <v>139.882812382369</v>
      </c>
      <c r="E112" s="7">
        <v>139.882812382369</v>
      </c>
      <c r="F112" s="7">
        <v>139.882812382369</v>
      </c>
      <c r="G112" s="7">
        <v>141.60150192640299</v>
      </c>
      <c r="H112" s="7">
        <v>141.60150192640299</v>
      </c>
      <c r="I112" s="9"/>
      <c r="J112" s="9">
        <f t="shared" si="2"/>
        <v>-1.2127031197958993E-2</v>
      </c>
      <c r="K112" s="9">
        <f t="shared" si="3"/>
        <v>1.0606824879966226E-5</v>
      </c>
      <c r="L112" s="9"/>
    </row>
    <row r="113" spans="1:12" x14ac:dyDescent="0.25">
      <c r="A113" s="6">
        <v>40848</v>
      </c>
      <c r="B113" s="7">
        <v>141.87</v>
      </c>
      <c r="C113" s="7">
        <v>142.44</v>
      </c>
      <c r="D113" s="7">
        <v>142.00863711969799</v>
      </c>
      <c r="E113" s="7">
        <v>142.00863711969799</v>
      </c>
      <c r="F113" s="7">
        <v>142.00863711969799</v>
      </c>
      <c r="G113" s="7">
        <v>142.440664731449</v>
      </c>
      <c r="H113" s="7">
        <v>142.440664731449</v>
      </c>
      <c r="I113" s="9"/>
      <c r="J113" s="9">
        <f t="shared" si="2"/>
        <v>-3.0283830405926082E-3</v>
      </c>
      <c r="K113" s="9">
        <f t="shared" si="3"/>
        <v>4.6667470443573222E-6</v>
      </c>
      <c r="L113" s="9"/>
    </row>
    <row r="114" spans="1:12" x14ac:dyDescent="0.25">
      <c r="A114" s="6">
        <v>40878</v>
      </c>
      <c r="B114" s="7">
        <v>139.22999999999999</v>
      </c>
      <c r="C114" s="7">
        <v>140.47</v>
      </c>
      <c r="D114" s="7">
        <v>141.98778901533501</v>
      </c>
      <c r="E114" s="7">
        <v>141.98778901533501</v>
      </c>
      <c r="F114" s="7">
        <v>141.98778901533501</v>
      </c>
      <c r="G114" s="7">
        <v>140.468304958993</v>
      </c>
      <c r="H114" s="7">
        <v>140.468304958993</v>
      </c>
      <c r="I114" s="9"/>
      <c r="J114" s="9">
        <f t="shared" si="2"/>
        <v>1.0805075926069607E-2</v>
      </c>
      <c r="K114" s="9">
        <f t="shared" si="3"/>
        <v>-1.2066925371922999E-5</v>
      </c>
      <c r="L114" s="9"/>
    </row>
    <row r="115" spans="1:12" x14ac:dyDescent="0.25">
      <c r="A115" s="6">
        <v>40909</v>
      </c>
      <c r="B115" s="7">
        <v>133.34</v>
      </c>
      <c r="C115" s="7">
        <v>138.91999999999999</v>
      </c>
      <c r="D115" s="7">
        <v>140.016655845027</v>
      </c>
      <c r="E115" s="7">
        <v>140.016655845027</v>
      </c>
      <c r="F115" s="7">
        <v>140.016655845027</v>
      </c>
      <c r="G115" s="7">
        <v>138.92487776385599</v>
      </c>
      <c r="H115" s="7">
        <v>138.92487776385599</v>
      </c>
      <c r="I115" s="9"/>
      <c r="J115" s="9">
        <f t="shared" si="2"/>
        <v>7.8941537937446959E-3</v>
      </c>
      <c r="K115" s="9">
        <f t="shared" si="3"/>
        <v>3.5112034667550418E-5</v>
      </c>
      <c r="L115" s="9"/>
    </row>
    <row r="116" spans="1:12" x14ac:dyDescent="0.25">
      <c r="A116" s="6">
        <v>40940</v>
      </c>
      <c r="B116" s="7">
        <v>135.35</v>
      </c>
      <c r="C116" s="7">
        <v>140.46</v>
      </c>
      <c r="D116" s="7">
        <v>141.16189283976499</v>
      </c>
      <c r="E116" s="7">
        <v>141.16189283976499</v>
      </c>
      <c r="F116" s="7">
        <v>141.16189283976499</v>
      </c>
      <c r="G116" s="7">
        <v>140.455333551249</v>
      </c>
      <c r="H116" s="7">
        <v>140.455333551249</v>
      </c>
      <c r="I116" s="9"/>
      <c r="J116" s="9">
        <f t="shared" si="2"/>
        <v>4.9971012371137213E-3</v>
      </c>
      <c r="K116" s="9">
        <f t="shared" si="3"/>
        <v>-3.3222616766415136E-5</v>
      </c>
      <c r="L116" s="9"/>
    </row>
    <row r="117" spans="1:12" x14ac:dyDescent="0.25">
      <c r="A117" s="6">
        <v>40969</v>
      </c>
      <c r="B117" s="7">
        <v>146.35</v>
      </c>
      <c r="C117" s="7">
        <v>140.07</v>
      </c>
      <c r="D117" s="7">
        <v>142.277378721768</v>
      </c>
      <c r="E117" s="7">
        <v>142.277378721768</v>
      </c>
      <c r="F117" s="7">
        <v>142.277378721768</v>
      </c>
      <c r="G117" s="7">
        <v>140.06884096024999</v>
      </c>
      <c r="H117" s="7">
        <v>140.06884096024999</v>
      </c>
      <c r="I117" s="9"/>
      <c r="J117" s="9">
        <f t="shared" si="2"/>
        <v>1.5759111314114449E-2</v>
      </c>
      <c r="K117" s="9">
        <f t="shared" si="3"/>
        <v>-8.27471799824675E-6</v>
      </c>
      <c r="L117" s="9"/>
    </row>
    <row r="118" spans="1:12" x14ac:dyDescent="0.25">
      <c r="A118" s="6">
        <v>41000</v>
      </c>
      <c r="B118" s="7">
        <v>139.85</v>
      </c>
      <c r="C118" s="7">
        <v>141</v>
      </c>
      <c r="D118" s="7">
        <v>140.28314439819999</v>
      </c>
      <c r="E118" s="7">
        <v>140.28314439819999</v>
      </c>
      <c r="F118" s="7">
        <v>140.28314439819999</v>
      </c>
      <c r="G118" s="7">
        <v>140.99629946079401</v>
      </c>
      <c r="H118" s="7">
        <v>140.99629946079401</v>
      </c>
      <c r="I118" s="9"/>
      <c r="J118" s="9">
        <f t="shared" si="2"/>
        <v>-5.0840822822695309E-3</v>
      </c>
      <c r="K118" s="9">
        <f t="shared" si="3"/>
        <v>-2.6244958907795102E-5</v>
      </c>
      <c r="L118" s="9"/>
    </row>
    <row r="119" spans="1:12" x14ac:dyDescent="0.25">
      <c r="A119" s="6">
        <v>41030</v>
      </c>
      <c r="B119" s="7">
        <v>144.56</v>
      </c>
      <c r="C119" s="7">
        <v>142.62</v>
      </c>
      <c r="D119" s="7">
        <v>143.634748871477</v>
      </c>
      <c r="E119" s="7">
        <v>143.634748871477</v>
      </c>
      <c r="F119" s="7">
        <v>143.634748871477</v>
      </c>
      <c r="G119" s="7">
        <v>142.61863968457499</v>
      </c>
      <c r="H119" s="7">
        <v>142.61863968457499</v>
      </c>
      <c r="I119" s="9"/>
      <c r="J119" s="9">
        <f t="shared" si="2"/>
        <v>7.1150530884658281E-3</v>
      </c>
      <c r="K119" s="9">
        <f t="shared" si="3"/>
        <v>-9.5380411233580986E-6</v>
      </c>
      <c r="L119" s="9"/>
    </row>
    <row r="120" spans="1:12" x14ac:dyDescent="0.25">
      <c r="A120" s="6">
        <v>41061</v>
      </c>
      <c r="B120" s="7">
        <v>142.28</v>
      </c>
      <c r="C120" s="7">
        <v>143.55000000000001</v>
      </c>
      <c r="D120" s="7">
        <v>143.15667780661801</v>
      </c>
      <c r="E120" s="7">
        <v>143.15667780661801</v>
      </c>
      <c r="F120" s="7">
        <v>143.15667780661801</v>
      </c>
      <c r="G120" s="7">
        <v>143.546078962389</v>
      </c>
      <c r="H120" s="7">
        <v>143.546078962389</v>
      </c>
      <c r="I120" s="9"/>
      <c r="J120" s="9">
        <f t="shared" si="2"/>
        <v>-2.7399665160711129E-3</v>
      </c>
      <c r="K120" s="9">
        <f t="shared" si="3"/>
        <v>-2.7314786562260274E-5</v>
      </c>
      <c r="L120" s="9"/>
    </row>
    <row r="121" spans="1:12" x14ac:dyDescent="0.25">
      <c r="A121" s="6">
        <v>41091</v>
      </c>
      <c r="B121" s="7">
        <v>147.46</v>
      </c>
      <c r="C121" s="7">
        <v>143.94999999999999</v>
      </c>
      <c r="D121" s="7">
        <v>143.35087310817201</v>
      </c>
      <c r="E121" s="7">
        <v>143.35087310817201</v>
      </c>
      <c r="F121" s="7">
        <v>143.35087310817201</v>
      </c>
      <c r="G121" s="7">
        <v>143.95418565182601</v>
      </c>
      <c r="H121" s="7">
        <v>143.95418565182601</v>
      </c>
      <c r="I121" s="9"/>
      <c r="J121" s="9">
        <f t="shared" si="2"/>
        <v>-4.1620485712259292E-3</v>
      </c>
      <c r="K121" s="9">
        <f t="shared" si="3"/>
        <v>2.9077122792875443E-5</v>
      </c>
      <c r="L121" s="9"/>
    </row>
    <row r="122" spans="1:12" x14ac:dyDescent="0.25">
      <c r="A122" s="6">
        <v>41122</v>
      </c>
      <c r="B122" s="7">
        <v>149.91</v>
      </c>
      <c r="C122" s="7">
        <v>144.31</v>
      </c>
      <c r="D122" s="7">
        <v>145.57563049500499</v>
      </c>
      <c r="E122" s="7">
        <v>145.57563049500499</v>
      </c>
      <c r="F122" s="7">
        <v>145.57563049500499</v>
      </c>
      <c r="G122" s="7">
        <v>144.314867373596</v>
      </c>
      <c r="H122" s="7">
        <v>144.314867373596</v>
      </c>
      <c r="I122" s="9"/>
      <c r="J122" s="9">
        <f t="shared" si="2"/>
        <v>8.7702203243364973E-3</v>
      </c>
      <c r="K122" s="9">
        <f t="shared" si="3"/>
        <v>3.3728595357107594E-5</v>
      </c>
      <c r="L122" s="9"/>
    </row>
    <row r="123" spans="1:12" x14ac:dyDescent="0.25">
      <c r="A123" s="6">
        <v>41153</v>
      </c>
      <c r="B123" s="7">
        <v>141.6</v>
      </c>
      <c r="C123" s="7">
        <v>143.66999999999999</v>
      </c>
      <c r="D123" s="7">
        <v>140.996235465165</v>
      </c>
      <c r="E123" s="7">
        <v>140.996235465165</v>
      </c>
      <c r="F123" s="7">
        <v>140.996235465165</v>
      </c>
      <c r="G123" s="7">
        <v>143.665352386498</v>
      </c>
      <c r="H123" s="7">
        <v>143.665352386498</v>
      </c>
      <c r="I123" s="9"/>
      <c r="J123" s="9">
        <f t="shared" si="2"/>
        <v>-1.8610458236479333E-2</v>
      </c>
      <c r="K123" s="9">
        <f t="shared" si="3"/>
        <v>-3.2349227409911308E-5</v>
      </c>
      <c r="L123" s="9"/>
    </row>
    <row r="124" spans="1:12" x14ac:dyDescent="0.25">
      <c r="A124" s="6">
        <v>41183</v>
      </c>
      <c r="B124" s="7">
        <v>147.71</v>
      </c>
      <c r="C124" s="7">
        <v>144.88999999999999</v>
      </c>
      <c r="D124" s="7">
        <v>145.259790088747</v>
      </c>
      <c r="E124" s="7">
        <v>145.259790088747</v>
      </c>
      <c r="F124" s="7">
        <v>145.259790088747</v>
      </c>
      <c r="G124" s="7">
        <v>144.88703319062299</v>
      </c>
      <c r="H124" s="7">
        <v>144.88703319062299</v>
      </c>
      <c r="I124" s="9"/>
      <c r="J124" s="9">
        <f t="shared" si="2"/>
        <v>2.5522126354269314E-3</v>
      </c>
      <c r="K124" s="9">
        <f t="shared" si="3"/>
        <v>-2.047628805990076E-5</v>
      </c>
      <c r="L124" s="9"/>
    </row>
    <row r="125" spans="1:12" x14ac:dyDescent="0.25">
      <c r="A125" s="6">
        <v>41214</v>
      </c>
      <c r="B125" s="7">
        <v>144.15</v>
      </c>
      <c r="C125" s="7">
        <v>144.72999999999999</v>
      </c>
      <c r="D125" s="7">
        <v>144.43349227231701</v>
      </c>
      <c r="E125" s="7">
        <v>144.43349227231701</v>
      </c>
      <c r="F125" s="7">
        <v>144.43349227231701</v>
      </c>
      <c r="G125" s="7">
        <v>144.730406025896</v>
      </c>
      <c r="H125" s="7">
        <v>144.730406025896</v>
      </c>
      <c r="I125" s="9"/>
      <c r="J125" s="9">
        <f t="shared" si="2"/>
        <v>-2.0486956932423972E-3</v>
      </c>
      <c r="K125" s="9">
        <f t="shared" si="3"/>
        <v>2.8054024461265925E-6</v>
      </c>
      <c r="L125" s="9"/>
    </row>
    <row r="126" spans="1:12" x14ac:dyDescent="0.25">
      <c r="A126" s="6">
        <v>41244</v>
      </c>
      <c r="B126" s="7">
        <v>139.52000000000001</v>
      </c>
      <c r="C126" s="7">
        <v>144.06</v>
      </c>
      <c r="D126" s="7">
        <v>141.88586108294601</v>
      </c>
      <c r="E126" s="7">
        <v>141.88586108294601</v>
      </c>
      <c r="F126" s="7">
        <v>141.88586108294601</v>
      </c>
      <c r="G126" s="7">
        <v>144.05786335753501</v>
      </c>
      <c r="H126" s="7">
        <v>144.05786335753501</v>
      </c>
      <c r="I126" s="9"/>
      <c r="J126" s="9">
        <f t="shared" si="2"/>
        <v>-1.5091898632889067E-2</v>
      </c>
      <c r="K126" s="9">
        <f t="shared" si="3"/>
        <v>-1.4831615056110081E-5</v>
      </c>
      <c r="L126" s="9"/>
    </row>
    <row r="127" spans="1:12" x14ac:dyDescent="0.25">
      <c r="A127" s="6">
        <v>41275</v>
      </c>
      <c r="B127" s="7">
        <v>139.32</v>
      </c>
      <c r="C127" s="7">
        <v>144.91999999999999</v>
      </c>
      <c r="D127" s="7">
        <v>145.83248574086801</v>
      </c>
      <c r="E127" s="7">
        <v>145.83248574086801</v>
      </c>
      <c r="F127" s="7">
        <v>145.83248574086801</v>
      </c>
      <c r="G127" s="7">
        <v>144.92204060328299</v>
      </c>
      <c r="H127" s="7">
        <v>144.92204060328299</v>
      </c>
      <c r="I127" s="9"/>
      <c r="J127" s="9">
        <f t="shared" si="2"/>
        <v>6.2964790288988493E-3</v>
      </c>
      <c r="K127" s="9">
        <f t="shared" si="3"/>
        <v>1.4080894859214155E-5</v>
      </c>
      <c r="L127" s="9"/>
    </row>
    <row r="128" spans="1:12" x14ac:dyDescent="0.25">
      <c r="A128" s="6">
        <v>41306</v>
      </c>
      <c r="B128" s="7">
        <v>136.13999999999999</v>
      </c>
      <c r="C128" s="7">
        <v>143.78</v>
      </c>
      <c r="D128" s="7">
        <v>141.86059571541099</v>
      </c>
      <c r="E128" s="7">
        <v>141.86059571541099</v>
      </c>
      <c r="F128" s="7">
        <v>141.86059571541099</v>
      </c>
      <c r="G128" s="7">
        <v>143.78222055554201</v>
      </c>
      <c r="H128" s="7">
        <v>143.78222055554201</v>
      </c>
      <c r="I128" s="9"/>
      <c r="J128" s="9">
        <f t="shared" si="2"/>
        <v>-1.3349591630192004E-2</v>
      </c>
      <c r="K128" s="9">
        <f t="shared" si="3"/>
        <v>1.5444119780383403E-5</v>
      </c>
      <c r="L128" s="9"/>
    </row>
    <row r="129" spans="1:12" x14ac:dyDescent="0.25">
      <c r="A129" s="6">
        <v>41334</v>
      </c>
      <c r="B129" s="7">
        <v>148.01</v>
      </c>
      <c r="C129" s="7">
        <v>144.91999999999999</v>
      </c>
      <c r="D129" s="7">
        <v>143.90053092680199</v>
      </c>
      <c r="E129" s="7">
        <v>143.90053092680199</v>
      </c>
      <c r="F129" s="7">
        <v>143.90053092680199</v>
      </c>
      <c r="G129" s="7">
        <v>144.91706663965601</v>
      </c>
      <c r="H129" s="7">
        <v>144.91706663965601</v>
      </c>
      <c r="I129" s="9"/>
      <c r="J129" s="9">
        <f t="shared" si="2"/>
        <v>-7.0347024095914756E-3</v>
      </c>
      <c r="K129" s="9">
        <f t="shared" si="3"/>
        <v>-2.0241238917861892E-5</v>
      </c>
      <c r="L129" s="9"/>
    </row>
    <row r="130" spans="1:12" x14ac:dyDescent="0.25">
      <c r="A130" s="6">
        <v>41365</v>
      </c>
      <c r="B130" s="7">
        <v>149.79</v>
      </c>
      <c r="C130" s="7">
        <v>146.35</v>
      </c>
      <c r="D130" s="7">
        <v>150.04860864488001</v>
      </c>
      <c r="E130" s="7">
        <v>150.04860864488001</v>
      </c>
      <c r="F130" s="7">
        <v>150.04860864488001</v>
      </c>
      <c r="G130" s="7">
        <v>146.35328276427299</v>
      </c>
      <c r="H130" s="7">
        <v>146.35328276427299</v>
      </c>
      <c r="I130" s="9"/>
      <c r="J130" s="9">
        <f t="shared" si="2"/>
        <v>2.5272351519508129E-2</v>
      </c>
      <c r="K130" s="9">
        <f t="shared" si="3"/>
        <v>2.243091406217701E-5</v>
      </c>
      <c r="L130" s="9"/>
    </row>
    <row r="131" spans="1:12" x14ac:dyDescent="0.25">
      <c r="A131" s="6">
        <v>41395</v>
      </c>
      <c r="B131" s="7">
        <v>147.03</v>
      </c>
      <c r="C131" s="7">
        <v>146.81</v>
      </c>
      <c r="D131" s="7">
        <v>146.356906430962</v>
      </c>
      <c r="E131" s="7">
        <v>146.356906430962</v>
      </c>
      <c r="F131" s="7">
        <v>146.356906430962</v>
      </c>
      <c r="G131" s="7">
        <v>146.81386259561799</v>
      </c>
      <c r="H131" s="7">
        <v>146.81386259561799</v>
      </c>
      <c r="I131" s="9"/>
      <c r="J131" s="9">
        <f t="shared" si="2"/>
        <v>-3.0862582183639464E-3</v>
      </c>
      <c r="K131" s="9">
        <f t="shared" si="3"/>
        <v>2.6310167004828244E-5</v>
      </c>
      <c r="L131" s="9"/>
    </row>
    <row r="132" spans="1:12" x14ac:dyDescent="0.25">
      <c r="A132" s="6">
        <v>41426</v>
      </c>
      <c r="B132" s="7">
        <v>144.87</v>
      </c>
      <c r="C132" s="7">
        <v>146.35</v>
      </c>
      <c r="D132" s="7">
        <v>145.86704206864599</v>
      </c>
      <c r="E132" s="7">
        <v>145.86704206864599</v>
      </c>
      <c r="F132" s="7">
        <v>145.86704206864599</v>
      </c>
      <c r="G132" s="7">
        <v>146.348230373831</v>
      </c>
      <c r="H132" s="7">
        <v>146.348230373831</v>
      </c>
      <c r="I132" s="9"/>
      <c r="J132" s="9">
        <f t="shared" si="2"/>
        <v>-3.3000200297506055E-3</v>
      </c>
      <c r="K132" s="9">
        <f t="shared" si="3"/>
        <v>-1.2091740136610518E-5</v>
      </c>
      <c r="L132" s="9"/>
    </row>
    <row r="133" spans="1:12" x14ac:dyDescent="0.25">
      <c r="A133" s="6">
        <v>41456</v>
      </c>
      <c r="B133" s="7">
        <v>152.13</v>
      </c>
      <c r="C133" s="7">
        <v>147.06</v>
      </c>
      <c r="D133" s="7">
        <v>148.24242961152399</v>
      </c>
      <c r="E133" s="7">
        <v>148.24242961152399</v>
      </c>
      <c r="F133" s="7">
        <v>148.24242961152399</v>
      </c>
      <c r="G133" s="7">
        <v>147.05623610102199</v>
      </c>
      <c r="H133" s="7">
        <v>147.05623610102199</v>
      </c>
      <c r="I133" s="9"/>
      <c r="J133" s="9">
        <f t="shared" si="2"/>
        <v>8.0404570347067938E-3</v>
      </c>
      <c r="K133" s="9">
        <f t="shared" si="3"/>
        <v>-2.5594308295961987E-5</v>
      </c>
      <c r="L133" s="9"/>
    </row>
    <row r="134" spans="1:12" x14ac:dyDescent="0.25">
      <c r="A134" s="6">
        <v>41487</v>
      </c>
      <c r="B134" s="7">
        <v>151.81</v>
      </c>
      <c r="C134" s="7">
        <v>147.16999999999999</v>
      </c>
      <c r="D134" s="7">
        <v>147.80257083264999</v>
      </c>
      <c r="E134" s="7">
        <v>147.80257083264999</v>
      </c>
      <c r="F134" s="7">
        <v>147.80257083264999</v>
      </c>
      <c r="G134" s="7">
        <v>147.16775271157101</v>
      </c>
      <c r="H134" s="7">
        <v>147.16775271157101</v>
      </c>
      <c r="I134" s="9"/>
      <c r="J134" s="9">
        <f t="shared" si="2"/>
        <v>4.2982321984779137E-3</v>
      </c>
      <c r="K134" s="9">
        <f t="shared" si="3"/>
        <v>-1.5270017184043638E-5</v>
      </c>
      <c r="L134" s="9"/>
    </row>
    <row r="135" spans="1:12" x14ac:dyDescent="0.25">
      <c r="A135" s="6">
        <v>41518</v>
      </c>
      <c r="B135" s="7">
        <v>147.27000000000001</v>
      </c>
      <c r="C135" s="7">
        <v>148.09</v>
      </c>
      <c r="D135" s="7">
        <v>146.761905349475</v>
      </c>
      <c r="E135" s="7">
        <v>146.761905349475</v>
      </c>
      <c r="F135" s="7">
        <v>146.761905349475</v>
      </c>
      <c r="G135" s="7">
        <v>148.09382750129899</v>
      </c>
      <c r="H135" s="7">
        <v>148.09382750129899</v>
      </c>
      <c r="I135" s="9"/>
      <c r="J135" s="9">
        <f t="shared" ref="J135:J198" si="4">E135/$C135-1</f>
        <v>-8.9681588934094059E-3</v>
      </c>
      <c r="K135" s="9">
        <f t="shared" ref="K135:K198" si="5">G135/$C135-1</f>
        <v>2.5845778236055494E-5</v>
      </c>
      <c r="L135" s="9"/>
    </row>
    <row r="136" spans="1:12" x14ac:dyDescent="0.25">
      <c r="A136" s="6">
        <v>41548</v>
      </c>
      <c r="B136" s="7">
        <v>151.9</v>
      </c>
      <c r="C136" s="7">
        <v>148.05000000000001</v>
      </c>
      <c r="D136" s="7">
        <v>149.23599464868201</v>
      </c>
      <c r="E136" s="7">
        <v>149.23599464868201</v>
      </c>
      <c r="F136" s="7">
        <v>149.23599464868201</v>
      </c>
      <c r="G136" s="7">
        <v>148.05306304499601</v>
      </c>
      <c r="H136" s="7">
        <v>148.05306304499601</v>
      </c>
      <c r="I136" s="9"/>
      <c r="J136" s="9">
        <f t="shared" si="4"/>
        <v>8.0107710144006194E-3</v>
      </c>
      <c r="K136" s="9">
        <f t="shared" si="5"/>
        <v>2.0689260358031092E-5</v>
      </c>
      <c r="L136" s="9"/>
    </row>
    <row r="137" spans="1:12" x14ac:dyDescent="0.25">
      <c r="A137" s="6">
        <v>41579</v>
      </c>
      <c r="B137" s="7">
        <v>147.79</v>
      </c>
      <c r="C137" s="7">
        <v>148.44</v>
      </c>
      <c r="D137" s="7">
        <v>148.31299279361201</v>
      </c>
      <c r="E137" s="7">
        <v>148.31299279361201</v>
      </c>
      <c r="F137" s="7">
        <v>148.31299279361201</v>
      </c>
      <c r="G137" s="7">
        <v>148.440903060609</v>
      </c>
      <c r="H137" s="7">
        <v>148.440903060609</v>
      </c>
      <c r="I137" s="9"/>
      <c r="J137" s="9">
        <f t="shared" si="4"/>
        <v>-8.556130853407673E-4</v>
      </c>
      <c r="K137" s="9">
        <f t="shared" si="5"/>
        <v>6.0836742725722814E-6</v>
      </c>
      <c r="L137" s="9"/>
    </row>
    <row r="138" spans="1:12" x14ac:dyDescent="0.25">
      <c r="A138" s="6">
        <v>41609</v>
      </c>
      <c r="B138" s="7">
        <v>145.77000000000001</v>
      </c>
      <c r="C138" s="7">
        <v>148.62</v>
      </c>
      <c r="D138" s="7">
        <v>147.67884150179901</v>
      </c>
      <c r="E138" s="7">
        <v>147.67884150179901</v>
      </c>
      <c r="F138" s="7">
        <v>147.67884150179901</v>
      </c>
      <c r="G138" s="7">
        <v>148.61618388307599</v>
      </c>
      <c r="H138" s="7">
        <v>148.61618388307599</v>
      </c>
      <c r="I138" s="9"/>
      <c r="J138" s="9">
        <f t="shared" si="4"/>
        <v>-6.3326503714237203E-3</v>
      </c>
      <c r="K138" s="9">
        <f t="shared" si="5"/>
        <v>-2.5677007966740106E-5</v>
      </c>
      <c r="L138" s="9"/>
    </row>
    <row r="139" spans="1:12" x14ac:dyDescent="0.25">
      <c r="A139" s="6">
        <v>41640</v>
      </c>
      <c r="B139" s="7">
        <v>142.72</v>
      </c>
      <c r="C139" s="7">
        <v>148.25</v>
      </c>
      <c r="D139" s="7">
        <v>149.01469235682001</v>
      </c>
      <c r="E139" s="7">
        <v>149.01469235682001</v>
      </c>
      <c r="F139" s="7">
        <v>149.01469235682001</v>
      </c>
      <c r="G139" s="7">
        <v>148.24834129421501</v>
      </c>
      <c r="H139" s="7">
        <v>148.24834129421501</v>
      </c>
      <c r="I139" s="9"/>
      <c r="J139" s="9">
        <f t="shared" si="4"/>
        <v>5.1581271960876585E-3</v>
      </c>
      <c r="K139" s="9">
        <f t="shared" si="5"/>
        <v>-1.1188571905518252E-5</v>
      </c>
      <c r="L139" s="9"/>
    </row>
    <row r="140" spans="1:12" x14ac:dyDescent="0.25">
      <c r="A140" s="6">
        <v>41671</v>
      </c>
      <c r="B140" s="7">
        <v>143.53</v>
      </c>
      <c r="C140" s="7">
        <v>147.94999999999999</v>
      </c>
      <c r="D140" s="7">
        <v>149.284161382348</v>
      </c>
      <c r="E140" s="7">
        <v>149.284161382348</v>
      </c>
      <c r="F140" s="7">
        <v>149.284161382348</v>
      </c>
      <c r="G140" s="7">
        <v>147.95118591749301</v>
      </c>
      <c r="H140" s="7">
        <v>147.95118591749301</v>
      </c>
      <c r="I140" s="9"/>
      <c r="J140" s="9">
        <f t="shared" si="4"/>
        <v>9.0176504383103762E-3</v>
      </c>
      <c r="K140" s="9">
        <f t="shared" si="5"/>
        <v>8.0156640285267144E-6</v>
      </c>
      <c r="L140" s="9"/>
    </row>
    <row r="141" spans="1:12" x14ac:dyDescent="0.25">
      <c r="A141" s="6">
        <v>41699</v>
      </c>
      <c r="B141" s="7">
        <v>149.03</v>
      </c>
      <c r="C141" s="7">
        <v>147.78</v>
      </c>
      <c r="D141" s="7">
        <v>144.67238921511</v>
      </c>
      <c r="E141" s="7">
        <v>144.67238921511</v>
      </c>
      <c r="F141" s="7">
        <v>144.67238921511</v>
      </c>
      <c r="G141" s="7">
        <v>147.77926260065601</v>
      </c>
      <c r="H141" s="7">
        <v>147.77926260065601</v>
      </c>
      <c r="I141" s="9"/>
      <c r="J141" s="9">
        <f t="shared" si="4"/>
        <v>-2.102862894092572E-2</v>
      </c>
      <c r="K141" s="9">
        <f t="shared" si="5"/>
        <v>-4.9898453375885055E-6</v>
      </c>
      <c r="L141" s="9"/>
    </row>
    <row r="142" spans="1:12" x14ac:dyDescent="0.25">
      <c r="A142" s="6">
        <v>41730</v>
      </c>
      <c r="B142" s="7">
        <v>147.69</v>
      </c>
      <c r="C142" s="7">
        <v>146.96</v>
      </c>
      <c r="D142" s="7">
        <v>147.667552538612</v>
      </c>
      <c r="E142" s="7">
        <v>147.667552538612</v>
      </c>
      <c r="F142" s="7">
        <v>147.667552538612</v>
      </c>
      <c r="G142" s="7">
        <v>146.959271280173</v>
      </c>
      <c r="H142" s="7">
        <v>146.959271280173</v>
      </c>
      <c r="I142" s="9"/>
      <c r="J142" s="9">
        <f t="shared" si="4"/>
        <v>4.8145926688349938E-3</v>
      </c>
      <c r="K142" s="9">
        <f t="shared" si="5"/>
        <v>-4.9586270209900363E-6</v>
      </c>
      <c r="L142" s="9"/>
    </row>
    <row r="143" spans="1:12" x14ac:dyDescent="0.25">
      <c r="A143" s="6">
        <v>41760</v>
      </c>
      <c r="B143" s="7">
        <v>147.13999999999999</v>
      </c>
      <c r="C143" s="7">
        <v>146.33000000000001</v>
      </c>
      <c r="D143" s="7">
        <v>146.83309790244201</v>
      </c>
      <c r="E143" s="7">
        <v>146.83309790244201</v>
      </c>
      <c r="F143" s="7">
        <v>146.83309790244201</v>
      </c>
      <c r="G143" s="7">
        <v>146.33484512429499</v>
      </c>
      <c r="H143" s="7">
        <v>146.33484512429499</v>
      </c>
      <c r="I143" s="9"/>
      <c r="J143" s="9">
        <f t="shared" si="4"/>
        <v>3.438104984910817E-3</v>
      </c>
      <c r="K143" s="9">
        <f t="shared" si="5"/>
        <v>3.3110943039593721E-5</v>
      </c>
      <c r="L143" s="9"/>
    </row>
    <row r="144" spans="1:12" x14ac:dyDescent="0.25">
      <c r="A144" s="6">
        <v>41791</v>
      </c>
      <c r="B144" s="7">
        <v>140.88</v>
      </c>
      <c r="C144" s="7">
        <v>143.57</v>
      </c>
      <c r="D144" s="7">
        <v>141.85377056767899</v>
      </c>
      <c r="E144" s="7">
        <v>141.85377056767899</v>
      </c>
      <c r="F144" s="7">
        <v>141.85377056767899</v>
      </c>
      <c r="G144" s="7">
        <v>143.57327462457499</v>
      </c>
      <c r="H144" s="7">
        <v>143.57327462457499</v>
      </c>
      <c r="I144" s="9"/>
      <c r="J144" s="9">
        <f t="shared" si="4"/>
        <v>-1.1953955786870529E-2</v>
      </c>
      <c r="K144" s="9">
        <f t="shared" si="5"/>
        <v>2.2808557323950041E-5</v>
      </c>
      <c r="L144" s="9"/>
    </row>
    <row r="145" spans="1:12" x14ac:dyDescent="0.25">
      <c r="A145" s="6">
        <v>41821</v>
      </c>
      <c r="B145" s="7">
        <v>149.85</v>
      </c>
      <c r="C145" s="7">
        <v>144.72</v>
      </c>
      <c r="D145" s="7">
        <v>146.14392767303499</v>
      </c>
      <c r="E145" s="7">
        <v>146.14392767303499</v>
      </c>
      <c r="F145" s="7">
        <v>146.14392767303499</v>
      </c>
      <c r="G145" s="7">
        <v>144.72423512008399</v>
      </c>
      <c r="H145" s="7">
        <v>144.72423512008399</v>
      </c>
      <c r="I145" s="9"/>
      <c r="J145" s="9">
        <f t="shared" si="4"/>
        <v>9.8391906649737404E-3</v>
      </c>
      <c r="K145" s="9">
        <f t="shared" si="5"/>
        <v>2.9264234963966018E-5</v>
      </c>
      <c r="L145" s="9"/>
    </row>
    <row r="146" spans="1:12" x14ac:dyDescent="0.25">
      <c r="A146" s="6">
        <v>41852</v>
      </c>
      <c r="B146" s="7">
        <v>148.27000000000001</v>
      </c>
      <c r="C146" s="7">
        <v>145.63</v>
      </c>
      <c r="D146" s="7">
        <v>144.59045139667501</v>
      </c>
      <c r="E146" s="7">
        <v>144.59045139667501</v>
      </c>
      <c r="F146" s="7">
        <v>144.59045139667501</v>
      </c>
      <c r="G146" s="7">
        <v>145.62629741178901</v>
      </c>
      <c r="H146" s="7">
        <v>145.62629741178901</v>
      </c>
      <c r="I146" s="9"/>
      <c r="J146" s="9">
        <f t="shared" si="4"/>
        <v>-7.138286090262902E-3</v>
      </c>
      <c r="K146" s="9">
        <f t="shared" si="5"/>
        <v>-2.5424625496039965E-5</v>
      </c>
      <c r="L146" s="9"/>
    </row>
    <row r="147" spans="1:12" x14ac:dyDescent="0.25">
      <c r="A147" s="6">
        <v>41883</v>
      </c>
      <c r="B147" s="7">
        <v>148.12</v>
      </c>
      <c r="C147" s="7">
        <v>146.29</v>
      </c>
      <c r="D147" s="7">
        <v>147.80928972580699</v>
      </c>
      <c r="E147" s="7">
        <v>147.80928972580699</v>
      </c>
      <c r="F147" s="7">
        <v>147.80928972580699</v>
      </c>
      <c r="G147" s="7">
        <v>146.294489821756</v>
      </c>
      <c r="H147" s="7">
        <v>146.294489821756</v>
      </c>
      <c r="I147" s="9"/>
      <c r="J147" s="9">
        <f t="shared" si="4"/>
        <v>1.0385465348328626E-2</v>
      </c>
      <c r="K147" s="9">
        <f t="shared" si="5"/>
        <v>3.0691241752700549E-5</v>
      </c>
      <c r="L147" s="9"/>
    </row>
    <row r="148" spans="1:12" x14ac:dyDescent="0.25">
      <c r="A148" s="6">
        <v>41913</v>
      </c>
      <c r="B148" s="7">
        <v>149.69999999999999</v>
      </c>
      <c r="C148" s="7">
        <v>145.46</v>
      </c>
      <c r="D148" s="7">
        <v>147.05597812288801</v>
      </c>
      <c r="E148" s="7">
        <v>147.05597812288801</v>
      </c>
      <c r="F148" s="7">
        <v>147.05597812288801</v>
      </c>
      <c r="G148" s="7">
        <v>145.459526829987</v>
      </c>
      <c r="H148" s="7">
        <v>145.459526829987</v>
      </c>
      <c r="I148" s="9"/>
      <c r="J148" s="9">
        <f t="shared" si="4"/>
        <v>1.0971938147174454E-2</v>
      </c>
      <c r="K148" s="9">
        <f t="shared" si="5"/>
        <v>-3.2529218548793537E-6</v>
      </c>
      <c r="L148" s="9"/>
    </row>
    <row r="149" spans="1:12" x14ac:dyDescent="0.25">
      <c r="A149" s="6">
        <v>41944</v>
      </c>
      <c r="B149" s="7">
        <v>144.91999999999999</v>
      </c>
      <c r="C149" s="7">
        <v>145.61000000000001</v>
      </c>
      <c r="D149" s="7">
        <v>145.72766513649901</v>
      </c>
      <c r="E149" s="7">
        <v>145.72766513649901</v>
      </c>
      <c r="F149" s="7">
        <v>145.72766513649901</v>
      </c>
      <c r="G149" s="7">
        <v>145.60542432145499</v>
      </c>
      <c r="H149" s="7">
        <v>145.60542432145499</v>
      </c>
      <c r="I149" s="9"/>
      <c r="J149" s="9">
        <f t="shared" si="4"/>
        <v>8.0808417347011385E-4</v>
      </c>
      <c r="K149" s="9">
        <f t="shared" si="5"/>
        <v>-3.1424205377494907E-5</v>
      </c>
      <c r="L149" s="9"/>
    </row>
    <row r="150" spans="1:12" x14ac:dyDescent="0.25">
      <c r="A150" s="6">
        <v>41974</v>
      </c>
      <c r="B150" s="7">
        <v>145.47999999999999</v>
      </c>
      <c r="C150" s="7">
        <v>146.04</v>
      </c>
      <c r="D150" s="7">
        <v>146.85196659028099</v>
      </c>
      <c r="E150" s="7">
        <v>146.85196659028099</v>
      </c>
      <c r="F150" s="7">
        <v>146.85196659028099</v>
      </c>
      <c r="G150" s="7">
        <v>146.039475113175</v>
      </c>
      <c r="H150" s="7">
        <v>146.039475113175</v>
      </c>
      <c r="I150" s="9"/>
      <c r="J150" s="9">
        <f t="shared" si="4"/>
        <v>5.5598917439125817E-3</v>
      </c>
      <c r="K150" s="9">
        <f t="shared" si="5"/>
        <v>-3.594130546402674E-6</v>
      </c>
      <c r="L150" s="9"/>
    </row>
    <row r="151" spans="1:12" x14ac:dyDescent="0.25">
      <c r="A151" s="6">
        <v>42005</v>
      </c>
      <c r="B151" s="7">
        <v>138.97999999999999</v>
      </c>
      <c r="C151" s="7">
        <v>145.07</v>
      </c>
      <c r="D151" s="7">
        <v>145.09568427976001</v>
      </c>
      <c r="E151" s="7">
        <v>145.09568427976001</v>
      </c>
      <c r="F151" s="7">
        <v>145.09568427976001</v>
      </c>
      <c r="G151" s="7">
        <v>145.07333348177499</v>
      </c>
      <c r="H151" s="7">
        <v>145.07333348177499</v>
      </c>
      <c r="I151" s="9"/>
      <c r="J151" s="9">
        <f t="shared" si="4"/>
        <v>1.7704749265878839E-4</v>
      </c>
      <c r="K151" s="9">
        <f t="shared" si="5"/>
        <v>2.2978436444498485E-5</v>
      </c>
      <c r="L151" s="9"/>
    </row>
    <row r="152" spans="1:12" x14ac:dyDescent="0.25">
      <c r="A152" s="6">
        <v>42036</v>
      </c>
      <c r="B152" s="7">
        <v>136.69</v>
      </c>
      <c r="C152" s="7">
        <v>144.03</v>
      </c>
      <c r="D152" s="7">
        <v>142.450646347082</v>
      </c>
      <c r="E152" s="7">
        <v>142.450646347082</v>
      </c>
      <c r="F152" s="7">
        <v>142.450646347082</v>
      </c>
      <c r="G152" s="7">
        <v>144.02865530776199</v>
      </c>
      <c r="H152" s="7">
        <v>144.02865530776199</v>
      </c>
      <c r="I152" s="9"/>
      <c r="J152" s="9">
        <f t="shared" si="4"/>
        <v>-1.0965449232229418E-2</v>
      </c>
      <c r="K152" s="9">
        <f t="shared" si="5"/>
        <v>-9.3361955010307085E-6</v>
      </c>
      <c r="L152" s="9"/>
    </row>
    <row r="153" spans="1:12" x14ac:dyDescent="0.25">
      <c r="A153" s="6">
        <v>42064</v>
      </c>
      <c r="B153" s="7">
        <v>149.75</v>
      </c>
      <c r="C153" s="7">
        <v>143.93</v>
      </c>
      <c r="D153" s="7">
        <v>145.11443619899501</v>
      </c>
      <c r="E153" s="7">
        <v>145.11443619899501</v>
      </c>
      <c r="F153" s="7">
        <v>145.11443619899501</v>
      </c>
      <c r="G153" s="7">
        <v>143.931731225394</v>
      </c>
      <c r="H153" s="7">
        <v>143.931731225394</v>
      </c>
      <c r="I153" s="9"/>
      <c r="J153" s="9">
        <f t="shared" si="4"/>
        <v>8.2292517126034692E-3</v>
      </c>
      <c r="K153" s="9">
        <f t="shared" si="5"/>
        <v>1.2028245633288748E-5</v>
      </c>
      <c r="L153" s="9"/>
    </row>
    <row r="154" spans="1:12" x14ac:dyDescent="0.25">
      <c r="A154" s="6">
        <v>42095</v>
      </c>
      <c r="B154" s="7">
        <v>142.47999999999999</v>
      </c>
      <c r="C154" s="7">
        <v>142.36000000000001</v>
      </c>
      <c r="D154" s="7">
        <v>142.03587662981801</v>
      </c>
      <c r="E154" s="7">
        <v>142.03587662981801</v>
      </c>
      <c r="F154" s="7">
        <v>142.03587662981801</v>
      </c>
      <c r="G154" s="7">
        <v>142.36389982095099</v>
      </c>
      <c r="H154" s="7">
        <v>142.36389982095099</v>
      </c>
      <c r="I154" s="9"/>
      <c r="J154" s="9">
        <f t="shared" si="4"/>
        <v>-2.2767868093707122E-3</v>
      </c>
      <c r="K154" s="9">
        <f t="shared" si="5"/>
        <v>2.7394078048414983E-5</v>
      </c>
      <c r="L154" s="9"/>
    </row>
    <row r="155" spans="1:12" x14ac:dyDescent="0.25">
      <c r="A155" s="6">
        <v>42125</v>
      </c>
      <c r="B155" s="7">
        <v>139.94999999999999</v>
      </c>
      <c r="C155" s="7">
        <v>141.15</v>
      </c>
      <c r="D155" s="7">
        <v>140.017248018873</v>
      </c>
      <c r="E155" s="7">
        <v>140.017248018873</v>
      </c>
      <c r="F155" s="7">
        <v>140.017248018873</v>
      </c>
      <c r="G155" s="7">
        <v>141.14527650667</v>
      </c>
      <c r="H155" s="7">
        <v>141.14527650667</v>
      </c>
      <c r="I155" s="9"/>
      <c r="J155" s="9">
        <f t="shared" si="4"/>
        <v>-8.0251645846758368E-3</v>
      </c>
      <c r="K155" s="9">
        <f t="shared" si="5"/>
        <v>-3.346435232021161E-5</v>
      </c>
      <c r="L155" s="9"/>
    </row>
    <row r="156" spans="1:12" x14ac:dyDescent="0.25">
      <c r="A156" s="6">
        <v>42156</v>
      </c>
      <c r="B156" s="7">
        <v>138.75</v>
      </c>
      <c r="C156" s="7">
        <v>139.75</v>
      </c>
      <c r="D156" s="7">
        <v>139.60634906279401</v>
      </c>
      <c r="E156" s="7">
        <v>139.60634906279401</v>
      </c>
      <c r="F156" s="7">
        <v>139.60634906279401</v>
      </c>
      <c r="G156" s="7">
        <v>139.74536976405099</v>
      </c>
      <c r="H156" s="7">
        <v>139.74536976405099</v>
      </c>
      <c r="I156" s="9"/>
      <c r="J156" s="9">
        <f t="shared" si="4"/>
        <v>-1.0279136830482205E-3</v>
      </c>
      <c r="K156" s="9">
        <f t="shared" si="5"/>
        <v>-3.3132278704939289E-5</v>
      </c>
      <c r="L156" s="9"/>
    </row>
    <row r="157" spans="1:12" x14ac:dyDescent="0.25">
      <c r="A157" s="6">
        <v>42186</v>
      </c>
      <c r="B157" s="7">
        <v>143.32</v>
      </c>
      <c r="C157" s="7">
        <v>138.63</v>
      </c>
      <c r="D157" s="7">
        <v>139.90714734514901</v>
      </c>
      <c r="E157" s="7">
        <v>139.90714734514901</v>
      </c>
      <c r="F157" s="7">
        <v>139.90714734514901</v>
      </c>
      <c r="G157" s="7">
        <v>138.63201501690801</v>
      </c>
      <c r="H157" s="7">
        <v>138.63201501690801</v>
      </c>
      <c r="I157" s="9"/>
      <c r="J157" s="9">
        <f t="shared" si="4"/>
        <v>9.2126332334199201E-3</v>
      </c>
      <c r="K157" s="9">
        <f t="shared" si="5"/>
        <v>1.4535215379307687E-5</v>
      </c>
      <c r="L157" s="9"/>
    </row>
    <row r="158" spans="1:12" x14ac:dyDescent="0.25">
      <c r="A158" s="6">
        <v>42217</v>
      </c>
      <c r="B158" s="7">
        <v>140.93</v>
      </c>
      <c r="C158" s="7">
        <v>138.88999999999999</v>
      </c>
      <c r="D158" s="7">
        <v>137.43343900206099</v>
      </c>
      <c r="E158" s="7">
        <v>137.43343900206099</v>
      </c>
      <c r="F158" s="7">
        <v>137.43343900206099</v>
      </c>
      <c r="G158" s="7">
        <v>138.89489267906299</v>
      </c>
      <c r="H158" s="7">
        <v>138.89489267906299</v>
      </c>
      <c r="I158" s="9"/>
      <c r="J158" s="9">
        <f t="shared" si="4"/>
        <v>-1.0487155287918437E-2</v>
      </c>
      <c r="K158" s="9">
        <f t="shared" si="5"/>
        <v>3.5227007437521607E-5</v>
      </c>
      <c r="L158" s="9"/>
    </row>
    <row r="159" spans="1:12" x14ac:dyDescent="0.25">
      <c r="A159" s="6">
        <v>42248</v>
      </c>
      <c r="B159" s="7">
        <v>138.30000000000001</v>
      </c>
      <c r="C159" s="7">
        <v>137.68</v>
      </c>
      <c r="D159" s="7">
        <v>138.21338607301999</v>
      </c>
      <c r="E159" s="7">
        <v>138.21338607301999</v>
      </c>
      <c r="F159" s="7">
        <v>138.21338607301999</v>
      </c>
      <c r="G159" s="7">
        <v>137.67878104444699</v>
      </c>
      <c r="H159" s="7">
        <v>137.67878104444699</v>
      </c>
      <c r="I159" s="9"/>
      <c r="J159" s="9">
        <f t="shared" si="4"/>
        <v>3.8740998911968028E-3</v>
      </c>
      <c r="K159" s="9">
        <f t="shared" si="5"/>
        <v>-8.8535412043899697E-6</v>
      </c>
      <c r="L159" s="9"/>
    </row>
    <row r="160" spans="1:12" x14ac:dyDescent="0.25">
      <c r="A160" s="6">
        <v>42278</v>
      </c>
      <c r="B160" s="7">
        <v>140.22</v>
      </c>
      <c r="C160" s="7">
        <v>138.52000000000001</v>
      </c>
      <c r="D160" s="7">
        <v>137.84864404908899</v>
      </c>
      <c r="E160" s="7">
        <v>137.84864404908899</v>
      </c>
      <c r="F160" s="7">
        <v>137.84864404908899</v>
      </c>
      <c r="G160" s="7">
        <v>138.520861727024</v>
      </c>
      <c r="H160" s="7">
        <v>138.520861727024</v>
      </c>
      <c r="I160" s="9"/>
      <c r="J160" s="9">
        <f t="shared" si="4"/>
        <v>-4.8466355104751502E-3</v>
      </c>
      <c r="K160" s="9">
        <f t="shared" si="5"/>
        <v>6.2209574356320019E-6</v>
      </c>
      <c r="L160" s="9"/>
    </row>
    <row r="161" spans="1:12" x14ac:dyDescent="0.25">
      <c r="A161" s="6">
        <v>42309</v>
      </c>
      <c r="B161" s="7">
        <v>136.06</v>
      </c>
      <c r="C161" s="7">
        <v>136.69999999999999</v>
      </c>
      <c r="D161" s="7">
        <v>137.0307529147</v>
      </c>
      <c r="E161" s="7">
        <v>137.0307529147</v>
      </c>
      <c r="F161" s="7">
        <v>137.0307529147</v>
      </c>
      <c r="G161" s="7">
        <v>136.696105713462</v>
      </c>
      <c r="H161" s="7">
        <v>136.696105713462</v>
      </c>
      <c r="I161" s="9"/>
      <c r="J161" s="9">
        <f t="shared" si="4"/>
        <v>2.4195531433797157E-3</v>
      </c>
      <c r="K161" s="9">
        <f t="shared" si="5"/>
        <v>-2.8487831294721211E-5</v>
      </c>
      <c r="L161" s="9"/>
    </row>
    <row r="162" spans="1:12" x14ac:dyDescent="0.25">
      <c r="A162" s="6">
        <v>42339</v>
      </c>
      <c r="B162" s="7">
        <v>136.47999999999999</v>
      </c>
      <c r="C162" s="7">
        <v>136.21</v>
      </c>
      <c r="D162" s="7">
        <v>137.43953269774701</v>
      </c>
      <c r="E162" s="7">
        <v>137.43953269774701</v>
      </c>
      <c r="F162" s="7">
        <v>137.43953269774701</v>
      </c>
      <c r="G162" s="7">
        <v>136.208805090053</v>
      </c>
      <c r="H162" s="7">
        <v>136.208805090053</v>
      </c>
      <c r="I162" s="9"/>
      <c r="J162" s="9">
        <f t="shared" si="4"/>
        <v>9.0267432475368281E-3</v>
      </c>
      <c r="K162" s="9">
        <f t="shared" si="5"/>
        <v>-8.772556691849509E-6</v>
      </c>
      <c r="L162" s="9"/>
    </row>
    <row r="163" spans="1:12" x14ac:dyDescent="0.25">
      <c r="A163" s="6">
        <v>42370</v>
      </c>
      <c r="B163" s="7">
        <v>128.47999999999999</v>
      </c>
      <c r="C163" s="7">
        <v>135.61000000000001</v>
      </c>
      <c r="D163" s="7">
        <v>134.345810773621</v>
      </c>
      <c r="E163" s="7">
        <v>134.345810773621</v>
      </c>
      <c r="F163" s="7">
        <v>134.345810773621</v>
      </c>
      <c r="G163" s="7">
        <v>135.60555298438999</v>
      </c>
      <c r="H163" s="7">
        <v>135.60555298438999</v>
      </c>
      <c r="I163" s="9"/>
      <c r="J163" s="9">
        <f t="shared" si="4"/>
        <v>-9.322241917107954E-3</v>
      </c>
      <c r="K163" s="9">
        <f t="shared" si="5"/>
        <v>-3.2792682029492148E-5</v>
      </c>
      <c r="L163" s="9"/>
    </row>
    <row r="164" spans="1:12" x14ac:dyDescent="0.25">
      <c r="A164" s="6">
        <v>42401</v>
      </c>
      <c r="B164" s="7">
        <v>130.91999999999999</v>
      </c>
      <c r="C164" s="7">
        <v>135.53</v>
      </c>
      <c r="D164" s="7">
        <v>136.66159184313599</v>
      </c>
      <c r="E164" s="7">
        <v>136.66159184313599</v>
      </c>
      <c r="F164" s="7">
        <v>136.66159184313599</v>
      </c>
      <c r="G164" s="7">
        <v>135.52502169444199</v>
      </c>
      <c r="H164" s="7">
        <v>135.52502169444199</v>
      </c>
      <c r="I164" s="9"/>
      <c r="J164" s="9">
        <f t="shared" si="4"/>
        <v>8.3493827428318124E-3</v>
      </c>
      <c r="K164" s="9">
        <f t="shared" si="5"/>
        <v>-3.6732129845895578E-5</v>
      </c>
      <c r="L164" s="9"/>
    </row>
    <row r="165" spans="1:12" x14ac:dyDescent="0.25">
      <c r="A165" s="6">
        <v>42430</v>
      </c>
      <c r="B165" s="7">
        <v>140.54</v>
      </c>
      <c r="C165" s="7">
        <v>134.80000000000001</v>
      </c>
      <c r="D165" s="7">
        <v>135.62286844749099</v>
      </c>
      <c r="E165" s="7">
        <v>135.62286844749099</v>
      </c>
      <c r="F165" s="7">
        <v>135.62286844749099</v>
      </c>
      <c r="G165" s="7">
        <v>134.802041606659</v>
      </c>
      <c r="H165" s="7">
        <v>134.802041606659</v>
      </c>
      <c r="I165" s="9"/>
      <c r="J165" s="9">
        <f t="shared" si="4"/>
        <v>6.1043653374701634E-3</v>
      </c>
      <c r="K165" s="9">
        <f t="shared" si="5"/>
        <v>1.514544999259293E-5</v>
      </c>
      <c r="L165" s="9"/>
    </row>
    <row r="166" spans="1:12" x14ac:dyDescent="0.25">
      <c r="A166" s="6">
        <v>42461</v>
      </c>
      <c r="B166" s="7">
        <v>136.08000000000001</v>
      </c>
      <c r="C166" s="7">
        <v>134.97</v>
      </c>
      <c r="D166" s="7">
        <v>135.34129878753501</v>
      </c>
      <c r="E166" s="7">
        <v>135.34129878753501</v>
      </c>
      <c r="F166" s="7">
        <v>135.34129878753501</v>
      </c>
      <c r="G166" s="7">
        <v>134.967024765258</v>
      </c>
      <c r="H166" s="7">
        <v>134.967024765258</v>
      </c>
      <c r="I166" s="9"/>
      <c r="J166" s="9">
        <f t="shared" si="4"/>
        <v>2.7509727164185538E-3</v>
      </c>
      <c r="K166" s="9">
        <f t="shared" si="5"/>
        <v>-2.2043674461014184E-5</v>
      </c>
      <c r="L166" s="9"/>
    </row>
    <row r="167" spans="1:12" x14ac:dyDescent="0.25">
      <c r="A167" s="6">
        <v>42491</v>
      </c>
      <c r="B167" s="7">
        <v>133.72999999999999</v>
      </c>
      <c r="C167" s="7">
        <v>134.53</v>
      </c>
      <c r="D167" s="7">
        <v>133.97375779208801</v>
      </c>
      <c r="E167" s="7">
        <v>133.97375779208801</v>
      </c>
      <c r="F167" s="7">
        <v>133.97375779208801</v>
      </c>
      <c r="G167" s="7">
        <v>134.53299960783599</v>
      </c>
      <c r="H167" s="7">
        <v>134.53299960783599</v>
      </c>
      <c r="I167" s="9"/>
      <c r="J167" s="9">
        <f t="shared" si="4"/>
        <v>-4.1347075589979188E-3</v>
      </c>
      <c r="K167" s="9">
        <f t="shared" si="5"/>
        <v>2.2296943700261806E-5</v>
      </c>
      <c r="L167" s="9"/>
    </row>
    <row r="168" spans="1:12" x14ac:dyDescent="0.25">
      <c r="A168" s="6">
        <v>42522</v>
      </c>
      <c r="B168" s="7">
        <v>135.46</v>
      </c>
      <c r="C168" s="7">
        <v>134.96</v>
      </c>
      <c r="D168" s="7">
        <v>136.407454379413</v>
      </c>
      <c r="E168" s="7">
        <v>136.407454379413</v>
      </c>
      <c r="F168" s="7">
        <v>136.407454379413</v>
      </c>
      <c r="G168" s="7">
        <v>134.95619683527099</v>
      </c>
      <c r="H168" s="7">
        <v>134.95619683527099</v>
      </c>
      <c r="I168" s="9"/>
      <c r="J168" s="9">
        <f t="shared" si="4"/>
        <v>1.0725062088122295E-2</v>
      </c>
      <c r="K168" s="9">
        <f t="shared" si="5"/>
        <v>-2.8179940197214925E-5</v>
      </c>
      <c r="L168" s="9"/>
    </row>
    <row r="169" spans="1:12" x14ac:dyDescent="0.25">
      <c r="A169" s="6">
        <v>42552</v>
      </c>
      <c r="B169" s="7">
        <v>136.72999999999999</v>
      </c>
      <c r="C169" s="7">
        <v>134.54</v>
      </c>
      <c r="D169" s="7">
        <v>133.506258891892</v>
      </c>
      <c r="E169" s="7">
        <v>133.506258891892</v>
      </c>
      <c r="F169" s="7">
        <v>133.506258891892</v>
      </c>
      <c r="G169" s="7">
        <v>134.542437444065</v>
      </c>
      <c r="H169" s="7">
        <v>134.542437444065</v>
      </c>
      <c r="I169" s="9"/>
      <c r="J169" s="9">
        <f t="shared" si="4"/>
        <v>-7.6835224327931329E-3</v>
      </c>
      <c r="K169" s="9">
        <f t="shared" si="5"/>
        <v>1.8116872788853655E-5</v>
      </c>
      <c r="L169" s="9"/>
    </row>
    <row r="170" spans="1:12" x14ac:dyDescent="0.25">
      <c r="A170" s="6">
        <v>42583</v>
      </c>
      <c r="B170" s="7">
        <v>138.22</v>
      </c>
      <c r="C170" s="7">
        <v>133.84</v>
      </c>
      <c r="D170" s="7">
        <v>134.73785563993101</v>
      </c>
      <c r="E170" s="7">
        <v>134.73785563993101</v>
      </c>
      <c r="F170" s="7">
        <v>134.73785563993101</v>
      </c>
      <c r="G170" s="7">
        <v>133.837117138846</v>
      </c>
      <c r="H170" s="7">
        <v>133.837117138846</v>
      </c>
      <c r="I170" s="9"/>
      <c r="J170" s="9">
        <f t="shared" si="4"/>
        <v>6.7084252834055391E-3</v>
      </c>
      <c r="K170" s="9">
        <f t="shared" si="5"/>
        <v>-2.1539608144105493E-5</v>
      </c>
      <c r="L170" s="9"/>
    </row>
    <row r="171" spans="1:12" x14ac:dyDescent="0.25">
      <c r="A171" s="6">
        <v>42614</v>
      </c>
      <c r="B171" s="7">
        <v>134.09</v>
      </c>
      <c r="C171" s="7">
        <v>133.84</v>
      </c>
      <c r="D171" s="7">
        <v>134.352881866518</v>
      </c>
      <c r="E171" s="7">
        <v>134.352881866518</v>
      </c>
      <c r="F171" s="7">
        <v>134.352881866518</v>
      </c>
      <c r="G171" s="7">
        <v>133.83877541284099</v>
      </c>
      <c r="H171" s="7">
        <v>133.83877541284099</v>
      </c>
      <c r="I171" s="9"/>
      <c r="J171" s="9">
        <f t="shared" si="4"/>
        <v>3.8320522005230728E-3</v>
      </c>
      <c r="K171" s="9">
        <f t="shared" si="5"/>
        <v>-9.1496350793640602E-6</v>
      </c>
      <c r="L171" s="9"/>
    </row>
    <row r="172" spans="1:12" x14ac:dyDescent="0.25">
      <c r="A172" s="6">
        <v>42644</v>
      </c>
      <c r="B172" s="7">
        <v>132.83000000000001</v>
      </c>
      <c r="C172" s="7">
        <v>133.31</v>
      </c>
      <c r="D172" s="7">
        <v>130.75524111718599</v>
      </c>
      <c r="E172" s="7">
        <v>130.75524111718599</v>
      </c>
      <c r="F172" s="7">
        <v>130.75524111718599</v>
      </c>
      <c r="G172" s="7">
        <v>133.31463045849799</v>
      </c>
      <c r="H172" s="7">
        <v>133.31463045849799</v>
      </c>
      <c r="I172" s="9"/>
      <c r="J172" s="9">
        <f t="shared" si="4"/>
        <v>-1.9164045329037704E-2</v>
      </c>
      <c r="K172" s="9">
        <f t="shared" si="5"/>
        <v>3.4734517275314403E-5</v>
      </c>
      <c r="L172" s="9"/>
    </row>
    <row r="173" spans="1:12" x14ac:dyDescent="0.25">
      <c r="A173" s="6">
        <v>42675</v>
      </c>
      <c r="B173" s="7">
        <v>132.55000000000001</v>
      </c>
      <c r="C173" s="7">
        <v>133.05000000000001</v>
      </c>
      <c r="D173" s="7">
        <v>133.45915436229899</v>
      </c>
      <c r="E173" s="7">
        <v>133.45915436229899</v>
      </c>
      <c r="F173" s="7">
        <v>133.45915436229899</v>
      </c>
      <c r="G173" s="7">
        <v>133.04891484236501</v>
      </c>
      <c r="H173" s="7">
        <v>133.04891484236501</v>
      </c>
      <c r="I173" s="9"/>
      <c r="J173" s="9">
        <f t="shared" si="4"/>
        <v>3.0751925013074999E-3</v>
      </c>
      <c r="K173" s="9">
        <f t="shared" si="5"/>
        <v>-8.1560137917824349E-6</v>
      </c>
      <c r="L173" s="9"/>
    </row>
    <row r="174" spans="1:12" x14ac:dyDescent="0.25">
      <c r="A174" s="6">
        <v>42705</v>
      </c>
      <c r="B174" s="7">
        <v>133.56</v>
      </c>
      <c r="C174" s="7">
        <v>132.18</v>
      </c>
      <c r="D174" s="7">
        <v>134.25121803345101</v>
      </c>
      <c r="E174" s="7">
        <v>134.25121803345101</v>
      </c>
      <c r="F174" s="7">
        <v>134.25121803345101</v>
      </c>
      <c r="G174" s="7">
        <v>132.18489168592299</v>
      </c>
      <c r="H174" s="7">
        <v>132.18489168592299</v>
      </c>
      <c r="I174" s="9"/>
      <c r="J174" s="9">
        <f t="shared" si="4"/>
        <v>1.5669677965282292E-2</v>
      </c>
      <c r="K174" s="9">
        <f t="shared" si="5"/>
        <v>3.700776155990404E-5</v>
      </c>
      <c r="L174" s="9"/>
    </row>
    <row r="175" spans="1:12" x14ac:dyDescent="0.25">
      <c r="A175" s="6">
        <v>42736</v>
      </c>
      <c r="B175" s="7">
        <v>128.62</v>
      </c>
      <c r="C175" s="7">
        <v>133.47999999999999</v>
      </c>
      <c r="D175" s="7">
        <v>134.286042768242</v>
      </c>
      <c r="E175" s="7">
        <v>134.286042768242</v>
      </c>
      <c r="F175" s="7">
        <v>134.286042768242</v>
      </c>
      <c r="G175" s="7">
        <v>133.476374592334</v>
      </c>
      <c r="H175" s="7">
        <v>133.476374592334</v>
      </c>
      <c r="I175" s="9"/>
      <c r="J175" s="9">
        <f t="shared" si="4"/>
        <v>6.0386782157777485E-3</v>
      </c>
      <c r="K175" s="9">
        <f t="shared" si="5"/>
        <v>-2.7160680746152188E-5</v>
      </c>
      <c r="L175" s="9"/>
    </row>
    <row r="176" spans="1:12" x14ac:dyDescent="0.25">
      <c r="A176" s="6">
        <v>42767</v>
      </c>
      <c r="B176" s="7">
        <v>129.54</v>
      </c>
      <c r="C176" s="7">
        <v>135.43</v>
      </c>
      <c r="D176" s="7">
        <v>135.048294958154</v>
      </c>
      <c r="E176" s="7">
        <v>135.048294958154</v>
      </c>
      <c r="F176" s="7">
        <v>135.048294958154</v>
      </c>
      <c r="G176" s="7">
        <v>135.433053108698</v>
      </c>
      <c r="H176" s="7">
        <v>135.433053108698</v>
      </c>
      <c r="I176" s="9"/>
      <c r="J176" s="9">
        <f t="shared" si="4"/>
        <v>-2.8184674137635701E-3</v>
      </c>
      <c r="K176" s="9">
        <f t="shared" si="5"/>
        <v>2.2543813763542531E-5</v>
      </c>
      <c r="L176" s="9"/>
    </row>
    <row r="177" spans="1:12" x14ac:dyDescent="0.25">
      <c r="A177" s="6">
        <v>42795</v>
      </c>
      <c r="B177" s="7">
        <v>142.03</v>
      </c>
      <c r="C177" s="7">
        <v>135.74</v>
      </c>
      <c r="D177" s="7">
        <v>137.025500966864</v>
      </c>
      <c r="E177" s="7">
        <v>137.025500966864</v>
      </c>
      <c r="F177" s="7">
        <v>137.025500966864</v>
      </c>
      <c r="G177" s="7">
        <v>135.74411073898801</v>
      </c>
      <c r="H177" s="7">
        <v>135.74411073898801</v>
      </c>
      <c r="I177" s="9"/>
      <c r="J177" s="9">
        <f t="shared" si="4"/>
        <v>9.4703180113746566E-3</v>
      </c>
      <c r="K177" s="9">
        <f t="shared" si="5"/>
        <v>3.02839176955505E-5</v>
      </c>
      <c r="L177" s="9"/>
    </row>
    <row r="178" spans="1:12" x14ac:dyDescent="0.25">
      <c r="A178" s="6">
        <v>42826</v>
      </c>
      <c r="B178" s="7">
        <v>133.74</v>
      </c>
      <c r="C178" s="7">
        <v>136.07</v>
      </c>
      <c r="D178" s="7">
        <v>132.92331516343401</v>
      </c>
      <c r="E178" s="7">
        <v>132.92331516343401</v>
      </c>
      <c r="F178" s="7">
        <v>132.92331516343401</v>
      </c>
      <c r="G178" s="7">
        <v>136.067085465004</v>
      </c>
      <c r="H178" s="7">
        <v>136.067085465004</v>
      </c>
      <c r="I178" s="9"/>
      <c r="J178" s="9">
        <f t="shared" si="4"/>
        <v>-2.3125485680649538E-2</v>
      </c>
      <c r="K178" s="9">
        <f t="shared" si="5"/>
        <v>-2.1419379701570485E-5</v>
      </c>
      <c r="L178" s="9"/>
    </row>
    <row r="179" spans="1:12" x14ac:dyDescent="0.25">
      <c r="A179" s="6">
        <v>42856</v>
      </c>
      <c r="B179" s="7">
        <v>135.97999999999999</v>
      </c>
      <c r="C179" s="7">
        <v>135.30000000000001</v>
      </c>
      <c r="D179" s="7">
        <v>136.23315922408199</v>
      </c>
      <c r="E179" s="7">
        <v>136.23315922408199</v>
      </c>
      <c r="F179" s="7">
        <v>136.23315922408199</v>
      </c>
      <c r="G179" s="7">
        <v>135.29870890638699</v>
      </c>
      <c r="H179" s="7">
        <v>135.29870890638699</v>
      </c>
      <c r="I179" s="9"/>
      <c r="J179" s="9">
        <f t="shared" si="4"/>
        <v>6.8969639621727641E-3</v>
      </c>
      <c r="K179" s="9">
        <f t="shared" si="5"/>
        <v>-9.542450946198322E-6</v>
      </c>
      <c r="L179" s="9"/>
    </row>
    <row r="180" spans="1:12" x14ac:dyDescent="0.25">
      <c r="A180" s="6">
        <v>42887</v>
      </c>
      <c r="B180" s="7">
        <v>135.03</v>
      </c>
      <c r="C180" s="7">
        <v>136.16</v>
      </c>
      <c r="D180" s="7">
        <v>136.247580610244</v>
      </c>
      <c r="E180" s="7">
        <v>136.247580610244</v>
      </c>
      <c r="F180" s="7">
        <v>136.247580610244</v>
      </c>
      <c r="G180" s="7">
        <v>136.16009506778099</v>
      </c>
      <c r="H180" s="7">
        <v>136.16009506778099</v>
      </c>
      <c r="I180" s="9"/>
      <c r="J180" s="9">
        <f t="shared" si="4"/>
        <v>6.4321834785552312E-4</v>
      </c>
      <c r="K180" s="9">
        <f t="shared" si="5"/>
        <v>6.9820638204376451E-7</v>
      </c>
      <c r="L180" s="9"/>
    </row>
    <row r="181" spans="1:12" x14ac:dyDescent="0.25">
      <c r="A181" s="6">
        <v>42917</v>
      </c>
      <c r="B181" s="7">
        <v>138.35</v>
      </c>
      <c r="C181" s="7">
        <v>136.44999999999999</v>
      </c>
      <c r="D181" s="7">
        <v>135.31819563712301</v>
      </c>
      <c r="E181" s="7">
        <v>135.31819563712301</v>
      </c>
      <c r="F181" s="7">
        <v>135.31819563712301</v>
      </c>
      <c r="G181" s="7">
        <v>136.445111196997</v>
      </c>
      <c r="H181" s="7">
        <v>136.445111196997</v>
      </c>
      <c r="I181" s="9"/>
      <c r="J181" s="9">
        <f t="shared" si="4"/>
        <v>-8.2946453856869162E-3</v>
      </c>
      <c r="K181" s="9">
        <f t="shared" si="5"/>
        <v>-3.5828530619119725E-5</v>
      </c>
      <c r="L181" s="9"/>
    </row>
    <row r="182" spans="1:12" x14ac:dyDescent="0.25">
      <c r="A182" s="6">
        <v>42948</v>
      </c>
      <c r="B182" s="7">
        <v>140.12</v>
      </c>
      <c r="C182" s="7">
        <v>135.38999999999999</v>
      </c>
      <c r="D182" s="7">
        <v>136.607598876042</v>
      </c>
      <c r="E182" s="7">
        <v>136.607598876042</v>
      </c>
      <c r="F182" s="7">
        <v>136.607598876042</v>
      </c>
      <c r="G182" s="7">
        <v>135.386792044879</v>
      </c>
      <c r="H182" s="7">
        <v>135.386792044879</v>
      </c>
      <c r="I182" s="9"/>
      <c r="J182" s="9">
        <f t="shared" si="4"/>
        <v>8.9932703747841458E-3</v>
      </c>
      <c r="K182" s="9">
        <f t="shared" si="5"/>
        <v>-2.3694180670497111E-5</v>
      </c>
      <c r="L182" s="9"/>
    </row>
    <row r="183" spans="1:12" x14ac:dyDescent="0.25">
      <c r="A183" s="6">
        <v>42979</v>
      </c>
      <c r="B183" s="7">
        <v>134.99</v>
      </c>
      <c r="C183" s="7">
        <v>135.37</v>
      </c>
      <c r="D183" s="7">
        <v>135.579933689657</v>
      </c>
      <c r="E183" s="7">
        <v>135.579933689657</v>
      </c>
      <c r="F183" s="7">
        <v>135.579933689657</v>
      </c>
      <c r="G183" s="7">
        <v>135.36768354482899</v>
      </c>
      <c r="H183" s="7">
        <v>135.36768354482899</v>
      </c>
      <c r="I183" s="9"/>
      <c r="J183" s="9">
        <f t="shared" si="4"/>
        <v>1.5508139887492334E-3</v>
      </c>
      <c r="K183" s="9">
        <f t="shared" si="5"/>
        <v>-1.7112027561605458E-5</v>
      </c>
      <c r="L183" s="9"/>
    </row>
    <row r="184" spans="1:12" x14ac:dyDescent="0.25">
      <c r="A184" s="6">
        <v>43009</v>
      </c>
      <c r="B184" s="7">
        <v>135.94</v>
      </c>
      <c r="C184" s="7">
        <v>135.33000000000001</v>
      </c>
      <c r="D184" s="7">
        <v>133.90955016321601</v>
      </c>
      <c r="E184" s="7">
        <v>133.90955016321601</v>
      </c>
      <c r="F184" s="7">
        <v>133.90955016321601</v>
      </c>
      <c r="G184" s="7">
        <v>135.32524422870199</v>
      </c>
      <c r="H184" s="7">
        <v>135.32524422870199</v>
      </c>
      <c r="I184" s="9"/>
      <c r="J184" s="9">
        <f t="shared" si="4"/>
        <v>-1.0496193281489652E-2</v>
      </c>
      <c r="K184" s="9">
        <f t="shared" si="5"/>
        <v>-3.5142032794088784E-5</v>
      </c>
      <c r="L184" s="9"/>
    </row>
    <row r="185" spans="1:12" x14ac:dyDescent="0.25">
      <c r="A185" s="6">
        <v>43040</v>
      </c>
      <c r="B185" s="7">
        <v>135.11000000000001</v>
      </c>
      <c r="C185" s="7">
        <v>135.38</v>
      </c>
      <c r="D185" s="7">
        <v>135.784654696811</v>
      </c>
      <c r="E185" s="7">
        <v>135.784654696811</v>
      </c>
      <c r="F185" s="7">
        <v>135.784654696811</v>
      </c>
      <c r="G185" s="7">
        <v>135.38165882789201</v>
      </c>
      <c r="H185" s="7">
        <v>135.38165882789201</v>
      </c>
      <c r="I185" s="9"/>
      <c r="J185" s="9">
        <f t="shared" si="4"/>
        <v>2.989028636512181E-3</v>
      </c>
      <c r="K185" s="9">
        <f t="shared" si="5"/>
        <v>1.2253123740757488E-5</v>
      </c>
      <c r="L185" s="9"/>
    </row>
    <row r="186" spans="1:12" x14ac:dyDescent="0.25">
      <c r="A186" s="6">
        <v>43070</v>
      </c>
      <c r="B186" s="7">
        <v>135.88</v>
      </c>
      <c r="C186" s="7">
        <v>137.04</v>
      </c>
      <c r="D186" s="7">
        <v>136.45707925284199</v>
      </c>
      <c r="E186" s="7">
        <v>136.45707925284199</v>
      </c>
      <c r="F186" s="7">
        <v>136.45707925284199</v>
      </c>
      <c r="G186" s="7">
        <v>137.03906697707299</v>
      </c>
      <c r="H186" s="7">
        <v>137.03906697707299</v>
      </c>
      <c r="I186" s="9"/>
      <c r="J186" s="9">
        <f t="shared" si="4"/>
        <v>-4.2536540218768293E-3</v>
      </c>
      <c r="K186" s="9">
        <f t="shared" si="5"/>
        <v>-6.8083984748890103E-6</v>
      </c>
      <c r="L186" s="9"/>
    </row>
    <row r="187" spans="1:12" x14ac:dyDescent="0.25">
      <c r="A187" s="6">
        <v>43101</v>
      </c>
      <c r="B187" s="7">
        <v>132.03</v>
      </c>
      <c r="C187" s="7">
        <v>136.65</v>
      </c>
      <c r="D187" s="7">
        <v>137.464674645879</v>
      </c>
      <c r="E187" s="7">
        <v>137.464674645879</v>
      </c>
      <c r="F187" s="7">
        <v>137.464674645879</v>
      </c>
      <c r="G187" s="7">
        <v>136.646233150347</v>
      </c>
      <c r="H187" s="7">
        <v>136.646233150347</v>
      </c>
      <c r="I187" s="9"/>
      <c r="J187" s="9">
        <f t="shared" si="4"/>
        <v>5.9617610382656228E-3</v>
      </c>
      <c r="K187" s="9">
        <f t="shared" si="5"/>
        <v>-2.7565676201990463E-5</v>
      </c>
      <c r="L187" s="9"/>
    </row>
    <row r="188" spans="1:12" x14ac:dyDescent="0.25">
      <c r="A188" s="6">
        <v>43132</v>
      </c>
      <c r="B188" s="7">
        <v>129.85</v>
      </c>
      <c r="C188" s="7">
        <v>136.4</v>
      </c>
      <c r="D188" s="7">
        <v>135.04980702994399</v>
      </c>
      <c r="E188" s="7">
        <v>135.04980702994399</v>
      </c>
      <c r="F188" s="7">
        <v>135.04980702994399</v>
      </c>
      <c r="G188" s="7">
        <v>136.40179766518699</v>
      </c>
      <c r="H188" s="7">
        <v>136.40179766518699</v>
      </c>
      <c r="I188" s="9"/>
      <c r="J188" s="9">
        <f t="shared" si="4"/>
        <v>-9.8987754402933836E-3</v>
      </c>
      <c r="K188" s="9">
        <f t="shared" si="5"/>
        <v>1.3179363540949396E-5</v>
      </c>
      <c r="L188" s="9"/>
    </row>
    <row r="189" spans="1:12" x14ac:dyDescent="0.25">
      <c r="A189" s="6">
        <v>43160</v>
      </c>
      <c r="B189" s="7">
        <v>141.63</v>
      </c>
      <c r="C189" s="7">
        <v>137.38</v>
      </c>
      <c r="D189" s="7">
        <v>136.68610306711099</v>
      </c>
      <c r="E189" s="7">
        <v>136.68610306711099</v>
      </c>
      <c r="F189" s="7">
        <v>136.68610306711099</v>
      </c>
      <c r="G189" s="7">
        <v>137.382405372276</v>
      </c>
      <c r="H189" s="7">
        <v>137.382405372276</v>
      </c>
      <c r="I189" s="9"/>
      <c r="J189" s="9">
        <f t="shared" si="4"/>
        <v>-5.0509312337240209E-3</v>
      </c>
      <c r="K189" s="9">
        <f t="shared" si="5"/>
        <v>1.7508897044660188E-5</v>
      </c>
      <c r="L189" s="9"/>
    </row>
    <row r="190" spans="1:12" x14ac:dyDescent="0.25">
      <c r="A190" s="6">
        <v>43191</v>
      </c>
      <c r="B190" s="7">
        <v>139.02000000000001</v>
      </c>
      <c r="C190" s="7">
        <v>138.82</v>
      </c>
      <c r="D190" s="7">
        <v>138.380741865619</v>
      </c>
      <c r="E190" s="7">
        <v>138.380741865619</v>
      </c>
      <c r="F190" s="7">
        <v>138.380741865619</v>
      </c>
      <c r="G190" s="7">
        <v>138.81930989179301</v>
      </c>
      <c r="H190" s="7">
        <v>138.81930989179301</v>
      </c>
      <c r="I190" s="9"/>
      <c r="J190" s="9">
        <f t="shared" si="4"/>
        <v>-3.1642280246433341E-3</v>
      </c>
      <c r="K190" s="9">
        <f t="shared" si="5"/>
        <v>-4.9712448276784116E-6</v>
      </c>
      <c r="L190" s="9"/>
    </row>
    <row r="191" spans="1:12" x14ac:dyDescent="0.25">
      <c r="A191" s="6">
        <v>43221</v>
      </c>
      <c r="B191" s="7">
        <v>132.29</v>
      </c>
      <c r="C191" s="7">
        <v>133.59</v>
      </c>
      <c r="D191" s="7">
        <v>132.39223228997</v>
      </c>
      <c r="E191" s="7">
        <v>132.39223228997</v>
      </c>
      <c r="F191" s="7">
        <v>132.39223228997</v>
      </c>
      <c r="G191" s="7">
        <v>133.59212874570301</v>
      </c>
      <c r="H191" s="7">
        <v>133.59212874570301</v>
      </c>
      <c r="I191" s="9"/>
      <c r="J191" s="9">
        <f t="shared" si="4"/>
        <v>-8.9659982785388337E-3</v>
      </c>
      <c r="K191" s="9">
        <f t="shared" si="5"/>
        <v>1.5934918055293679E-5</v>
      </c>
      <c r="L191" s="9"/>
    </row>
    <row r="192" spans="1:12" x14ac:dyDescent="0.25">
      <c r="A192" s="6">
        <v>43252</v>
      </c>
      <c r="B192" s="7">
        <v>137.06</v>
      </c>
      <c r="C192" s="7">
        <v>137.71</v>
      </c>
      <c r="D192" s="7">
        <v>138.869014535806</v>
      </c>
      <c r="E192" s="7">
        <v>138.869014535806</v>
      </c>
      <c r="F192" s="7">
        <v>138.869014535806</v>
      </c>
      <c r="G192" s="7">
        <v>137.709438533134</v>
      </c>
      <c r="H192" s="7">
        <v>137.709438533134</v>
      </c>
      <c r="I192" s="9"/>
      <c r="J192" s="9">
        <f t="shared" si="4"/>
        <v>8.4163425735674924E-3</v>
      </c>
      <c r="K192" s="9">
        <f t="shared" si="5"/>
        <v>-4.0771684409746101E-6</v>
      </c>
      <c r="L192" s="9"/>
    </row>
    <row r="193" spans="1:12" x14ac:dyDescent="0.25">
      <c r="A193" s="6">
        <v>43282</v>
      </c>
      <c r="B193" s="7">
        <v>140.97</v>
      </c>
      <c r="C193" s="7">
        <v>138.06</v>
      </c>
      <c r="D193" s="7">
        <v>137.974527797489</v>
      </c>
      <c r="E193" s="7">
        <v>137.974527797489</v>
      </c>
      <c r="F193" s="7">
        <v>137.974527797489</v>
      </c>
      <c r="G193" s="7">
        <v>138.06433406425799</v>
      </c>
      <c r="H193" s="7">
        <v>138.06433406425799</v>
      </c>
      <c r="I193" s="9"/>
      <c r="J193" s="9">
        <f t="shared" si="4"/>
        <v>-6.1909461473996785E-4</v>
      </c>
      <c r="K193" s="9">
        <f t="shared" si="5"/>
        <v>3.139261377649305E-5</v>
      </c>
      <c r="L193" s="9"/>
    </row>
    <row r="194" spans="1:12" x14ac:dyDescent="0.25">
      <c r="A194" s="6">
        <v>43313</v>
      </c>
      <c r="B194" s="7">
        <v>143.33000000000001</v>
      </c>
      <c r="C194" s="7">
        <v>138.54</v>
      </c>
      <c r="D194" s="7">
        <v>139.897280049915</v>
      </c>
      <c r="E194" s="7">
        <v>139.897280049915</v>
      </c>
      <c r="F194" s="7">
        <v>139.897280049915</v>
      </c>
      <c r="G194" s="7">
        <v>138.542143455191</v>
      </c>
      <c r="H194" s="7">
        <v>138.542143455191</v>
      </c>
      <c r="I194" s="9"/>
      <c r="J194" s="9">
        <f t="shared" si="4"/>
        <v>9.7970264899307491E-3</v>
      </c>
      <c r="K194" s="9">
        <f t="shared" si="5"/>
        <v>1.5471742392136889E-5</v>
      </c>
      <c r="L194" s="9"/>
    </row>
    <row r="195" spans="1:12" x14ac:dyDescent="0.25">
      <c r="A195" s="6">
        <v>43344</v>
      </c>
      <c r="B195" s="7">
        <v>135.87</v>
      </c>
      <c r="C195" s="7">
        <v>137.59</v>
      </c>
      <c r="D195" s="7">
        <v>136.63778574257901</v>
      </c>
      <c r="E195" s="7">
        <v>136.63778574257901</v>
      </c>
      <c r="F195" s="7">
        <v>136.63778574257901</v>
      </c>
      <c r="G195" s="7">
        <v>137.59317088048999</v>
      </c>
      <c r="H195" s="7">
        <v>137.59317088048999</v>
      </c>
      <c r="I195" s="9"/>
      <c r="J195" s="9">
        <f t="shared" si="4"/>
        <v>-6.9206647097971308E-3</v>
      </c>
      <c r="K195" s="9">
        <f t="shared" si="5"/>
        <v>2.3045864452342357E-5</v>
      </c>
      <c r="L195" s="9"/>
    </row>
    <row r="196" spans="1:12" x14ac:dyDescent="0.25">
      <c r="A196" s="6">
        <v>43374</v>
      </c>
      <c r="B196" s="7">
        <v>139.75</v>
      </c>
      <c r="C196" s="7">
        <v>137.22</v>
      </c>
      <c r="D196" s="7">
        <v>137.55942386026399</v>
      </c>
      <c r="E196" s="7">
        <v>137.55942386026399</v>
      </c>
      <c r="F196" s="7">
        <v>137.55942386026399</v>
      </c>
      <c r="G196" s="7">
        <v>137.221230660499</v>
      </c>
      <c r="H196" s="7">
        <v>137.221230660499</v>
      </c>
      <c r="I196" s="9"/>
      <c r="J196" s="9">
        <f t="shared" si="4"/>
        <v>2.4735742622357115E-3</v>
      </c>
      <c r="K196" s="9">
        <f t="shared" si="5"/>
        <v>8.9685213453538637E-6</v>
      </c>
      <c r="L196" s="9"/>
    </row>
    <row r="197" spans="1:12" x14ac:dyDescent="0.25">
      <c r="A197" s="6">
        <v>43405</v>
      </c>
      <c r="B197" s="7">
        <v>137.62</v>
      </c>
      <c r="C197" s="7">
        <v>137.55000000000001</v>
      </c>
      <c r="D197" s="7">
        <v>137.91711003262299</v>
      </c>
      <c r="E197" s="7">
        <v>137.91711003262299</v>
      </c>
      <c r="F197" s="7">
        <v>137.91711003262299</v>
      </c>
      <c r="G197" s="7">
        <v>137.548349655447</v>
      </c>
      <c r="H197" s="7">
        <v>137.548349655447</v>
      </c>
      <c r="I197" s="9"/>
      <c r="J197" s="9">
        <f t="shared" si="4"/>
        <v>2.6689206297563217E-3</v>
      </c>
      <c r="K197" s="9">
        <f t="shared" si="5"/>
        <v>-1.1998142878999474E-5</v>
      </c>
      <c r="L197" s="9"/>
    </row>
    <row r="198" spans="1:12" x14ac:dyDescent="0.25">
      <c r="A198" s="6">
        <v>43435</v>
      </c>
      <c r="B198" s="7">
        <v>136.33000000000001</v>
      </c>
      <c r="C198" s="7">
        <v>138.08000000000001</v>
      </c>
      <c r="D198" s="7">
        <v>136.809931034843</v>
      </c>
      <c r="E198" s="7">
        <v>136.809931034843</v>
      </c>
      <c r="F198" s="7">
        <v>136.809931034843</v>
      </c>
      <c r="G198" s="7">
        <v>138.07615759886701</v>
      </c>
      <c r="H198" s="7">
        <v>138.07615759886701</v>
      </c>
      <c r="I198" s="9"/>
      <c r="J198" s="9">
        <f t="shared" si="4"/>
        <v>-9.1980660860153662E-3</v>
      </c>
      <c r="K198" s="9">
        <f t="shared" si="5"/>
        <v>-2.7827354671217108E-5</v>
      </c>
      <c r="L198" s="9"/>
    </row>
    <row r="199" spans="1:12" x14ac:dyDescent="0.25">
      <c r="A199" s="6">
        <v>43466</v>
      </c>
      <c r="B199" s="7">
        <v>133.43</v>
      </c>
      <c r="C199" s="7">
        <v>138.19</v>
      </c>
      <c r="D199" s="7">
        <v>138.674515127983</v>
      </c>
      <c r="E199" s="7">
        <v>138.674515127983</v>
      </c>
      <c r="F199" s="7">
        <v>138.674515127983</v>
      </c>
      <c r="G199" s="7">
        <v>138.18627043504699</v>
      </c>
      <c r="H199" s="7">
        <v>138.18627043504699</v>
      </c>
      <c r="I199" s="9"/>
      <c r="J199" s="9">
        <f t="shared" ref="J199:J226" si="6">E199/$C199-1</f>
        <v>3.5061518777264045E-3</v>
      </c>
      <c r="K199" s="9">
        <f t="shared" ref="K199:K222" si="7">G199/$C199-1</f>
        <v>-2.6988674672545621E-5</v>
      </c>
      <c r="L199" s="9"/>
    </row>
    <row r="200" spans="1:12" x14ac:dyDescent="0.25">
      <c r="A200" s="6">
        <v>43497</v>
      </c>
      <c r="B200" s="7">
        <v>133.75</v>
      </c>
      <c r="C200" s="7">
        <v>137.16</v>
      </c>
      <c r="D200" s="7">
        <v>138.60278938679701</v>
      </c>
      <c r="E200" s="7">
        <v>138.60278938679701</v>
      </c>
      <c r="F200" s="7">
        <v>138.60278938679701</v>
      </c>
      <c r="G200" s="7">
        <v>137.15531150242001</v>
      </c>
      <c r="H200" s="7">
        <v>137.15531150242001</v>
      </c>
      <c r="I200" s="9"/>
      <c r="J200" s="9">
        <f t="shared" si="6"/>
        <v>1.051902440067809E-2</v>
      </c>
      <c r="K200" s="9">
        <f t="shared" si="7"/>
        <v>-3.418268868471408E-5</v>
      </c>
      <c r="L200" s="9"/>
    </row>
    <row r="201" spans="1:12" x14ac:dyDescent="0.25">
      <c r="A201" s="6">
        <v>43525</v>
      </c>
      <c r="B201" s="7">
        <v>138.99</v>
      </c>
      <c r="C201" s="7">
        <v>138.53</v>
      </c>
      <c r="D201" s="7">
        <v>134.29326406798401</v>
      </c>
      <c r="E201" s="7">
        <v>134.29326406798401</v>
      </c>
      <c r="F201" s="7">
        <v>134.29326406798401</v>
      </c>
      <c r="G201" s="7">
        <v>138.53019158757999</v>
      </c>
      <c r="H201" s="7">
        <v>138.53019158757999</v>
      </c>
      <c r="I201" s="9"/>
      <c r="J201" s="9">
        <f t="shared" si="6"/>
        <v>-3.0583526543102479E-2</v>
      </c>
      <c r="K201" s="9">
        <f t="shared" si="7"/>
        <v>1.383004258892484E-6</v>
      </c>
      <c r="L201" s="9"/>
    </row>
    <row r="202" spans="1:12" x14ac:dyDescent="0.25">
      <c r="A202" s="6">
        <v>43556</v>
      </c>
      <c r="B202" s="7">
        <v>139.46</v>
      </c>
      <c r="C202" s="7">
        <v>138.80000000000001</v>
      </c>
      <c r="D202" s="7">
        <v>139.079728718929</v>
      </c>
      <c r="E202" s="7">
        <v>139.079728718929</v>
      </c>
      <c r="F202" s="7">
        <v>139.079728718929</v>
      </c>
      <c r="G202" s="7">
        <v>138.799573433707</v>
      </c>
      <c r="H202" s="7">
        <v>138.799573433707</v>
      </c>
      <c r="I202" s="9"/>
      <c r="J202" s="9">
        <f t="shared" si="6"/>
        <v>2.015336591707495E-3</v>
      </c>
      <c r="K202" s="9">
        <f t="shared" si="7"/>
        <v>-3.0732441860248372E-6</v>
      </c>
      <c r="L202" s="9"/>
    </row>
    <row r="203" spans="1:12" x14ac:dyDescent="0.25">
      <c r="A203" s="6">
        <v>43586</v>
      </c>
      <c r="B203" s="7">
        <v>139.26</v>
      </c>
      <c r="C203" s="7">
        <v>139.16999999999999</v>
      </c>
      <c r="D203" s="7">
        <v>139.246185847654</v>
      </c>
      <c r="E203" s="7">
        <v>139.246185847654</v>
      </c>
      <c r="F203" s="7">
        <v>139.246185847654</v>
      </c>
      <c r="G203" s="7">
        <v>139.17016690308799</v>
      </c>
      <c r="H203" s="7">
        <v>139.17016690308799</v>
      </c>
      <c r="I203" s="9"/>
      <c r="J203" s="9">
        <f t="shared" si="6"/>
        <v>5.4743010457736219E-4</v>
      </c>
      <c r="K203" s="9">
        <f t="shared" si="7"/>
        <v>1.1992749011646708E-6</v>
      </c>
      <c r="L203" s="9"/>
    </row>
    <row r="204" spans="1:12" x14ac:dyDescent="0.25">
      <c r="A204" s="6">
        <v>43617</v>
      </c>
      <c r="B204" s="7">
        <v>135.01</v>
      </c>
      <c r="C204" s="7">
        <v>139.16</v>
      </c>
      <c r="D204" s="7">
        <v>137.40376688655101</v>
      </c>
      <c r="E204" s="7">
        <v>137.40376688655101</v>
      </c>
      <c r="F204" s="7">
        <v>137.40376688655101</v>
      </c>
      <c r="G204" s="7">
        <v>139.16253487465099</v>
      </c>
      <c r="H204" s="7">
        <v>139.16253487465099</v>
      </c>
      <c r="I204" s="9"/>
      <c r="J204" s="9">
        <f t="shared" si="6"/>
        <v>-1.2620243701128131E-2</v>
      </c>
      <c r="K204" s="9">
        <f t="shared" si="7"/>
        <v>1.8215540751542747E-5</v>
      </c>
      <c r="L204" s="9"/>
    </row>
    <row r="205" spans="1:12" x14ac:dyDescent="0.25">
      <c r="A205" s="6">
        <v>43647</v>
      </c>
      <c r="B205" s="7">
        <v>142.91999999999999</v>
      </c>
      <c r="C205" s="7">
        <v>138.43</v>
      </c>
      <c r="D205" s="7">
        <v>139.95851600950999</v>
      </c>
      <c r="E205" s="7">
        <v>139.95851600950999</v>
      </c>
      <c r="F205" s="7">
        <v>139.95851600950999</v>
      </c>
      <c r="G205" s="7">
        <v>138.42654936777799</v>
      </c>
      <c r="H205" s="7">
        <v>138.42654936777799</v>
      </c>
      <c r="I205" s="9"/>
      <c r="J205" s="9">
        <f t="shared" si="6"/>
        <v>1.1041797366972306E-2</v>
      </c>
      <c r="K205" s="9">
        <f t="shared" si="7"/>
        <v>-2.4926910510814082E-5</v>
      </c>
      <c r="L205" s="9"/>
    </row>
    <row r="206" spans="1:12" x14ac:dyDescent="0.25">
      <c r="A206" s="6">
        <v>43678</v>
      </c>
      <c r="B206" s="7">
        <v>141.77000000000001</v>
      </c>
      <c r="C206" s="7">
        <v>137.62</v>
      </c>
      <c r="D206" s="7">
        <v>138.55130785240499</v>
      </c>
      <c r="E206" s="7">
        <v>138.55130785240499</v>
      </c>
      <c r="F206" s="7">
        <v>138.55130785240499</v>
      </c>
      <c r="G206" s="7">
        <v>137.61994396778701</v>
      </c>
      <c r="H206" s="7">
        <v>137.61994396778701</v>
      </c>
      <c r="I206" s="9"/>
      <c r="J206" s="9">
        <f t="shared" si="6"/>
        <v>6.7672420607831629E-3</v>
      </c>
      <c r="K206" s="9">
        <f t="shared" si="7"/>
        <v>-4.0715167126670337E-7</v>
      </c>
      <c r="L206" s="9"/>
    </row>
    <row r="207" spans="1:12" x14ac:dyDescent="0.25">
      <c r="A207" s="6">
        <v>43709</v>
      </c>
      <c r="B207" s="7">
        <v>138.30000000000001</v>
      </c>
      <c r="C207" s="7">
        <v>138.34</v>
      </c>
      <c r="D207" s="7">
        <v>139.06416143045999</v>
      </c>
      <c r="E207" s="7">
        <v>139.06416143045999</v>
      </c>
      <c r="F207" s="7">
        <v>139.06416143045999</v>
      </c>
      <c r="G207" s="7">
        <v>138.33590392966801</v>
      </c>
      <c r="H207" s="7">
        <v>138.33590392966801</v>
      </c>
      <c r="I207" s="9"/>
      <c r="J207" s="9">
        <f t="shared" si="6"/>
        <v>5.2346496346680205E-3</v>
      </c>
      <c r="K207" s="9">
        <f t="shared" si="7"/>
        <v>-2.9608720051976789E-5</v>
      </c>
      <c r="L207" s="9"/>
    </row>
    <row r="208" spans="1:12" x14ac:dyDescent="0.25">
      <c r="A208" s="6">
        <v>43739</v>
      </c>
      <c r="B208" s="7">
        <v>142.76</v>
      </c>
      <c r="C208" s="7">
        <v>138.66999999999999</v>
      </c>
      <c r="D208" s="7">
        <v>140.260034751587</v>
      </c>
      <c r="E208" s="7">
        <v>140.260034751587</v>
      </c>
      <c r="F208" s="7">
        <v>140.260034751587</v>
      </c>
      <c r="G208" s="7">
        <v>138.67146614261699</v>
      </c>
      <c r="H208" s="7">
        <v>138.67146614261699</v>
      </c>
      <c r="I208" s="9"/>
      <c r="J208" s="9">
        <f t="shared" si="6"/>
        <v>1.1466321133532853E-2</v>
      </c>
      <c r="K208" s="9">
        <f t="shared" si="7"/>
        <v>1.0572889716620182E-5</v>
      </c>
      <c r="L208" s="9"/>
    </row>
    <row r="209" spans="1:12" x14ac:dyDescent="0.25">
      <c r="A209" s="6">
        <v>43770</v>
      </c>
      <c r="B209" s="7">
        <v>138.84</v>
      </c>
      <c r="C209" s="7">
        <v>138.44999999999999</v>
      </c>
      <c r="D209" s="7">
        <v>138.75274198401999</v>
      </c>
      <c r="E209" s="7">
        <v>138.75274198401999</v>
      </c>
      <c r="F209" s="7">
        <v>138.75274198401999</v>
      </c>
      <c r="G209" s="7">
        <v>138.45029768281699</v>
      </c>
      <c r="H209" s="7">
        <v>138.45029768281699</v>
      </c>
      <c r="I209" s="9"/>
      <c r="J209" s="9">
        <f t="shared" si="6"/>
        <v>2.1866521055977639E-3</v>
      </c>
      <c r="K209" s="9">
        <f t="shared" si="7"/>
        <v>2.1501106319821162E-6</v>
      </c>
      <c r="L209" s="9"/>
    </row>
    <row r="210" spans="1:12" x14ac:dyDescent="0.25">
      <c r="A210" s="6">
        <v>43800</v>
      </c>
      <c r="B210" s="7">
        <v>137.54</v>
      </c>
      <c r="C210" s="7">
        <v>138</v>
      </c>
      <c r="D210" s="7">
        <v>137.86068374741001</v>
      </c>
      <c r="E210" s="7">
        <v>137.86068374741001</v>
      </c>
      <c r="F210" s="7">
        <v>137.86068374741001</v>
      </c>
      <c r="G210" s="7">
        <v>138.00226370515799</v>
      </c>
      <c r="H210" s="7">
        <v>138.00226370515799</v>
      </c>
      <c r="I210" s="9"/>
      <c r="J210" s="9">
        <f t="shared" si="6"/>
        <v>-1.0095380622463512E-3</v>
      </c>
      <c r="K210" s="9">
        <f t="shared" si="7"/>
        <v>1.6403660565211808E-5</v>
      </c>
      <c r="L210" s="9"/>
    </row>
    <row r="211" spans="1:12" x14ac:dyDescent="0.25">
      <c r="A211" s="6">
        <v>43831</v>
      </c>
      <c r="B211" s="7">
        <v>133.6</v>
      </c>
      <c r="C211" s="7">
        <v>138.19999999999999</v>
      </c>
      <c r="D211" s="7">
        <v>138.79627857836601</v>
      </c>
      <c r="E211" s="7">
        <v>138.79627857836601</v>
      </c>
      <c r="F211" s="7">
        <v>138.79627857836601</v>
      </c>
      <c r="G211" s="7">
        <v>138.19874830255401</v>
      </c>
      <c r="H211" s="7">
        <v>138.19874830255401</v>
      </c>
      <c r="I211" s="9"/>
      <c r="J211" s="9">
        <f t="shared" si="6"/>
        <v>4.3146062110421823E-3</v>
      </c>
      <c r="K211" s="9">
        <f t="shared" si="7"/>
        <v>-9.0571450505061435E-6</v>
      </c>
      <c r="L211" s="9"/>
    </row>
    <row r="212" spans="1:12" x14ac:dyDescent="0.25">
      <c r="A212" s="6">
        <v>43862</v>
      </c>
      <c r="B212" s="7">
        <v>134.63</v>
      </c>
      <c r="C212" s="7">
        <v>139.35</v>
      </c>
      <c r="D212" s="7">
        <v>139.217176357959</v>
      </c>
      <c r="E212" s="7">
        <v>139.217176357959</v>
      </c>
      <c r="F212" s="7">
        <v>139.217176357959</v>
      </c>
      <c r="G212" s="7">
        <v>139.34958134024399</v>
      </c>
      <c r="H212" s="7">
        <v>139.34958134024399</v>
      </c>
      <c r="I212" s="9"/>
      <c r="J212" s="9">
        <f t="shared" si="6"/>
        <v>-9.5316571252956894E-4</v>
      </c>
      <c r="K212" s="9">
        <f t="shared" si="7"/>
        <v>-3.0043757158759732E-6</v>
      </c>
      <c r="L212" s="9"/>
    </row>
    <row r="213" spans="1:12" x14ac:dyDescent="0.25">
      <c r="A213" s="6">
        <v>43891</v>
      </c>
      <c r="B213" s="7">
        <v>136.72</v>
      </c>
      <c r="C213" s="7">
        <v>133.07</v>
      </c>
      <c r="D213" s="7">
        <v>132.18363556896901</v>
      </c>
      <c r="E213" s="7">
        <v>132.18363556896901</v>
      </c>
      <c r="F213" s="7">
        <v>132.18363556896901</v>
      </c>
      <c r="G213" s="7">
        <v>133.06887940142499</v>
      </c>
      <c r="H213" s="7">
        <v>133.06887940142499</v>
      </c>
      <c r="I213" s="9"/>
      <c r="J213" s="9">
        <f t="shared" si="6"/>
        <v>-6.6608884874951313E-3</v>
      </c>
      <c r="K213" s="9">
        <f t="shared" si="7"/>
        <v>-8.4211210265028313E-6</v>
      </c>
      <c r="L213" s="9"/>
    </row>
    <row r="214" spans="1:12" x14ac:dyDescent="0.25">
      <c r="A214" s="6">
        <v>43922</v>
      </c>
      <c r="B214" s="7">
        <v>119.13</v>
      </c>
      <c r="C214" s="7">
        <v>120.43</v>
      </c>
      <c r="D214" s="7">
        <v>119.081015887088</v>
      </c>
      <c r="E214" s="7">
        <v>119.081015887088</v>
      </c>
      <c r="F214" s="7">
        <v>119.081015887088</v>
      </c>
      <c r="G214" s="7">
        <v>120.429200208701</v>
      </c>
      <c r="H214" s="7">
        <v>120.429200208701</v>
      </c>
      <c r="I214" s="9"/>
      <c r="J214" s="9">
        <f t="shared" si="6"/>
        <v>-1.1201395938819303E-2</v>
      </c>
      <c r="K214" s="9">
        <f t="shared" si="7"/>
        <v>-6.6411301088420416E-6</v>
      </c>
      <c r="L214" s="9"/>
    </row>
    <row r="215" spans="1:12" x14ac:dyDescent="0.25">
      <c r="A215" s="6">
        <v>43952</v>
      </c>
      <c r="B215" s="7">
        <v>119.79</v>
      </c>
      <c r="C215" s="7">
        <v>121.92</v>
      </c>
      <c r="D215" s="7">
        <v>119.703570533285</v>
      </c>
      <c r="E215" s="7">
        <v>119.703570533285</v>
      </c>
      <c r="F215" s="7">
        <v>119.703570533285</v>
      </c>
      <c r="G215" s="7">
        <v>121.91797589413601</v>
      </c>
      <c r="H215" s="7">
        <v>121.91797589413601</v>
      </c>
      <c r="I215" s="9"/>
      <c r="J215" s="9">
        <f t="shared" si="6"/>
        <v>-1.8179375547203058E-2</v>
      </c>
      <c r="K215" s="9">
        <f t="shared" si="7"/>
        <v>-1.660191817576262E-5</v>
      </c>
      <c r="L215" s="9"/>
    </row>
    <row r="216" spans="1:12" x14ac:dyDescent="0.25">
      <c r="A216" s="6">
        <v>43983</v>
      </c>
      <c r="B216" s="7">
        <v>126.18</v>
      </c>
      <c r="C216" s="7">
        <v>128.25</v>
      </c>
      <c r="D216" s="7">
        <v>129.12793860755599</v>
      </c>
      <c r="E216" s="7">
        <v>129.12793860755599</v>
      </c>
      <c r="F216" s="7">
        <v>129.12793860755599</v>
      </c>
      <c r="G216" s="7">
        <v>128.246806138322</v>
      </c>
      <c r="H216" s="7">
        <v>128.246806138322</v>
      </c>
      <c r="I216" s="9"/>
      <c r="J216" s="9">
        <f t="shared" si="6"/>
        <v>6.845525205114944E-3</v>
      </c>
      <c r="K216" s="9">
        <f t="shared" si="7"/>
        <v>-2.4903404896692294E-5</v>
      </c>
      <c r="L216" s="9"/>
    </row>
    <row r="217" spans="1:12" x14ac:dyDescent="0.25">
      <c r="A217" s="6">
        <v>44013</v>
      </c>
      <c r="B217" s="7">
        <v>135.82</v>
      </c>
      <c r="C217" s="7">
        <v>131.47999999999999</v>
      </c>
      <c r="D217" s="7">
        <v>132.80399817287699</v>
      </c>
      <c r="E217" s="7">
        <v>132.80399817287699</v>
      </c>
      <c r="F217" s="7">
        <v>132.80399817287699</v>
      </c>
      <c r="G217" s="7">
        <v>131.47770898028401</v>
      </c>
      <c r="H217" s="7">
        <v>131.47770898028401</v>
      </c>
      <c r="I217" s="9"/>
      <c r="J217" s="9">
        <f t="shared" si="6"/>
        <v>1.006995872282479E-2</v>
      </c>
      <c r="K217" s="9">
        <f t="shared" si="7"/>
        <v>-1.7424853331227119E-5</v>
      </c>
      <c r="L217" s="9"/>
    </row>
    <row r="218" spans="1:12" x14ac:dyDescent="0.25">
      <c r="A218" s="6">
        <v>44044</v>
      </c>
      <c r="B218" s="7">
        <v>135.5</v>
      </c>
      <c r="C218" s="7">
        <v>133.19999999999999</v>
      </c>
      <c r="D218" s="7">
        <v>132.57068373862899</v>
      </c>
      <c r="E218" s="7">
        <v>132.57068373862899</v>
      </c>
      <c r="F218" s="7">
        <v>132.57068373862899</v>
      </c>
      <c r="G218" s="7">
        <v>133.200231246546</v>
      </c>
      <c r="H218" s="7">
        <v>133.200231246546</v>
      </c>
      <c r="I218" s="9"/>
      <c r="J218" s="9">
        <f t="shared" si="6"/>
        <v>-4.7245965568393222E-3</v>
      </c>
      <c r="K218" s="9">
        <f t="shared" si="7"/>
        <v>1.7360851802816768E-6</v>
      </c>
      <c r="L218" s="9"/>
    </row>
    <row r="219" spans="1:12" x14ac:dyDescent="0.25">
      <c r="A219" s="6">
        <v>44075</v>
      </c>
      <c r="B219" s="7">
        <v>137.13999999999999</v>
      </c>
      <c r="C219" s="7">
        <v>135.36000000000001</v>
      </c>
      <c r="D219" s="7">
        <v>137.755912417459</v>
      </c>
      <c r="E219" s="7">
        <v>137.755912417459</v>
      </c>
      <c r="F219" s="7">
        <v>137.755912417459</v>
      </c>
      <c r="G219" s="7">
        <v>135.35974885017001</v>
      </c>
      <c r="H219" s="7">
        <v>135.35974885017001</v>
      </c>
      <c r="I219" s="9"/>
      <c r="J219" s="9">
        <f t="shared" si="6"/>
        <v>1.7700298592338903E-2</v>
      </c>
      <c r="K219" s="9">
        <f t="shared" si="7"/>
        <v>-1.8554213209176496E-6</v>
      </c>
      <c r="L219" s="9"/>
    </row>
    <row r="220" spans="1:12" x14ac:dyDescent="0.25">
      <c r="A220" s="6">
        <v>44105</v>
      </c>
      <c r="B220" s="7">
        <v>139.62</v>
      </c>
      <c r="C220" s="7">
        <v>136.63</v>
      </c>
      <c r="D220" s="7">
        <v>136.79260250683501</v>
      </c>
      <c r="E220" s="7">
        <v>136.79260250683501</v>
      </c>
      <c r="F220" s="7">
        <v>136.79260250683501</v>
      </c>
      <c r="G220" s="7">
        <v>136.62712578475899</v>
      </c>
      <c r="H220" s="7">
        <v>136.62712578475899</v>
      </c>
      <c r="I220" s="9"/>
      <c r="J220" s="9">
        <f t="shared" si="6"/>
        <v>1.1900937336970507E-3</v>
      </c>
      <c r="K220" s="9">
        <f t="shared" si="7"/>
        <v>-2.1036487162451323E-5</v>
      </c>
      <c r="L220" s="9"/>
    </row>
    <row r="221" spans="1:12" x14ac:dyDescent="0.25">
      <c r="A221" s="6">
        <v>44136</v>
      </c>
      <c r="B221" s="7">
        <v>138.1</v>
      </c>
      <c r="C221" s="7">
        <v>137.46</v>
      </c>
      <c r="D221" s="7">
        <v>137.716720358054</v>
      </c>
      <c r="E221" s="7">
        <v>137.716720358054</v>
      </c>
      <c r="F221" s="7">
        <v>137.716720358054</v>
      </c>
      <c r="G221" s="7">
        <v>137.46380126685801</v>
      </c>
      <c r="H221" s="7">
        <v>137.46380126685801</v>
      </c>
      <c r="I221" s="9"/>
      <c r="J221" s="9">
        <f t="shared" si="6"/>
        <v>1.8676004514330824E-3</v>
      </c>
      <c r="K221" s="9">
        <f>G221/$C221-1</f>
        <v>2.7653621839096587E-5</v>
      </c>
      <c r="L221" s="9"/>
    </row>
    <row r="222" spans="1:12" x14ac:dyDescent="0.25">
      <c r="A222" s="6">
        <v>44166</v>
      </c>
      <c r="B222" s="7">
        <v>139.53</v>
      </c>
      <c r="C222" s="7">
        <v>138.16999999999999</v>
      </c>
      <c r="D222" s="7">
        <v>139.70800760210901</v>
      </c>
      <c r="E222" s="7">
        <v>139.70800760210901</v>
      </c>
      <c r="F222" s="7">
        <v>139.70800760210901</v>
      </c>
      <c r="G222" s="7">
        <v>138.17224008997101</v>
      </c>
      <c r="H222" s="7">
        <v>138.17224008997101</v>
      </c>
      <c r="I222" s="9"/>
      <c r="J222" s="9">
        <f t="shared" si="6"/>
        <v>1.1131270189686848E-2</v>
      </c>
      <c r="K222" s="9">
        <f t="shared" si="7"/>
        <v>1.6212564022843878E-5</v>
      </c>
      <c r="L222" s="9"/>
    </row>
    <row r="223" spans="1:12" x14ac:dyDescent="0.25">
      <c r="A223" s="6">
        <v>44197</v>
      </c>
      <c r="B223" s="7">
        <v>132.1</v>
      </c>
      <c r="C223" s="7">
        <v>139.01</v>
      </c>
      <c r="D223" s="7">
        <v>137.380660207001</v>
      </c>
      <c r="E223" s="7">
        <v>137.380660207001</v>
      </c>
      <c r="F223" s="7">
        <v>137.380660207001</v>
      </c>
      <c r="G223" s="7">
        <v>139.00892576662901</v>
      </c>
      <c r="H223" s="7">
        <v>139.00892576662901</v>
      </c>
      <c r="I223" s="9"/>
      <c r="J223" s="9">
        <f t="shared" si="6"/>
        <v>-1.17210257751168E-2</v>
      </c>
      <c r="K223" s="9">
        <f>G223/$C223-1</f>
        <v>-7.7277416803411825E-6</v>
      </c>
      <c r="L223" s="9"/>
    </row>
    <row r="224" spans="1:12" x14ac:dyDescent="0.25">
      <c r="A224" s="6">
        <v>44228</v>
      </c>
      <c r="B224" s="7">
        <v>134.87</v>
      </c>
      <c r="C224" s="7">
        <v>141.31</v>
      </c>
      <c r="D224" s="7">
        <v>139.229775503376</v>
      </c>
      <c r="E224" s="7">
        <v>139.229775503376</v>
      </c>
      <c r="F224" s="7">
        <v>139.229775503376</v>
      </c>
      <c r="G224" s="7">
        <v>141.31308919591501</v>
      </c>
      <c r="H224" s="7">
        <v>141.31308919591501</v>
      </c>
      <c r="I224" s="9"/>
      <c r="J224" s="9">
        <f t="shared" si="6"/>
        <v>-1.4720999905342813E-2</v>
      </c>
      <c r="K224" s="9">
        <f t="shared" ref="K224:K226" si="8">G224/$C224-1</f>
        <v>2.1861127414979364E-5</v>
      </c>
      <c r="L224" s="9"/>
    </row>
    <row r="225" spans="1:11" x14ac:dyDescent="0.25">
      <c r="A225" s="6">
        <v>44256</v>
      </c>
      <c r="B225" s="7">
        <v>144.02000000000001</v>
      </c>
      <c r="C225" s="7">
        <v>139.04</v>
      </c>
      <c r="D225" s="7">
        <v>139.61542118898399</v>
      </c>
      <c r="E225" s="7">
        <v>139.61542118898399</v>
      </c>
      <c r="F225" s="7">
        <v>139.61542118898399</v>
      </c>
      <c r="G225" s="7">
        <v>139.039440492431</v>
      </c>
      <c r="H225" s="7">
        <v>139.039440492431</v>
      </c>
      <c r="J225" s="9">
        <f t="shared" si="6"/>
        <v>4.1385298402185633E-3</v>
      </c>
      <c r="K225" s="9">
        <f t="shared" si="8"/>
        <v>-4.0240763017340697E-6</v>
      </c>
    </row>
    <row r="226" spans="1:11" x14ac:dyDescent="0.25">
      <c r="A226" s="6">
        <v>44287</v>
      </c>
      <c r="B226" s="7">
        <v>138.09</v>
      </c>
      <c r="C226" s="7">
        <v>139.65</v>
      </c>
      <c r="D226" s="7">
        <v>138.301979776454</v>
      </c>
      <c r="E226" s="7">
        <v>138.301979776454</v>
      </c>
      <c r="F226" s="7">
        <v>138.301979776454</v>
      </c>
      <c r="G226" s="7">
        <v>139.65292720972101</v>
      </c>
      <c r="H226" s="7">
        <v>139.65292720972101</v>
      </c>
      <c r="J226" s="9">
        <f t="shared" si="6"/>
        <v>-9.6528480024776764E-3</v>
      </c>
      <c r="K226" s="9">
        <f t="shared" si="8"/>
        <v>2.0961043472933483E-5</v>
      </c>
    </row>
  </sheetData>
  <mergeCells count="3">
    <mergeCell ref="D5:F5"/>
    <mergeCell ref="G5:H5"/>
    <mergeCell ref="J5:K5"/>
  </mergeCells>
  <pageMargins left="0.511811024" right="0.511811024" top="0.78740157499999996" bottom="0.78740157499999996" header="0.31496062000000002" footer="0.31496062000000002"/>
  <pageSetup paperSize="9" orientation="portrait" horizontalDpi="300" verticalDpi="300"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F7FB334-B5B6-4962-9E32-2143686DA08B}">
  <sheetPr codeName="Planilha1"/>
  <dimension ref="A1:AB246"/>
  <sheetViews>
    <sheetView zoomScale="115" zoomScaleNormal="115" workbookViewId="0">
      <selection activeCell="E3" sqref="E3"/>
    </sheetView>
  </sheetViews>
  <sheetFormatPr defaultRowHeight="15" x14ac:dyDescent="0.25"/>
  <cols>
    <col min="1" max="1" width="11.85546875" bestFit="1" customWidth="1"/>
    <col min="2" max="2" width="8" bestFit="1" customWidth="1"/>
    <col min="3" max="3" width="10.7109375" bestFit="1" customWidth="1"/>
    <col min="4" max="4" width="5.140625" customWidth="1"/>
    <col min="5" max="11" width="8.85546875" customWidth="1"/>
    <col min="12" max="12" width="6.140625" bestFit="1" customWidth="1"/>
    <col min="13" max="13" width="10.42578125" bestFit="1" customWidth="1"/>
  </cols>
  <sheetData>
    <row r="1" spans="1:28" x14ac:dyDescent="0.25">
      <c r="A1" s="12" t="s">
        <v>17</v>
      </c>
      <c r="E1" s="12" t="s">
        <v>18</v>
      </c>
      <c r="F1" s="12"/>
      <c r="G1" s="12"/>
      <c r="X1" s="12" t="s">
        <v>24</v>
      </c>
    </row>
    <row r="2" spans="1:28" x14ac:dyDescent="0.25">
      <c r="A2" s="13" t="s">
        <v>9</v>
      </c>
      <c r="B2" s="13" t="s">
        <v>16</v>
      </c>
      <c r="C2" s="13" t="s">
        <v>19</v>
      </c>
      <c r="E2" s="13" t="s">
        <v>7</v>
      </c>
      <c r="F2" s="13" t="s">
        <v>25</v>
      </c>
      <c r="G2" s="13" t="s">
        <v>26</v>
      </c>
      <c r="H2" s="13" t="s">
        <v>125</v>
      </c>
      <c r="I2" s="13" t="s">
        <v>87</v>
      </c>
      <c r="J2" s="13" t="s">
        <v>31</v>
      </c>
      <c r="K2" s="13" t="s">
        <v>88</v>
      </c>
      <c r="M2" s="13" t="s">
        <v>21</v>
      </c>
      <c r="X2" t="str" cm="1">
        <f t="array" ref="X2:AB28">xlDESSAZ_SeasonalPlot(A3:A105,G3:G105,4)</f>
        <v/>
      </c>
      <c r="Y2">
        <v>1</v>
      </c>
      <c r="Z2">
        <v>2</v>
      </c>
      <c r="AA2">
        <v>3</v>
      </c>
      <c r="AB2">
        <v>4</v>
      </c>
    </row>
    <row r="3" spans="1:28" x14ac:dyDescent="0.25">
      <c r="A3" s="14">
        <v>35065</v>
      </c>
      <c r="B3" s="7">
        <v>96.8</v>
      </c>
      <c r="C3" s="7">
        <v>99.5</v>
      </c>
      <c r="E3" s="7" cm="1">
        <f t="array" ref="E3:K105">ROUND(xlDESSAZ($A$3:$A$105,$B$3:$B$105,$E$2:$K$2,,,Specs!$D$3),1)</f>
        <v>99.5</v>
      </c>
      <c r="F3" s="7">
        <v>99.5</v>
      </c>
      <c r="G3" s="65">
        <v>1</v>
      </c>
      <c r="H3" s="65">
        <v>1</v>
      </c>
      <c r="I3" s="7">
        <v>167.8</v>
      </c>
      <c r="J3" s="7">
        <v>172</v>
      </c>
      <c r="K3" s="7">
        <v>176.3</v>
      </c>
      <c r="L3" s="7"/>
      <c r="M3" s="9">
        <f>(E3-C3)/C3</f>
        <v>0</v>
      </c>
      <c r="X3">
        <v>1996</v>
      </c>
      <c r="Y3">
        <v>1</v>
      </c>
      <c r="Z3">
        <v>1</v>
      </c>
      <c r="AA3">
        <v>1</v>
      </c>
      <c r="AB3">
        <v>1</v>
      </c>
    </row>
    <row r="4" spans="1:28" x14ac:dyDescent="0.25">
      <c r="A4" s="14">
        <v>35156</v>
      </c>
      <c r="B4">
        <v>100.1</v>
      </c>
      <c r="C4" s="7">
        <v>100.4</v>
      </c>
      <c r="E4" s="7">
        <v>100.4</v>
      </c>
      <c r="F4" s="7">
        <v>101.1</v>
      </c>
      <c r="G4" s="65">
        <v>1</v>
      </c>
      <c r="H4" s="65">
        <v>1</v>
      </c>
      <c r="I4" s="7">
        <v>162.9</v>
      </c>
      <c r="J4" s="7">
        <v>168.9</v>
      </c>
      <c r="K4" s="7">
        <v>175.2</v>
      </c>
      <c r="L4" s="7"/>
      <c r="M4" s="9">
        <f t="shared" ref="M4:M67" si="0">(E4-C4)/C4</f>
        <v>0</v>
      </c>
      <c r="X4">
        <v>1997</v>
      </c>
      <c r="Y4">
        <v>1</v>
      </c>
      <c r="Z4">
        <v>1</v>
      </c>
      <c r="AA4">
        <v>1</v>
      </c>
      <c r="AB4">
        <v>1</v>
      </c>
    </row>
    <row r="5" spans="1:28" x14ac:dyDescent="0.25">
      <c r="A5" s="14">
        <v>35247</v>
      </c>
      <c r="B5">
        <v>107.6</v>
      </c>
      <c r="C5">
        <v>104.4</v>
      </c>
      <c r="E5" s="7">
        <v>104.4</v>
      </c>
      <c r="F5" s="7">
        <v>102.4</v>
      </c>
      <c r="G5" s="65">
        <v>1</v>
      </c>
      <c r="H5" s="65">
        <v>1</v>
      </c>
      <c r="I5" s="7">
        <v>162.80000000000001</v>
      </c>
      <c r="J5" s="7">
        <v>170.4</v>
      </c>
      <c r="K5" s="7">
        <v>178.3</v>
      </c>
      <c r="M5" s="9">
        <f t="shared" si="0"/>
        <v>0</v>
      </c>
      <c r="X5">
        <v>1998</v>
      </c>
      <c r="Y5">
        <v>1</v>
      </c>
      <c r="Z5">
        <v>1</v>
      </c>
      <c r="AA5">
        <v>1</v>
      </c>
      <c r="AB5">
        <v>1</v>
      </c>
    </row>
    <row r="6" spans="1:28" x14ac:dyDescent="0.25">
      <c r="A6" s="14">
        <v>35339</v>
      </c>
      <c r="B6">
        <v>104.3</v>
      </c>
      <c r="C6">
        <v>103.3</v>
      </c>
      <c r="E6" s="7">
        <v>103.3</v>
      </c>
      <c r="F6" s="7">
        <v>103.4</v>
      </c>
      <c r="G6" s="65">
        <v>1</v>
      </c>
      <c r="H6" s="65">
        <v>1</v>
      </c>
      <c r="I6" s="7">
        <v>165.5</v>
      </c>
      <c r="J6" s="7">
        <v>174.5</v>
      </c>
      <c r="K6" s="7">
        <v>184</v>
      </c>
      <c r="M6" s="9">
        <f t="shared" si="0"/>
        <v>0</v>
      </c>
      <c r="X6">
        <v>1999</v>
      </c>
      <c r="Y6">
        <v>1</v>
      </c>
      <c r="Z6">
        <v>1</v>
      </c>
      <c r="AA6">
        <v>1</v>
      </c>
      <c r="AB6">
        <v>1</v>
      </c>
    </row>
    <row r="7" spans="1:28" x14ac:dyDescent="0.25">
      <c r="A7" s="14">
        <v>35431</v>
      </c>
      <c r="B7">
        <v>100.1</v>
      </c>
      <c r="C7">
        <v>104.3</v>
      </c>
      <c r="E7" s="7">
        <v>104.3</v>
      </c>
      <c r="F7" s="7">
        <v>104.2</v>
      </c>
      <c r="G7" s="65">
        <v>1</v>
      </c>
      <c r="H7" s="65">
        <v>1</v>
      </c>
      <c r="I7" s="7" t="e">
        <v>#N/A</v>
      </c>
      <c r="J7" s="7" t="e">
        <v>#N/A</v>
      </c>
      <c r="K7" s="7" t="e">
        <v>#N/A</v>
      </c>
      <c r="M7" s="9">
        <f t="shared" si="0"/>
        <v>0</v>
      </c>
      <c r="X7">
        <v>2000</v>
      </c>
      <c r="Y7">
        <v>1</v>
      </c>
      <c r="Z7">
        <v>1</v>
      </c>
      <c r="AA7">
        <v>1</v>
      </c>
      <c r="AB7">
        <v>1</v>
      </c>
    </row>
    <row r="8" spans="1:28" x14ac:dyDescent="0.25">
      <c r="A8" s="14">
        <v>35521</v>
      </c>
      <c r="B8">
        <v>104.9</v>
      </c>
      <c r="C8">
        <v>105</v>
      </c>
      <c r="E8" s="7">
        <v>105</v>
      </c>
      <c r="F8" s="7">
        <v>105.2</v>
      </c>
      <c r="G8" s="65">
        <v>1</v>
      </c>
      <c r="H8" s="65">
        <v>1</v>
      </c>
      <c r="I8" s="7" t="e">
        <v>#N/A</v>
      </c>
      <c r="J8" s="7" t="e">
        <v>#N/A</v>
      </c>
      <c r="K8" s="7" t="e">
        <v>#N/A</v>
      </c>
      <c r="M8" s="9">
        <f t="shared" si="0"/>
        <v>0</v>
      </c>
      <c r="X8">
        <v>2001</v>
      </c>
      <c r="Y8">
        <v>1</v>
      </c>
      <c r="Z8">
        <v>1</v>
      </c>
      <c r="AA8">
        <v>1</v>
      </c>
      <c r="AB8">
        <v>1</v>
      </c>
    </row>
    <row r="9" spans="1:28" x14ac:dyDescent="0.25">
      <c r="A9" s="14">
        <v>35612</v>
      </c>
      <c r="B9">
        <v>109.5</v>
      </c>
      <c r="C9">
        <v>106.3</v>
      </c>
      <c r="E9" s="7">
        <v>106.3</v>
      </c>
      <c r="F9" s="7">
        <v>106.3</v>
      </c>
      <c r="G9" s="65">
        <v>1</v>
      </c>
      <c r="H9" s="65">
        <v>1</v>
      </c>
      <c r="I9" s="7" t="e">
        <v>#N/A</v>
      </c>
      <c r="J9" s="7" t="e">
        <v>#N/A</v>
      </c>
      <c r="K9" s="7" t="e">
        <v>#N/A</v>
      </c>
      <c r="M9" s="9">
        <f t="shared" si="0"/>
        <v>0</v>
      </c>
      <c r="X9">
        <v>2002</v>
      </c>
      <c r="Y9">
        <v>1</v>
      </c>
      <c r="Z9">
        <v>1</v>
      </c>
      <c r="AA9">
        <v>1</v>
      </c>
      <c r="AB9">
        <v>1</v>
      </c>
    </row>
    <row r="10" spans="1:28" x14ac:dyDescent="0.25">
      <c r="A10" s="14">
        <v>35704</v>
      </c>
      <c r="B10">
        <v>108.2</v>
      </c>
      <c r="C10">
        <v>107.1</v>
      </c>
      <c r="E10" s="7">
        <v>107.1</v>
      </c>
      <c r="F10" s="7">
        <v>106.9</v>
      </c>
      <c r="G10" s="65">
        <v>1</v>
      </c>
      <c r="H10" s="65">
        <v>1</v>
      </c>
      <c r="I10" s="7" t="e">
        <v>#N/A</v>
      </c>
      <c r="J10" s="7" t="e">
        <v>#N/A</v>
      </c>
      <c r="K10" s="7" t="e">
        <v>#N/A</v>
      </c>
      <c r="M10" s="9">
        <f t="shared" si="0"/>
        <v>0</v>
      </c>
      <c r="X10">
        <v>2003</v>
      </c>
      <c r="Y10">
        <v>1</v>
      </c>
      <c r="Z10">
        <v>1</v>
      </c>
      <c r="AA10">
        <v>1</v>
      </c>
      <c r="AB10">
        <v>1</v>
      </c>
    </row>
    <row r="11" spans="1:28" x14ac:dyDescent="0.25">
      <c r="A11" s="14">
        <v>35796</v>
      </c>
      <c r="B11">
        <v>101.1</v>
      </c>
      <c r="C11">
        <v>105.1</v>
      </c>
      <c r="E11" s="7">
        <v>105.1</v>
      </c>
      <c r="F11" s="7">
        <v>106.9</v>
      </c>
      <c r="G11" s="65">
        <v>1</v>
      </c>
      <c r="H11" s="65">
        <v>1</v>
      </c>
      <c r="I11" s="7" t="e">
        <v>#N/A</v>
      </c>
      <c r="J11" s="7" t="e">
        <v>#N/A</v>
      </c>
      <c r="K11" s="7" t="e">
        <v>#N/A</v>
      </c>
      <c r="M11" s="9">
        <f t="shared" si="0"/>
        <v>0</v>
      </c>
      <c r="X11">
        <v>2004</v>
      </c>
      <c r="Y11">
        <v>1</v>
      </c>
      <c r="Z11">
        <v>1</v>
      </c>
      <c r="AA11">
        <v>1</v>
      </c>
      <c r="AB11">
        <v>1</v>
      </c>
    </row>
    <row r="12" spans="1:28" x14ac:dyDescent="0.25">
      <c r="A12" s="14">
        <v>35886</v>
      </c>
      <c r="B12">
        <v>106.5</v>
      </c>
      <c r="C12">
        <v>106.8</v>
      </c>
      <c r="E12" s="7">
        <v>106.8</v>
      </c>
      <c r="F12" s="7">
        <v>106.9</v>
      </c>
      <c r="G12" s="65">
        <v>1</v>
      </c>
      <c r="H12" s="65">
        <v>1</v>
      </c>
      <c r="I12" s="7" t="e">
        <v>#N/A</v>
      </c>
      <c r="J12" s="7" t="e">
        <v>#N/A</v>
      </c>
      <c r="K12" s="7" t="e">
        <v>#N/A</v>
      </c>
      <c r="M12" s="9">
        <f t="shared" si="0"/>
        <v>0</v>
      </c>
      <c r="X12">
        <v>2005</v>
      </c>
      <c r="Y12">
        <v>1</v>
      </c>
      <c r="Z12">
        <v>1</v>
      </c>
      <c r="AA12">
        <v>1</v>
      </c>
      <c r="AB12">
        <v>1</v>
      </c>
    </row>
    <row r="13" spans="1:28" x14ac:dyDescent="0.25">
      <c r="A13" s="14">
        <v>35977</v>
      </c>
      <c r="B13">
        <v>109.9</v>
      </c>
      <c r="C13">
        <v>106.9</v>
      </c>
      <c r="E13" s="7">
        <v>106.9</v>
      </c>
      <c r="F13" s="7">
        <v>106.6</v>
      </c>
      <c r="G13" s="65">
        <v>1</v>
      </c>
      <c r="H13" s="65">
        <v>1</v>
      </c>
      <c r="I13" s="7" t="e">
        <v>#N/A</v>
      </c>
      <c r="J13" s="7" t="e">
        <v>#N/A</v>
      </c>
      <c r="K13" s="7" t="e">
        <v>#N/A</v>
      </c>
      <c r="M13" s="9">
        <f t="shared" si="0"/>
        <v>0</v>
      </c>
      <c r="X13">
        <v>2006</v>
      </c>
      <c r="Y13">
        <v>1</v>
      </c>
      <c r="Z13">
        <v>1</v>
      </c>
      <c r="AA13">
        <v>1</v>
      </c>
      <c r="AB13">
        <v>1</v>
      </c>
    </row>
    <row r="14" spans="1:28" x14ac:dyDescent="0.25">
      <c r="A14" s="14">
        <v>36069</v>
      </c>
      <c r="B14">
        <v>106.7</v>
      </c>
      <c r="C14">
        <v>105.6</v>
      </c>
      <c r="E14" s="7">
        <v>105.6</v>
      </c>
      <c r="F14" s="7">
        <v>105.9</v>
      </c>
      <c r="G14" s="65">
        <v>1</v>
      </c>
      <c r="H14" s="65">
        <v>1</v>
      </c>
      <c r="I14" s="7" t="e">
        <v>#N/A</v>
      </c>
      <c r="J14" s="7" t="e">
        <v>#N/A</v>
      </c>
      <c r="K14" s="7" t="e">
        <v>#N/A</v>
      </c>
      <c r="M14" s="9">
        <f t="shared" si="0"/>
        <v>0</v>
      </c>
      <c r="X14">
        <v>2007</v>
      </c>
      <c r="Y14">
        <v>1</v>
      </c>
      <c r="Z14">
        <v>1</v>
      </c>
      <c r="AA14">
        <v>1</v>
      </c>
      <c r="AB14">
        <v>1</v>
      </c>
    </row>
    <row r="15" spans="1:28" x14ac:dyDescent="0.25">
      <c r="A15" s="14">
        <v>36161</v>
      </c>
      <c r="B15">
        <v>101.9</v>
      </c>
      <c r="C15">
        <v>105.9</v>
      </c>
      <c r="E15" s="7">
        <v>105.9</v>
      </c>
      <c r="F15" s="7">
        <v>105.8</v>
      </c>
      <c r="G15" s="65">
        <v>1</v>
      </c>
      <c r="H15" s="65">
        <v>1</v>
      </c>
      <c r="I15" s="7" t="e">
        <v>#N/A</v>
      </c>
      <c r="J15" s="7" t="e">
        <v>#N/A</v>
      </c>
      <c r="K15" s="7" t="e">
        <v>#N/A</v>
      </c>
      <c r="M15" s="9">
        <f t="shared" si="0"/>
        <v>0</v>
      </c>
      <c r="X15">
        <v>2008</v>
      </c>
      <c r="Y15">
        <v>1</v>
      </c>
      <c r="Z15">
        <v>1</v>
      </c>
      <c r="AA15">
        <v>1</v>
      </c>
      <c r="AB15">
        <v>1</v>
      </c>
    </row>
    <row r="16" spans="1:28" x14ac:dyDescent="0.25">
      <c r="A16" s="14">
        <v>36251</v>
      </c>
      <c r="B16">
        <v>106</v>
      </c>
      <c r="C16">
        <v>106.2</v>
      </c>
      <c r="E16" s="7">
        <v>106.1</v>
      </c>
      <c r="F16" s="7">
        <v>106</v>
      </c>
      <c r="G16" s="65">
        <v>1</v>
      </c>
      <c r="H16" s="65">
        <v>1</v>
      </c>
      <c r="I16" s="7" t="e">
        <v>#N/A</v>
      </c>
      <c r="J16" s="7" t="e">
        <v>#N/A</v>
      </c>
      <c r="K16" s="7" t="e">
        <v>#N/A</v>
      </c>
      <c r="M16" s="9">
        <f t="shared" si="0"/>
        <v>-9.416195856874626E-4</v>
      </c>
      <c r="X16">
        <v>2009</v>
      </c>
      <c r="Y16">
        <v>1</v>
      </c>
      <c r="Z16">
        <v>1</v>
      </c>
      <c r="AA16">
        <v>1</v>
      </c>
      <c r="AB16">
        <v>1</v>
      </c>
    </row>
    <row r="17" spans="1:28" x14ac:dyDescent="0.25">
      <c r="A17" s="14">
        <v>36342</v>
      </c>
      <c r="B17">
        <v>109.2</v>
      </c>
      <c r="C17">
        <v>106.4</v>
      </c>
      <c r="E17" s="7">
        <v>106.4</v>
      </c>
      <c r="F17" s="7">
        <v>106.6</v>
      </c>
      <c r="G17" s="65">
        <v>1</v>
      </c>
      <c r="H17" s="65">
        <v>1</v>
      </c>
      <c r="I17" s="7" t="e">
        <v>#N/A</v>
      </c>
      <c r="J17" s="7" t="e">
        <v>#N/A</v>
      </c>
      <c r="K17" s="7" t="e">
        <v>#N/A</v>
      </c>
      <c r="M17" s="9">
        <f t="shared" si="0"/>
        <v>0</v>
      </c>
      <c r="X17">
        <v>2010</v>
      </c>
      <c r="Y17">
        <v>1</v>
      </c>
      <c r="Z17">
        <v>1</v>
      </c>
      <c r="AA17">
        <v>1</v>
      </c>
      <c r="AB17">
        <v>1</v>
      </c>
    </row>
    <row r="18" spans="1:28" x14ac:dyDescent="0.25">
      <c r="A18" s="14">
        <v>36434</v>
      </c>
      <c r="B18">
        <v>109</v>
      </c>
      <c r="C18">
        <v>107.8</v>
      </c>
      <c r="E18" s="7">
        <v>107.9</v>
      </c>
      <c r="F18" s="7">
        <v>107.7</v>
      </c>
      <c r="G18" s="65">
        <v>1</v>
      </c>
      <c r="H18" s="65">
        <v>1</v>
      </c>
      <c r="I18" s="7" t="e">
        <v>#N/A</v>
      </c>
      <c r="J18" s="7" t="e">
        <v>#N/A</v>
      </c>
      <c r="K18" s="7" t="e">
        <v>#N/A</v>
      </c>
      <c r="M18" s="9">
        <f t="shared" si="0"/>
        <v>9.2764378478672109E-4</v>
      </c>
      <c r="X18">
        <v>2011</v>
      </c>
      <c r="Y18">
        <v>1</v>
      </c>
      <c r="Z18">
        <v>1</v>
      </c>
      <c r="AA18">
        <v>1</v>
      </c>
      <c r="AB18">
        <v>1</v>
      </c>
    </row>
    <row r="19" spans="1:28" x14ac:dyDescent="0.25">
      <c r="A19" s="14">
        <v>36526</v>
      </c>
      <c r="B19">
        <v>106.4</v>
      </c>
      <c r="C19">
        <v>109</v>
      </c>
      <c r="E19" s="7">
        <v>109</v>
      </c>
      <c r="F19" s="7">
        <v>109.1</v>
      </c>
      <c r="G19" s="65">
        <v>1</v>
      </c>
      <c r="H19" s="65">
        <v>1</v>
      </c>
      <c r="I19" s="7" t="e">
        <v>#N/A</v>
      </c>
      <c r="J19" s="7" t="e">
        <v>#N/A</v>
      </c>
      <c r="K19" s="7" t="e">
        <v>#N/A</v>
      </c>
      <c r="M19" s="9">
        <f t="shared" si="0"/>
        <v>0</v>
      </c>
      <c r="X19">
        <v>2012</v>
      </c>
      <c r="Y19">
        <v>1</v>
      </c>
      <c r="Z19">
        <v>1</v>
      </c>
      <c r="AA19">
        <v>1</v>
      </c>
      <c r="AB19">
        <v>1</v>
      </c>
    </row>
    <row r="20" spans="1:28" x14ac:dyDescent="0.25">
      <c r="A20" s="14">
        <v>36617</v>
      </c>
      <c r="B20">
        <v>110.3</v>
      </c>
      <c r="C20">
        <v>110.5</v>
      </c>
      <c r="E20" s="7">
        <v>110.6</v>
      </c>
      <c r="F20" s="7">
        <v>110.5</v>
      </c>
      <c r="G20" s="65">
        <v>1</v>
      </c>
      <c r="H20" s="65">
        <v>1</v>
      </c>
      <c r="I20" s="7" t="e">
        <v>#N/A</v>
      </c>
      <c r="J20" s="7" t="e">
        <v>#N/A</v>
      </c>
      <c r="K20" s="7" t="e">
        <v>#N/A</v>
      </c>
      <c r="M20" s="9">
        <f t="shared" si="0"/>
        <v>9.049773755655594E-4</v>
      </c>
      <c r="X20">
        <v>2013</v>
      </c>
      <c r="Y20">
        <v>1</v>
      </c>
      <c r="Z20">
        <v>1</v>
      </c>
      <c r="AA20">
        <v>1</v>
      </c>
      <c r="AB20">
        <v>1</v>
      </c>
    </row>
    <row r="21" spans="1:28" x14ac:dyDescent="0.25">
      <c r="A21" s="14">
        <v>36708</v>
      </c>
      <c r="B21">
        <v>114.2</v>
      </c>
      <c r="C21">
        <v>111.8</v>
      </c>
      <c r="E21" s="7">
        <v>111.8</v>
      </c>
      <c r="F21" s="7">
        <v>111.9</v>
      </c>
      <c r="G21" s="65">
        <v>1</v>
      </c>
      <c r="H21" s="65">
        <v>1</v>
      </c>
      <c r="I21" s="7" t="e">
        <v>#N/A</v>
      </c>
      <c r="J21" s="7" t="e">
        <v>#N/A</v>
      </c>
      <c r="K21" s="7" t="e">
        <v>#N/A</v>
      </c>
      <c r="M21" s="9">
        <f t="shared" si="0"/>
        <v>0</v>
      </c>
      <c r="X21">
        <v>2014</v>
      </c>
      <c r="Y21">
        <v>1</v>
      </c>
      <c r="Z21">
        <v>1</v>
      </c>
      <c r="AA21">
        <v>1</v>
      </c>
      <c r="AB21">
        <v>1</v>
      </c>
    </row>
    <row r="22" spans="1:28" x14ac:dyDescent="0.25">
      <c r="A22" s="14">
        <v>36800</v>
      </c>
      <c r="B22">
        <v>114</v>
      </c>
      <c r="C22">
        <v>113.2</v>
      </c>
      <c r="E22" s="7">
        <v>113.2</v>
      </c>
      <c r="F22" s="7">
        <v>113.1</v>
      </c>
      <c r="G22" s="65">
        <v>1</v>
      </c>
      <c r="H22" s="65">
        <v>1</v>
      </c>
      <c r="I22" s="7" t="e">
        <v>#N/A</v>
      </c>
      <c r="J22" s="7" t="e">
        <v>#N/A</v>
      </c>
      <c r="K22" s="7" t="e">
        <v>#N/A</v>
      </c>
      <c r="M22" s="9">
        <f t="shared" si="0"/>
        <v>0</v>
      </c>
      <c r="X22">
        <v>2015</v>
      </c>
      <c r="Y22">
        <v>1</v>
      </c>
      <c r="Z22">
        <v>1</v>
      </c>
      <c r="AA22">
        <v>1</v>
      </c>
      <c r="AB22">
        <v>1</v>
      </c>
    </row>
    <row r="23" spans="1:28" x14ac:dyDescent="0.25">
      <c r="A23" s="14">
        <v>36892</v>
      </c>
      <c r="B23">
        <v>110.1</v>
      </c>
      <c r="C23">
        <v>113.6</v>
      </c>
      <c r="E23" s="7">
        <v>113.6</v>
      </c>
      <c r="F23" s="7">
        <v>113.5</v>
      </c>
      <c r="G23" s="65">
        <v>1</v>
      </c>
      <c r="H23" s="65">
        <v>1</v>
      </c>
      <c r="I23" s="7" t="e">
        <v>#N/A</v>
      </c>
      <c r="J23" s="7" t="e">
        <v>#N/A</v>
      </c>
      <c r="K23" s="7" t="e">
        <v>#N/A</v>
      </c>
      <c r="M23" s="9">
        <f t="shared" si="0"/>
        <v>0</v>
      </c>
      <c r="X23">
        <v>2016</v>
      </c>
      <c r="Y23">
        <v>1</v>
      </c>
      <c r="Z23">
        <v>1</v>
      </c>
      <c r="AA23">
        <v>1</v>
      </c>
      <c r="AB23">
        <v>1</v>
      </c>
    </row>
    <row r="24" spans="1:28" x14ac:dyDescent="0.25">
      <c r="A24" s="14">
        <v>36982</v>
      </c>
      <c r="B24">
        <v>112.8</v>
      </c>
      <c r="C24">
        <v>113.1</v>
      </c>
      <c r="E24" s="7">
        <v>113</v>
      </c>
      <c r="F24" s="7">
        <v>113</v>
      </c>
      <c r="G24" s="65">
        <v>1</v>
      </c>
      <c r="H24" s="65">
        <v>1</v>
      </c>
      <c r="I24" s="7" t="e">
        <v>#N/A</v>
      </c>
      <c r="J24" s="7" t="e">
        <v>#N/A</v>
      </c>
      <c r="K24" s="7" t="e">
        <v>#N/A</v>
      </c>
      <c r="M24" s="9">
        <f t="shared" si="0"/>
        <v>-8.8417329796635117E-4</v>
      </c>
      <c r="X24">
        <v>2017</v>
      </c>
      <c r="Y24">
        <v>1</v>
      </c>
      <c r="Z24">
        <v>1</v>
      </c>
      <c r="AA24">
        <v>1</v>
      </c>
      <c r="AB24">
        <v>1</v>
      </c>
    </row>
    <row r="25" spans="1:28" x14ac:dyDescent="0.25">
      <c r="A25" s="14">
        <v>37073</v>
      </c>
      <c r="B25">
        <v>114.7</v>
      </c>
      <c r="C25">
        <v>112.5</v>
      </c>
      <c r="E25" s="7">
        <v>112.5</v>
      </c>
      <c r="F25" s="7">
        <v>112.5</v>
      </c>
      <c r="G25" s="65">
        <v>1</v>
      </c>
      <c r="H25" s="65">
        <v>1</v>
      </c>
      <c r="I25" s="7" t="e">
        <v>#N/A</v>
      </c>
      <c r="J25" s="7" t="e">
        <v>#N/A</v>
      </c>
      <c r="K25" s="7" t="e">
        <v>#N/A</v>
      </c>
      <c r="M25" s="9">
        <f t="shared" si="0"/>
        <v>0</v>
      </c>
      <c r="X25">
        <v>2018</v>
      </c>
      <c r="Y25">
        <v>1</v>
      </c>
      <c r="Z25">
        <v>1</v>
      </c>
      <c r="AA25">
        <v>1</v>
      </c>
      <c r="AB25">
        <v>1</v>
      </c>
    </row>
    <row r="26" spans="1:28" x14ac:dyDescent="0.25">
      <c r="A26" s="14">
        <v>37165</v>
      </c>
      <c r="B26">
        <v>113.4</v>
      </c>
      <c r="C26">
        <v>112.2</v>
      </c>
      <c r="E26" s="7">
        <v>112.2</v>
      </c>
      <c r="F26" s="7">
        <v>112.8</v>
      </c>
      <c r="G26" s="65">
        <v>1</v>
      </c>
      <c r="H26" s="65">
        <v>1</v>
      </c>
      <c r="I26" s="7" t="e">
        <v>#N/A</v>
      </c>
      <c r="J26" s="7" t="e">
        <v>#N/A</v>
      </c>
      <c r="K26" s="7" t="e">
        <v>#N/A</v>
      </c>
      <c r="M26" s="9">
        <f t="shared" si="0"/>
        <v>0</v>
      </c>
      <c r="X26">
        <v>2019</v>
      </c>
      <c r="Y26">
        <v>1</v>
      </c>
      <c r="Z26">
        <v>1</v>
      </c>
      <c r="AA26">
        <v>1</v>
      </c>
      <c r="AB26">
        <v>1</v>
      </c>
    </row>
    <row r="27" spans="1:28" x14ac:dyDescent="0.25">
      <c r="A27" s="14">
        <v>37257</v>
      </c>
      <c r="B27">
        <v>110.6</v>
      </c>
      <c r="C27">
        <v>114.7</v>
      </c>
      <c r="E27" s="7">
        <v>114.7</v>
      </c>
      <c r="F27" s="7">
        <v>113.9</v>
      </c>
      <c r="G27" s="65">
        <v>1</v>
      </c>
      <c r="H27" s="65">
        <v>1</v>
      </c>
      <c r="I27" s="7" t="e">
        <v>#N/A</v>
      </c>
      <c r="J27" s="7" t="e">
        <v>#N/A</v>
      </c>
      <c r="K27" s="7" t="e">
        <v>#N/A</v>
      </c>
      <c r="M27" s="9">
        <f t="shared" si="0"/>
        <v>0</v>
      </c>
      <c r="X27">
        <v>2020</v>
      </c>
      <c r="Y27">
        <v>1</v>
      </c>
      <c r="Z27">
        <v>0.9</v>
      </c>
      <c r="AA27">
        <v>1</v>
      </c>
      <c r="AB27">
        <v>1</v>
      </c>
    </row>
    <row r="28" spans="1:28" x14ac:dyDescent="0.25">
      <c r="A28" s="14">
        <v>37347</v>
      </c>
      <c r="B28">
        <v>115.4</v>
      </c>
      <c r="C28">
        <v>115.4</v>
      </c>
      <c r="E28" s="7">
        <v>115.4</v>
      </c>
      <c r="F28" s="7">
        <v>115.4</v>
      </c>
      <c r="G28" s="65">
        <v>1</v>
      </c>
      <c r="H28" s="65">
        <v>1</v>
      </c>
      <c r="I28" s="7" t="e">
        <v>#N/A</v>
      </c>
      <c r="J28" s="7" t="e">
        <v>#N/A</v>
      </c>
      <c r="K28" s="7" t="e">
        <v>#N/A</v>
      </c>
      <c r="M28" s="9">
        <f t="shared" si="0"/>
        <v>0</v>
      </c>
      <c r="X28">
        <v>2021</v>
      </c>
      <c r="Y28">
        <v>1</v>
      </c>
      <c r="Z28">
        <v>1</v>
      </c>
      <c r="AA28">
        <v>1</v>
      </c>
      <c r="AB28" t="e">
        <v>#N/A</v>
      </c>
    </row>
    <row r="29" spans="1:28" x14ac:dyDescent="0.25">
      <c r="A29" s="14">
        <v>37438</v>
      </c>
      <c r="B29">
        <v>119.5</v>
      </c>
      <c r="C29">
        <v>116.8</v>
      </c>
      <c r="E29" s="7">
        <v>116.8</v>
      </c>
      <c r="F29" s="7">
        <v>116.9</v>
      </c>
      <c r="G29" s="65">
        <v>1</v>
      </c>
      <c r="H29" s="65">
        <v>1</v>
      </c>
      <c r="I29" s="7" t="e">
        <v>#N/A</v>
      </c>
      <c r="J29" s="7" t="e">
        <v>#N/A</v>
      </c>
      <c r="K29" s="7" t="e">
        <v>#N/A</v>
      </c>
      <c r="M29" s="9">
        <f t="shared" si="0"/>
        <v>0</v>
      </c>
    </row>
    <row r="30" spans="1:28" x14ac:dyDescent="0.25">
      <c r="A30" s="14">
        <v>37530</v>
      </c>
      <c r="B30">
        <v>119.2</v>
      </c>
      <c r="C30">
        <v>118</v>
      </c>
      <c r="E30" s="7">
        <v>118</v>
      </c>
      <c r="F30" s="7">
        <v>117.8</v>
      </c>
      <c r="G30" s="65">
        <v>1</v>
      </c>
      <c r="H30" s="65">
        <v>1</v>
      </c>
      <c r="I30" s="7" t="e">
        <v>#N/A</v>
      </c>
      <c r="J30" s="7" t="e">
        <v>#N/A</v>
      </c>
      <c r="K30" s="7" t="e">
        <v>#N/A</v>
      </c>
      <c r="M30" s="9">
        <f t="shared" si="0"/>
        <v>0</v>
      </c>
    </row>
    <row r="31" spans="1:28" x14ac:dyDescent="0.25">
      <c r="A31" s="14">
        <v>37622</v>
      </c>
      <c r="B31">
        <v>113.6</v>
      </c>
      <c r="C31">
        <v>117.5</v>
      </c>
      <c r="E31" s="7">
        <v>117.5</v>
      </c>
      <c r="F31" s="7">
        <v>117.4</v>
      </c>
      <c r="G31" s="65">
        <v>1</v>
      </c>
      <c r="H31" s="65">
        <v>1</v>
      </c>
      <c r="I31" s="7" t="e">
        <v>#N/A</v>
      </c>
      <c r="J31" s="7" t="e">
        <v>#N/A</v>
      </c>
      <c r="K31" s="7" t="e">
        <v>#N/A</v>
      </c>
      <c r="M31" s="9">
        <f t="shared" si="0"/>
        <v>0</v>
      </c>
    </row>
    <row r="32" spans="1:28" x14ac:dyDescent="0.25">
      <c r="A32" s="14">
        <v>37712</v>
      </c>
      <c r="B32">
        <v>116.3</v>
      </c>
      <c r="C32">
        <v>116.5</v>
      </c>
      <c r="E32" s="7">
        <v>116.4</v>
      </c>
      <c r="F32" s="7">
        <v>116.8</v>
      </c>
      <c r="G32" s="65">
        <v>1</v>
      </c>
      <c r="H32" s="65">
        <v>1</v>
      </c>
      <c r="I32" s="7" t="e">
        <v>#N/A</v>
      </c>
      <c r="J32" s="7" t="e">
        <v>#N/A</v>
      </c>
      <c r="K32" s="7" t="e">
        <v>#N/A</v>
      </c>
      <c r="M32" s="9">
        <f t="shared" si="0"/>
        <v>-8.5836909871239752E-4</v>
      </c>
    </row>
    <row r="33" spans="1:13" x14ac:dyDescent="0.25">
      <c r="A33" s="14">
        <v>37803</v>
      </c>
      <c r="B33">
        <v>120.2</v>
      </c>
      <c r="C33">
        <v>117.6</v>
      </c>
      <c r="E33" s="7">
        <v>117.5</v>
      </c>
      <c r="F33" s="7">
        <v>117.4</v>
      </c>
      <c r="G33" s="65">
        <v>1</v>
      </c>
      <c r="H33" s="65">
        <v>1</v>
      </c>
      <c r="I33" s="7" t="e">
        <v>#N/A</v>
      </c>
      <c r="J33" s="7" t="e">
        <v>#N/A</v>
      </c>
      <c r="K33" s="7" t="e">
        <v>#N/A</v>
      </c>
      <c r="M33" s="9">
        <f t="shared" si="0"/>
        <v>-8.5034013605437349E-4</v>
      </c>
    </row>
    <row r="34" spans="1:13" x14ac:dyDescent="0.25">
      <c r="A34" s="14">
        <v>37895</v>
      </c>
      <c r="B34">
        <v>119.9</v>
      </c>
      <c r="C34">
        <v>118.8</v>
      </c>
      <c r="E34" s="7">
        <v>118.8</v>
      </c>
      <c r="F34" s="7">
        <v>118.7</v>
      </c>
      <c r="G34" s="65">
        <v>1</v>
      </c>
      <c r="H34" s="65">
        <v>1</v>
      </c>
      <c r="I34" s="7" t="e">
        <v>#N/A</v>
      </c>
      <c r="J34" s="7" t="e">
        <v>#N/A</v>
      </c>
      <c r="K34" s="7" t="e">
        <v>#N/A</v>
      </c>
      <c r="M34" s="9">
        <f t="shared" si="0"/>
        <v>0</v>
      </c>
    </row>
    <row r="35" spans="1:13" x14ac:dyDescent="0.25">
      <c r="A35" s="14">
        <v>37987</v>
      </c>
      <c r="B35">
        <v>118</v>
      </c>
      <c r="C35">
        <v>120.5</v>
      </c>
      <c r="E35" s="7">
        <v>120.5</v>
      </c>
      <c r="F35" s="7">
        <v>120.8</v>
      </c>
      <c r="G35" s="65">
        <v>1</v>
      </c>
      <c r="H35" s="65">
        <v>1</v>
      </c>
      <c r="I35" s="7" t="e">
        <v>#N/A</v>
      </c>
      <c r="J35" s="7" t="e">
        <v>#N/A</v>
      </c>
      <c r="K35" s="7" t="e">
        <v>#N/A</v>
      </c>
      <c r="M35" s="9">
        <f t="shared" si="0"/>
        <v>0</v>
      </c>
    </row>
    <row r="36" spans="1:13" x14ac:dyDescent="0.25">
      <c r="A36" s="14">
        <v>38078</v>
      </c>
      <c r="B36">
        <v>123.7</v>
      </c>
      <c r="C36">
        <v>123.8</v>
      </c>
      <c r="E36" s="7">
        <v>123.8</v>
      </c>
      <c r="F36" s="7">
        <v>123.5</v>
      </c>
      <c r="G36" s="65">
        <v>1</v>
      </c>
      <c r="H36" s="65">
        <v>1</v>
      </c>
      <c r="I36" s="7" t="e">
        <v>#N/A</v>
      </c>
      <c r="J36" s="7" t="e">
        <v>#N/A</v>
      </c>
      <c r="K36" s="7" t="e">
        <v>#N/A</v>
      </c>
      <c r="M36" s="9">
        <f t="shared" si="0"/>
        <v>0</v>
      </c>
    </row>
    <row r="37" spans="1:13" x14ac:dyDescent="0.25">
      <c r="A37" s="14">
        <v>38169</v>
      </c>
      <c r="B37">
        <v>128.1</v>
      </c>
      <c r="C37">
        <v>125.3</v>
      </c>
      <c r="E37" s="7">
        <v>125.3</v>
      </c>
      <c r="F37" s="7">
        <v>125.4</v>
      </c>
      <c r="G37" s="65">
        <v>1</v>
      </c>
      <c r="H37" s="65">
        <v>1</v>
      </c>
      <c r="I37" s="7" t="e">
        <v>#N/A</v>
      </c>
      <c r="J37" s="7" t="e">
        <v>#N/A</v>
      </c>
      <c r="K37" s="7" t="e">
        <v>#N/A</v>
      </c>
      <c r="M37" s="9">
        <f t="shared" si="0"/>
        <v>0</v>
      </c>
    </row>
    <row r="38" spans="1:13" x14ac:dyDescent="0.25">
      <c r="A38" s="14">
        <v>38261</v>
      </c>
      <c r="B38">
        <v>127.4</v>
      </c>
      <c r="C38">
        <v>126.3</v>
      </c>
      <c r="E38" s="7">
        <v>126.3</v>
      </c>
      <c r="F38" s="7">
        <v>126.3</v>
      </c>
      <c r="G38" s="65">
        <v>1</v>
      </c>
      <c r="H38" s="65">
        <v>1</v>
      </c>
      <c r="I38" s="7" t="e">
        <v>#N/A</v>
      </c>
      <c r="J38" s="7" t="e">
        <v>#N/A</v>
      </c>
      <c r="K38" s="7" t="e">
        <v>#N/A</v>
      </c>
      <c r="M38" s="9">
        <f t="shared" si="0"/>
        <v>0</v>
      </c>
    </row>
    <row r="39" spans="1:13" x14ac:dyDescent="0.25">
      <c r="A39" s="14">
        <v>38353</v>
      </c>
      <c r="B39">
        <v>122.9</v>
      </c>
      <c r="C39">
        <v>127.2</v>
      </c>
      <c r="E39" s="7">
        <v>127.2</v>
      </c>
      <c r="F39" s="7">
        <v>127.2</v>
      </c>
      <c r="G39" s="65">
        <v>1</v>
      </c>
      <c r="H39" s="65">
        <v>1</v>
      </c>
      <c r="I39" s="7" t="e">
        <v>#N/A</v>
      </c>
      <c r="J39" s="7" t="e">
        <v>#N/A</v>
      </c>
      <c r="K39" s="7" t="e">
        <v>#N/A</v>
      </c>
      <c r="M39" s="9">
        <f t="shared" si="0"/>
        <v>0</v>
      </c>
    </row>
    <row r="40" spans="1:13" x14ac:dyDescent="0.25">
      <c r="A40" s="14">
        <v>38443</v>
      </c>
      <c r="B40">
        <v>129.19999999999999</v>
      </c>
      <c r="C40">
        <v>129</v>
      </c>
      <c r="E40" s="7">
        <v>129</v>
      </c>
      <c r="F40" s="7">
        <v>127.8</v>
      </c>
      <c r="G40" s="65">
        <v>1</v>
      </c>
      <c r="H40" s="65">
        <v>1</v>
      </c>
      <c r="I40" s="7" t="e">
        <v>#N/A</v>
      </c>
      <c r="J40" s="7" t="e">
        <v>#N/A</v>
      </c>
      <c r="K40" s="7" t="e">
        <v>#N/A</v>
      </c>
      <c r="M40" s="9">
        <f t="shared" si="0"/>
        <v>0</v>
      </c>
    </row>
    <row r="41" spans="1:13" x14ac:dyDescent="0.25">
      <c r="A41" s="14">
        <v>38534</v>
      </c>
      <c r="B41">
        <v>130.80000000000001</v>
      </c>
      <c r="C41">
        <v>128</v>
      </c>
      <c r="E41" s="7">
        <v>128</v>
      </c>
      <c r="F41" s="7">
        <v>128.30000000000001</v>
      </c>
      <c r="G41" s="65">
        <v>1</v>
      </c>
      <c r="H41" s="65">
        <v>1</v>
      </c>
      <c r="I41" s="7" t="e">
        <v>#N/A</v>
      </c>
      <c r="J41" s="7" t="e">
        <v>#N/A</v>
      </c>
      <c r="K41" s="7" t="e">
        <v>#N/A</v>
      </c>
      <c r="M41" s="9">
        <f t="shared" si="0"/>
        <v>0</v>
      </c>
    </row>
    <row r="42" spans="1:13" x14ac:dyDescent="0.25">
      <c r="A42" s="14">
        <v>38626</v>
      </c>
      <c r="B42">
        <v>130.1</v>
      </c>
      <c r="C42">
        <v>129.6</v>
      </c>
      <c r="E42" s="7">
        <v>129.6</v>
      </c>
      <c r="F42" s="7">
        <v>129.6</v>
      </c>
      <c r="G42" s="65">
        <v>1</v>
      </c>
      <c r="H42" s="65">
        <v>1</v>
      </c>
      <c r="I42" s="7" t="e">
        <v>#N/A</v>
      </c>
      <c r="J42" s="7" t="e">
        <v>#N/A</v>
      </c>
      <c r="K42" s="7" t="e">
        <v>#N/A</v>
      </c>
      <c r="M42" s="9">
        <f t="shared" si="0"/>
        <v>0</v>
      </c>
    </row>
    <row r="43" spans="1:13" x14ac:dyDescent="0.25">
      <c r="A43" s="14">
        <v>38718</v>
      </c>
      <c r="B43">
        <v>128.19999999999999</v>
      </c>
      <c r="C43">
        <v>131.80000000000001</v>
      </c>
      <c r="E43" s="7">
        <v>131.80000000000001</v>
      </c>
      <c r="F43" s="7">
        <v>131.19999999999999</v>
      </c>
      <c r="G43" s="65">
        <v>1</v>
      </c>
      <c r="H43" s="65">
        <v>1</v>
      </c>
      <c r="I43" s="7" t="e">
        <v>#N/A</v>
      </c>
      <c r="J43" s="7" t="e">
        <v>#N/A</v>
      </c>
      <c r="K43" s="7" t="e">
        <v>#N/A</v>
      </c>
      <c r="M43" s="9">
        <f t="shared" si="0"/>
        <v>0</v>
      </c>
    </row>
    <row r="44" spans="1:13" x14ac:dyDescent="0.25">
      <c r="A44" s="14">
        <v>38808</v>
      </c>
      <c r="B44">
        <v>132.1</v>
      </c>
      <c r="C44">
        <v>132.1</v>
      </c>
      <c r="E44" s="7">
        <v>132.1</v>
      </c>
      <c r="F44" s="7">
        <v>132.5</v>
      </c>
      <c r="G44" s="65">
        <v>1</v>
      </c>
      <c r="H44" s="65">
        <v>1</v>
      </c>
      <c r="I44" s="7" t="e">
        <v>#N/A</v>
      </c>
      <c r="J44" s="7" t="e">
        <v>#N/A</v>
      </c>
      <c r="K44" s="7" t="e">
        <v>#N/A</v>
      </c>
      <c r="M44" s="9">
        <f t="shared" si="0"/>
        <v>0</v>
      </c>
    </row>
    <row r="45" spans="1:13" x14ac:dyDescent="0.25">
      <c r="A45" s="14">
        <v>38899</v>
      </c>
      <c r="B45">
        <v>136.69999999999999</v>
      </c>
      <c r="C45">
        <v>134.30000000000001</v>
      </c>
      <c r="E45" s="7">
        <v>134.30000000000001</v>
      </c>
      <c r="F45" s="7">
        <v>134</v>
      </c>
      <c r="G45" s="65">
        <v>1</v>
      </c>
      <c r="H45" s="65">
        <v>1</v>
      </c>
      <c r="I45" s="7" t="e">
        <v>#N/A</v>
      </c>
      <c r="J45" s="7" t="e">
        <v>#N/A</v>
      </c>
      <c r="K45" s="7" t="e">
        <v>#N/A</v>
      </c>
      <c r="M45" s="9">
        <f t="shared" si="0"/>
        <v>0</v>
      </c>
    </row>
    <row r="46" spans="1:13" x14ac:dyDescent="0.25">
      <c r="A46" s="14">
        <v>38991</v>
      </c>
      <c r="B46">
        <v>136.4</v>
      </c>
      <c r="C46">
        <v>135.9</v>
      </c>
      <c r="E46" s="7">
        <v>135.9</v>
      </c>
      <c r="F46" s="7">
        <v>136.1</v>
      </c>
      <c r="G46" s="65">
        <v>1</v>
      </c>
      <c r="H46" s="65">
        <v>1</v>
      </c>
      <c r="I46" s="7" t="e">
        <v>#N/A</v>
      </c>
      <c r="J46" s="7" t="e">
        <v>#N/A</v>
      </c>
      <c r="K46" s="7" t="e">
        <v>#N/A</v>
      </c>
      <c r="M46" s="9">
        <f t="shared" si="0"/>
        <v>0</v>
      </c>
    </row>
    <row r="47" spans="1:13" x14ac:dyDescent="0.25">
      <c r="A47" s="14">
        <v>39083</v>
      </c>
      <c r="B47">
        <v>134.80000000000001</v>
      </c>
      <c r="C47">
        <v>138.6</v>
      </c>
      <c r="E47" s="7">
        <v>138.6</v>
      </c>
      <c r="F47" s="7">
        <v>138.5</v>
      </c>
      <c r="G47" s="65">
        <v>1</v>
      </c>
      <c r="H47" s="65">
        <v>1</v>
      </c>
      <c r="I47" s="7" t="e">
        <v>#N/A</v>
      </c>
      <c r="J47" s="7" t="e">
        <v>#N/A</v>
      </c>
      <c r="K47" s="7" t="e">
        <v>#N/A</v>
      </c>
      <c r="M47" s="9">
        <f t="shared" si="0"/>
        <v>0</v>
      </c>
    </row>
    <row r="48" spans="1:13" x14ac:dyDescent="0.25">
      <c r="A48" s="14">
        <v>39173</v>
      </c>
      <c r="B48">
        <v>140.80000000000001</v>
      </c>
      <c r="C48">
        <v>140.80000000000001</v>
      </c>
      <c r="E48" s="7">
        <v>140.80000000000001</v>
      </c>
      <c r="F48" s="7">
        <v>140.69999999999999</v>
      </c>
      <c r="G48" s="65">
        <v>1</v>
      </c>
      <c r="H48" s="65">
        <v>1</v>
      </c>
      <c r="I48" s="7" t="e">
        <v>#N/A</v>
      </c>
      <c r="J48" s="7" t="e">
        <v>#N/A</v>
      </c>
      <c r="K48" s="7" t="e">
        <v>#N/A</v>
      </c>
      <c r="M48" s="9">
        <f t="shared" si="0"/>
        <v>0</v>
      </c>
    </row>
    <row r="49" spans="1:13" x14ac:dyDescent="0.25">
      <c r="A49" s="14">
        <v>39264</v>
      </c>
      <c r="B49">
        <v>144.80000000000001</v>
      </c>
      <c r="C49">
        <v>142.19999999999999</v>
      </c>
      <c r="E49" s="7">
        <v>142.30000000000001</v>
      </c>
      <c r="F49" s="7">
        <v>142.4</v>
      </c>
      <c r="G49" s="65">
        <v>1</v>
      </c>
      <c r="H49" s="65">
        <v>1</v>
      </c>
      <c r="I49" s="7" t="e">
        <v>#N/A</v>
      </c>
      <c r="J49" s="7" t="e">
        <v>#N/A</v>
      </c>
      <c r="K49" s="7" t="e">
        <v>#N/A</v>
      </c>
      <c r="M49" s="9">
        <f t="shared" si="0"/>
        <v>7.0323488045023026E-4</v>
      </c>
    </row>
    <row r="50" spans="1:13" x14ac:dyDescent="0.25">
      <c r="A50" s="14">
        <v>39356</v>
      </c>
      <c r="B50">
        <v>145.4</v>
      </c>
      <c r="C50">
        <v>144.4</v>
      </c>
      <c r="E50" s="7">
        <v>144.4</v>
      </c>
      <c r="F50" s="7">
        <v>144.1</v>
      </c>
      <c r="G50" s="65">
        <v>1</v>
      </c>
      <c r="H50" s="65">
        <v>1</v>
      </c>
      <c r="I50" s="7" t="e">
        <v>#N/A</v>
      </c>
      <c r="J50" s="7" t="e">
        <v>#N/A</v>
      </c>
      <c r="K50" s="7" t="e">
        <v>#N/A</v>
      </c>
      <c r="M50" s="9">
        <f t="shared" si="0"/>
        <v>0</v>
      </c>
    </row>
    <row r="51" spans="1:13" x14ac:dyDescent="0.25">
      <c r="A51" s="14">
        <v>39448</v>
      </c>
      <c r="B51">
        <v>143.1</v>
      </c>
      <c r="C51">
        <v>146.1</v>
      </c>
      <c r="E51" s="7">
        <v>146</v>
      </c>
      <c r="F51" s="7">
        <v>146.4</v>
      </c>
      <c r="G51" s="65">
        <v>1</v>
      </c>
      <c r="H51" s="65">
        <v>1</v>
      </c>
      <c r="I51" s="7" t="e">
        <v>#N/A</v>
      </c>
      <c r="J51" s="7" t="e">
        <v>#N/A</v>
      </c>
      <c r="K51" s="7" t="e">
        <v>#N/A</v>
      </c>
      <c r="M51" s="9">
        <f t="shared" si="0"/>
        <v>-6.8446269678298639E-4</v>
      </c>
    </row>
    <row r="52" spans="1:13" x14ac:dyDescent="0.25">
      <c r="A52" s="14">
        <v>39539</v>
      </c>
      <c r="B52">
        <v>149.69999999999999</v>
      </c>
      <c r="C52">
        <v>149.4</v>
      </c>
      <c r="E52" s="7">
        <v>149.4</v>
      </c>
      <c r="F52" s="7">
        <v>149.30000000000001</v>
      </c>
      <c r="G52" s="65">
        <v>1</v>
      </c>
      <c r="H52" s="65">
        <v>1</v>
      </c>
      <c r="I52" s="7" t="e">
        <v>#N/A</v>
      </c>
      <c r="J52" s="7" t="e">
        <v>#N/A</v>
      </c>
      <c r="K52" s="7" t="e">
        <v>#N/A</v>
      </c>
      <c r="M52" s="9">
        <f t="shared" si="0"/>
        <v>0</v>
      </c>
    </row>
    <row r="53" spans="1:13" x14ac:dyDescent="0.25">
      <c r="A53" s="14">
        <v>39630</v>
      </c>
      <c r="B53">
        <v>154.9</v>
      </c>
      <c r="C53">
        <v>151.6</v>
      </c>
      <c r="E53" s="7">
        <v>151.69999999999999</v>
      </c>
      <c r="F53" s="7">
        <v>151.5</v>
      </c>
      <c r="G53" s="65">
        <v>1</v>
      </c>
      <c r="H53" s="65">
        <v>1</v>
      </c>
      <c r="I53" s="7" t="e">
        <v>#N/A</v>
      </c>
      <c r="J53" s="7" t="e">
        <v>#N/A</v>
      </c>
      <c r="K53" s="7" t="e">
        <v>#N/A</v>
      </c>
      <c r="M53" s="9">
        <f t="shared" si="0"/>
        <v>6.5963060686012088E-4</v>
      </c>
    </row>
    <row r="54" spans="1:13" x14ac:dyDescent="0.25">
      <c r="A54" s="14">
        <v>39722</v>
      </c>
      <c r="B54">
        <v>146.9</v>
      </c>
      <c r="C54">
        <v>145.9</v>
      </c>
      <c r="E54" s="7">
        <v>145.9</v>
      </c>
      <c r="F54" s="7">
        <v>144.69999999999999</v>
      </c>
      <c r="G54" s="65">
        <v>1</v>
      </c>
      <c r="H54" s="65">
        <v>1</v>
      </c>
      <c r="I54" s="7" t="e">
        <v>#N/A</v>
      </c>
      <c r="J54" s="7" t="e">
        <v>#N/A</v>
      </c>
      <c r="K54" s="7" t="e">
        <v>#N/A</v>
      </c>
      <c r="M54" s="9">
        <f t="shared" si="0"/>
        <v>0</v>
      </c>
    </row>
    <row r="55" spans="1:13" x14ac:dyDescent="0.25">
      <c r="A55" s="14">
        <v>39814</v>
      </c>
      <c r="B55">
        <v>139.69999999999999</v>
      </c>
      <c r="C55">
        <v>143.9</v>
      </c>
      <c r="E55" s="7">
        <v>143.9</v>
      </c>
      <c r="F55" s="7">
        <v>145</v>
      </c>
      <c r="G55" s="65">
        <v>1</v>
      </c>
      <c r="H55" s="65">
        <v>1</v>
      </c>
      <c r="I55" s="7" t="e">
        <v>#N/A</v>
      </c>
      <c r="J55" s="7" t="e">
        <v>#N/A</v>
      </c>
      <c r="K55" s="7" t="e">
        <v>#N/A</v>
      </c>
      <c r="M55" s="9">
        <f t="shared" si="0"/>
        <v>0</v>
      </c>
    </row>
    <row r="56" spans="1:13" x14ac:dyDescent="0.25">
      <c r="A56" s="14">
        <v>39904</v>
      </c>
      <c r="B56">
        <v>146.4</v>
      </c>
      <c r="C56">
        <v>146.5</v>
      </c>
      <c r="E56" s="7">
        <v>146.5</v>
      </c>
      <c r="F56" s="7">
        <v>146.6</v>
      </c>
      <c r="G56" s="65">
        <v>1</v>
      </c>
      <c r="H56" s="65">
        <v>1</v>
      </c>
      <c r="I56" s="7" t="e">
        <v>#N/A</v>
      </c>
      <c r="J56" s="7" t="e">
        <v>#N/A</v>
      </c>
      <c r="K56" s="7" t="e">
        <v>#N/A</v>
      </c>
      <c r="M56" s="9">
        <f t="shared" si="0"/>
        <v>0</v>
      </c>
    </row>
    <row r="57" spans="1:13" x14ac:dyDescent="0.25">
      <c r="A57" s="14">
        <v>39995</v>
      </c>
      <c r="B57">
        <v>153.1</v>
      </c>
      <c r="C57">
        <v>149.9</v>
      </c>
      <c r="E57" s="7">
        <v>149.9</v>
      </c>
      <c r="F57" s="7">
        <v>149.9</v>
      </c>
      <c r="G57" s="65">
        <v>1</v>
      </c>
      <c r="H57" s="65">
        <v>1</v>
      </c>
      <c r="I57" s="7" t="e">
        <v>#N/A</v>
      </c>
      <c r="J57" s="7" t="e">
        <v>#N/A</v>
      </c>
      <c r="K57" s="7" t="e">
        <v>#N/A</v>
      </c>
      <c r="M57" s="9">
        <f t="shared" si="0"/>
        <v>0</v>
      </c>
    </row>
    <row r="58" spans="1:13" x14ac:dyDescent="0.25">
      <c r="A58" s="14">
        <v>40087</v>
      </c>
      <c r="B58">
        <v>154.69999999999999</v>
      </c>
      <c r="C58">
        <v>153.69999999999999</v>
      </c>
      <c r="E58" s="7">
        <v>153.69999999999999</v>
      </c>
      <c r="F58" s="7">
        <v>153.80000000000001</v>
      </c>
      <c r="G58" s="65">
        <v>1</v>
      </c>
      <c r="H58" s="65">
        <v>1</v>
      </c>
      <c r="I58" s="7" t="e">
        <v>#N/A</v>
      </c>
      <c r="J58" s="7" t="e">
        <v>#N/A</v>
      </c>
      <c r="K58" s="7" t="e">
        <v>#N/A</v>
      </c>
      <c r="M58" s="9">
        <f t="shared" si="0"/>
        <v>0</v>
      </c>
    </row>
    <row r="59" spans="1:13" x14ac:dyDescent="0.25">
      <c r="A59" s="14">
        <v>40179</v>
      </c>
      <c r="B59">
        <v>152.5</v>
      </c>
      <c r="C59">
        <v>157.19999999999999</v>
      </c>
      <c r="E59" s="7">
        <v>157.19999999999999</v>
      </c>
      <c r="F59" s="7">
        <v>156.9</v>
      </c>
      <c r="G59" s="65">
        <v>1</v>
      </c>
      <c r="H59" s="65">
        <v>1</v>
      </c>
      <c r="I59" s="7" t="e">
        <v>#N/A</v>
      </c>
      <c r="J59" s="7" t="e">
        <v>#N/A</v>
      </c>
      <c r="K59" s="7" t="e">
        <v>#N/A</v>
      </c>
      <c r="M59" s="9">
        <f t="shared" si="0"/>
        <v>0</v>
      </c>
    </row>
    <row r="60" spans="1:13" x14ac:dyDescent="0.25">
      <c r="A60" s="14">
        <v>40269</v>
      </c>
      <c r="B60">
        <v>158.9</v>
      </c>
      <c r="C60">
        <v>158.69999999999999</v>
      </c>
      <c r="E60" s="7">
        <v>158.80000000000001</v>
      </c>
      <c r="F60" s="7">
        <v>158.9</v>
      </c>
      <c r="G60" s="65">
        <v>1</v>
      </c>
      <c r="H60" s="65">
        <v>1</v>
      </c>
      <c r="I60" s="7" t="e">
        <v>#N/A</v>
      </c>
      <c r="J60" s="7" t="e">
        <v>#N/A</v>
      </c>
      <c r="K60" s="7" t="e">
        <v>#N/A</v>
      </c>
      <c r="M60" s="9">
        <f t="shared" si="0"/>
        <v>6.3011972274746534E-4</v>
      </c>
    </row>
    <row r="61" spans="1:13" x14ac:dyDescent="0.25">
      <c r="A61" s="14">
        <v>40360</v>
      </c>
      <c r="B61">
        <v>163.6</v>
      </c>
      <c r="C61">
        <v>160.4</v>
      </c>
      <c r="E61" s="7">
        <v>160.30000000000001</v>
      </c>
      <c r="F61" s="7">
        <v>160.4</v>
      </c>
      <c r="G61" s="65">
        <v>1</v>
      </c>
      <c r="H61" s="65">
        <v>1</v>
      </c>
      <c r="I61" s="7" t="e">
        <v>#N/A</v>
      </c>
      <c r="J61" s="7" t="e">
        <v>#N/A</v>
      </c>
      <c r="K61" s="7" t="e">
        <v>#N/A</v>
      </c>
      <c r="M61" s="9">
        <f t="shared" si="0"/>
        <v>-6.2344139650869271E-4</v>
      </c>
    </row>
    <row r="62" spans="1:13" x14ac:dyDescent="0.25">
      <c r="A62" s="14">
        <v>40452</v>
      </c>
      <c r="B62">
        <v>163.5</v>
      </c>
      <c r="C62">
        <v>162.5</v>
      </c>
      <c r="E62" s="7">
        <v>162.5</v>
      </c>
      <c r="F62" s="7">
        <v>162.6</v>
      </c>
      <c r="G62" s="65">
        <v>1</v>
      </c>
      <c r="H62" s="65">
        <v>1</v>
      </c>
      <c r="I62" s="7" t="e">
        <v>#N/A</v>
      </c>
      <c r="J62" s="7" t="e">
        <v>#N/A</v>
      </c>
      <c r="K62" s="7" t="e">
        <v>#N/A</v>
      </c>
      <c r="M62" s="9">
        <f t="shared" si="0"/>
        <v>0</v>
      </c>
    </row>
    <row r="63" spans="1:13" x14ac:dyDescent="0.25">
      <c r="A63" s="14">
        <v>40544</v>
      </c>
      <c r="B63">
        <v>160.5</v>
      </c>
      <c r="C63">
        <v>164.9</v>
      </c>
      <c r="E63" s="7">
        <v>164.9</v>
      </c>
      <c r="F63" s="7">
        <v>164.9</v>
      </c>
      <c r="G63" s="65">
        <v>1</v>
      </c>
      <c r="H63" s="65">
        <v>1</v>
      </c>
      <c r="I63" s="7" t="e">
        <v>#N/A</v>
      </c>
      <c r="J63" s="7" t="e">
        <v>#N/A</v>
      </c>
      <c r="K63" s="7" t="e">
        <v>#N/A</v>
      </c>
      <c r="M63" s="9">
        <f t="shared" si="0"/>
        <v>0</v>
      </c>
    </row>
    <row r="64" spans="1:13" x14ac:dyDescent="0.25">
      <c r="A64" s="14">
        <v>40634</v>
      </c>
      <c r="B64">
        <v>166.3</v>
      </c>
      <c r="C64">
        <v>166.5</v>
      </c>
      <c r="E64" s="7">
        <v>166.5</v>
      </c>
      <c r="F64" s="7">
        <v>166.1</v>
      </c>
      <c r="G64" s="65">
        <v>1</v>
      </c>
      <c r="H64" s="65">
        <v>1</v>
      </c>
      <c r="I64" s="7" t="e">
        <v>#N/A</v>
      </c>
      <c r="J64" s="7" t="e">
        <v>#N/A</v>
      </c>
      <c r="K64" s="7" t="e">
        <v>#N/A</v>
      </c>
      <c r="M64" s="9">
        <f t="shared" si="0"/>
        <v>0</v>
      </c>
    </row>
    <row r="65" spans="1:13" x14ac:dyDescent="0.25">
      <c r="A65" s="14">
        <v>40725</v>
      </c>
      <c r="B65">
        <v>169.4</v>
      </c>
      <c r="C65">
        <v>166.1</v>
      </c>
      <c r="E65" s="7">
        <v>166.1</v>
      </c>
      <c r="F65" s="7">
        <v>166.6</v>
      </c>
      <c r="G65" s="65">
        <v>1</v>
      </c>
      <c r="H65" s="65">
        <v>1</v>
      </c>
      <c r="I65" s="7" t="e">
        <v>#N/A</v>
      </c>
      <c r="J65" s="7" t="e">
        <v>#N/A</v>
      </c>
      <c r="K65" s="7" t="e">
        <v>#N/A</v>
      </c>
      <c r="M65" s="9">
        <f t="shared" si="0"/>
        <v>0</v>
      </c>
    </row>
    <row r="66" spans="1:13" x14ac:dyDescent="0.25">
      <c r="A66" s="14">
        <v>40817</v>
      </c>
      <c r="B66">
        <v>167.7</v>
      </c>
      <c r="C66">
        <v>167.5</v>
      </c>
      <c r="E66" s="7">
        <v>167.5</v>
      </c>
      <c r="F66" s="7">
        <v>166.6</v>
      </c>
      <c r="G66" s="65">
        <v>1</v>
      </c>
      <c r="H66" s="65">
        <v>1</v>
      </c>
      <c r="I66" s="7" t="e">
        <v>#N/A</v>
      </c>
      <c r="J66" s="7" t="e">
        <v>#N/A</v>
      </c>
      <c r="K66" s="7" t="e">
        <v>#N/A</v>
      </c>
      <c r="M66" s="9">
        <f t="shared" si="0"/>
        <v>0</v>
      </c>
    </row>
    <row r="67" spans="1:13" x14ac:dyDescent="0.25">
      <c r="A67" s="14">
        <v>40909</v>
      </c>
      <c r="B67">
        <v>163.19999999999999</v>
      </c>
      <c r="C67">
        <v>165.3</v>
      </c>
      <c r="E67" s="7">
        <v>165.3</v>
      </c>
      <c r="F67" s="7">
        <v>166.9</v>
      </c>
      <c r="G67" s="65">
        <v>1</v>
      </c>
      <c r="H67" s="65">
        <v>1</v>
      </c>
      <c r="I67" s="7" t="e">
        <v>#N/A</v>
      </c>
      <c r="J67" s="7" t="e">
        <v>#N/A</v>
      </c>
      <c r="K67" s="7" t="e">
        <v>#N/A</v>
      </c>
      <c r="M67" s="9">
        <f t="shared" si="0"/>
        <v>0</v>
      </c>
    </row>
    <row r="68" spans="1:13" x14ac:dyDescent="0.25">
      <c r="A68" s="14">
        <v>41000</v>
      </c>
      <c r="B68">
        <v>168</v>
      </c>
      <c r="C68">
        <v>168.2</v>
      </c>
      <c r="E68" s="7">
        <v>168.2</v>
      </c>
      <c r="F68" s="7">
        <v>168.4</v>
      </c>
      <c r="G68" s="65">
        <v>1</v>
      </c>
      <c r="H68" s="65">
        <v>1</v>
      </c>
      <c r="I68" s="7" t="e">
        <v>#N/A</v>
      </c>
      <c r="J68" s="7" t="e">
        <v>#N/A</v>
      </c>
      <c r="K68" s="7" t="e">
        <v>#N/A</v>
      </c>
      <c r="M68" s="9">
        <f t="shared" ref="M68:M105" si="1">(E68-C68)/C68</f>
        <v>0</v>
      </c>
    </row>
    <row r="69" spans="1:13" x14ac:dyDescent="0.25">
      <c r="A69" s="14">
        <v>41091</v>
      </c>
      <c r="B69">
        <v>173.6</v>
      </c>
      <c r="C69">
        <v>171.1</v>
      </c>
      <c r="E69" s="7">
        <v>171.1</v>
      </c>
      <c r="F69" s="7">
        <v>170.5</v>
      </c>
      <c r="G69" s="65">
        <v>1</v>
      </c>
      <c r="H69" s="65">
        <v>1</v>
      </c>
      <c r="I69" s="7" t="e">
        <v>#N/A</v>
      </c>
      <c r="J69" s="7" t="e">
        <v>#N/A</v>
      </c>
      <c r="K69" s="7" t="e">
        <v>#N/A</v>
      </c>
      <c r="M69" s="9">
        <f t="shared" si="1"/>
        <v>0</v>
      </c>
    </row>
    <row r="70" spans="1:13" x14ac:dyDescent="0.25">
      <c r="A70" s="14">
        <v>41183</v>
      </c>
      <c r="B70">
        <v>171.9</v>
      </c>
      <c r="C70">
        <v>171.1</v>
      </c>
      <c r="E70" s="7">
        <v>171.1</v>
      </c>
      <c r="F70" s="7">
        <v>171.2</v>
      </c>
      <c r="G70" s="65">
        <v>1</v>
      </c>
      <c r="H70" s="65">
        <v>1</v>
      </c>
      <c r="I70" s="7" t="e">
        <v>#N/A</v>
      </c>
      <c r="J70" s="7" t="e">
        <v>#N/A</v>
      </c>
      <c r="K70" s="7" t="e">
        <v>#N/A</v>
      </c>
      <c r="M70" s="9">
        <f t="shared" si="1"/>
        <v>0</v>
      </c>
    </row>
    <row r="71" spans="1:13" x14ac:dyDescent="0.25">
      <c r="A71" s="14">
        <v>41275</v>
      </c>
      <c r="B71">
        <v>167.6</v>
      </c>
      <c r="C71">
        <v>171.8</v>
      </c>
      <c r="E71" s="7">
        <v>171.8</v>
      </c>
      <c r="F71" s="7">
        <v>172.2</v>
      </c>
      <c r="G71" s="65">
        <v>1</v>
      </c>
      <c r="H71" s="65">
        <v>1</v>
      </c>
      <c r="I71" s="7" t="e">
        <v>#N/A</v>
      </c>
      <c r="J71" s="7" t="e">
        <v>#N/A</v>
      </c>
      <c r="K71" s="7" t="e">
        <v>#N/A</v>
      </c>
      <c r="M71" s="9">
        <f t="shared" si="1"/>
        <v>0</v>
      </c>
    </row>
    <row r="72" spans="1:13" x14ac:dyDescent="0.25">
      <c r="A72" s="14">
        <v>41365</v>
      </c>
      <c r="B72">
        <v>174.7</v>
      </c>
      <c r="C72">
        <v>174.7</v>
      </c>
      <c r="E72" s="7">
        <v>174.7</v>
      </c>
      <c r="F72" s="7">
        <v>174.2</v>
      </c>
      <c r="G72" s="65">
        <v>1</v>
      </c>
      <c r="H72" s="65">
        <v>1</v>
      </c>
      <c r="I72" s="7" t="e">
        <v>#N/A</v>
      </c>
      <c r="J72" s="7" t="e">
        <v>#N/A</v>
      </c>
      <c r="K72" s="7" t="e">
        <v>#N/A</v>
      </c>
      <c r="M72" s="9">
        <f t="shared" si="1"/>
        <v>0</v>
      </c>
    </row>
    <row r="73" spans="1:13" x14ac:dyDescent="0.25">
      <c r="A73" s="14">
        <v>41456</v>
      </c>
      <c r="B73">
        <v>178.4</v>
      </c>
      <c r="C73">
        <v>175.3</v>
      </c>
      <c r="E73" s="7">
        <v>175.3</v>
      </c>
      <c r="F73" s="7">
        <v>175.4</v>
      </c>
      <c r="G73" s="65">
        <v>1</v>
      </c>
      <c r="H73" s="65">
        <v>1</v>
      </c>
      <c r="I73" s="7" t="e">
        <v>#N/A</v>
      </c>
      <c r="J73" s="7" t="e">
        <v>#N/A</v>
      </c>
      <c r="K73" s="7" t="e">
        <v>#N/A</v>
      </c>
      <c r="M73" s="9">
        <f t="shared" si="1"/>
        <v>0</v>
      </c>
    </row>
    <row r="74" spans="1:13" x14ac:dyDescent="0.25">
      <c r="A74" s="14">
        <v>41548</v>
      </c>
      <c r="B74">
        <v>176.3</v>
      </c>
      <c r="C74">
        <v>175.5</v>
      </c>
      <c r="E74" s="7">
        <v>175.5</v>
      </c>
      <c r="F74" s="7">
        <v>176</v>
      </c>
      <c r="G74" s="65">
        <v>1</v>
      </c>
      <c r="H74" s="65">
        <v>1</v>
      </c>
      <c r="I74" s="7" t="e">
        <v>#N/A</v>
      </c>
      <c r="J74" s="7" t="e">
        <v>#N/A</v>
      </c>
      <c r="K74" s="7" t="e">
        <v>#N/A</v>
      </c>
      <c r="M74" s="9">
        <f t="shared" si="1"/>
        <v>0</v>
      </c>
    </row>
    <row r="75" spans="1:13" x14ac:dyDescent="0.25">
      <c r="A75" s="14">
        <v>41640</v>
      </c>
      <c r="B75">
        <v>173.4</v>
      </c>
      <c r="C75">
        <v>177.1</v>
      </c>
      <c r="E75" s="7">
        <v>177</v>
      </c>
      <c r="F75" s="7">
        <v>176</v>
      </c>
      <c r="G75" s="65">
        <v>1</v>
      </c>
      <c r="H75" s="65">
        <v>1</v>
      </c>
      <c r="I75" s="7" t="e">
        <v>#N/A</v>
      </c>
      <c r="J75" s="7" t="e">
        <v>#N/A</v>
      </c>
      <c r="K75" s="7" t="e">
        <v>#N/A</v>
      </c>
      <c r="M75" s="9">
        <f t="shared" si="1"/>
        <v>-5.6465273856574991E-4</v>
      </c>
    </row>
    <row r="76" spans="1:13" x14ac:dyDescent="0.25">
      <c r="A76" s="14">
        <v>41730</v>
      </c>
      <c r="B76">
        <v>174</v>
      </c>
      <c r="C76">
        <v>174.4</v>
      </c>
      <c r="E76" s="7">
        <v>174.4</v>
      </c>
      <c r="F76" s="7">
        <v>175</v>
      </c>
      <c r="G76" s="65">
        <v>1</v>
      </c>
      <c r="H76" s="65">
        <v>1</v>
      </c>
      <c r="I76" s="7" t="e">
        <v>#N/A</v>
      </c>
      <c r="J76" s="7" t="e">
        <v>#N/A</v>
      </c>
      <c r="K76" s="7" t="e">
        <v>#N/A</v>
      </c>
      <c r="M76" s="9">
        <f t="shared" si="1"/>
        <v>0</v>
      </c>
    </row>
    <row r="77" spans="1:13" x14ac:dyDescent="0.25">
      <c r="A77" s="14">
        <v>41821</v>
      </c>
      <c r="B77">
        <v>177.3</v>
      </c>
      <c r="C77">
        <v>174.4</v>
      </c>
      <c r="E77" s="7">
        <v>174.4</v>
      </c>
      <c r="F77" s="7">
        <v>174.5</v>
      </c>
      <c r="G77" s="65">
        <v>1</v>
      </c>
      <c r="H77" s="65">
        <v>1</v>
      </c>
      <c r="I77" s="7" t="e">
        <v>#N/A</v>
      </c>
      <c r="J77" s="7" t="e">
        <v>#N/A</v>
      </c>
      <c r="K77" s="7" t="e">
        <v>#N/A</v>
      </c>
      <c r="M77" s="9">
        <f t="shared" si="1"/>
        <v>0</v>
      </c>
    </row>
    <row r="78" spans="1:13" x14ac:dyDescent="0.25">
      <c r="A78" s="14">
        <v>41913</v>
      </c>
      <c r="B78">
        <v>175.9</v>
      </c>
      <c r="C78">
        <v>175.2</v>
      </c>
      <c r="E78" s="7">
        <v>175.2</v>
      </c>
      <c r="F78" s="7">
        <v>175.1</v>
      </c>
      <c r="G78" s="65">
        <v>1</v>
      </c>
      <c r="H78" s="65">
        <v>1</v>
      </c>
      <c r="I78" s="7" t="e">
        <v>#N/A</v>
      </c>
      <c r="J78" s="7" t="e">
        <v>#N/A</v>
      </c>
      <c r="K78" s="7" t="e">
        <v>#N/A</v>
      </c>
      <c r="M78" s="9">
        <f t="shared" si="1"/>
        <v>0</v>
      </c>
    </row>
    <row r="79" spans="1:13" x14ac:dyDescent="0.25">
      <c r="A79" s="14">
        <v>42005</v>
      </c>
      <c r="B79">
        <v>170.6</v>
      </c>
      <c r="C79">
        <v>174.1</v>
      </c>
      <c r="E79" s="7">
        <v>174</v>
      </c>
      <c r="F79" s="7">
        <v>173.6</v>
      </c>
      <c r="G79" s="65">
        <v>1</v>
      </c>
      <c r="H79" s="65">
        <v>1</v>
      </c>
      <c r="I79" s="7" t="e">
        <v>#N/A</v>
      </c>
      <c r="J79" s="7" t="e">
        <v>#N/A</v>
      </c>
      <c r="K79" s="7" t="e">
        <v>#N/A</v>
      </c>
      <c r="M79" s="9">
        <f t="shared" si="1"/>
        <v>-5.7438253877078874E-4</v>
      </c>
    </row>
    <row r="80" spans="1:13" x14ac:dyDescent="0.25">
      <c r="A80" s="14">
        <v>42095</v>
      </c>
      <c r="B80">
        <v>169.2</v>
      </c>
      <c r="C80">
        <v>169.5</v>
      </c>
      <c r="E80" s="7">
        <v>169.5</v>
      </c>
      <c r="F80" s="7">
        <v>170</v>
      </c>
      <c r="G80" s="65">
        <v>1</v>
      </c>
      <c r="H80" s="65">
        <v>1</v>
      </c>
      <c r="I80" s="7" t="e">
        <v>#N/A</v>
      </c>
      <c r="J80" s="7" t="e">
        <v>#N/A</v>
      </c>
      <c r="K80" s="7" t="e">
        <v>#N/A</v>
      </c>
      <c r="M80" s="9">
        <f t="shared" si="1"/>
        <v>0</v>
      </c>
    </row>
    <row r="81" spans="1:13" x14ac:dyDescent="0.25">
      <c r="A81" s="14">
        <v>42186</v>
      </c>
      <c r="B81">
        <v>169.7</v>
      </c>
      <c r="C81">
        <v>167</v>
      </c>
      <c r="E81" s="7">
        <v>167</v>
      </c>
      <c r="F81" s="7">
        <v>167.1</v>
      </c>
      <c r="G81" s="65">
        <v>1</v>
      </c>
      <c r="H81" s="65">
        <v>1</v>
      </c>
      <c r="I81" s="7" t="e">
        <v>#N/A</v>
      </c>
      <c r="J81" s="7" t="e">
        <v>#N/A</v>
      </c>
      <c r="K81" s="7" t="e">
        <v>#N/A</v>
      </c>
      <c r="M81" s="9">
        <f t="shared" si="1"/>
        <v>0</v>
      </c>
    </row>
    <row r="82" spans="1:13" x14ac:dyDescent="0.25">
      <c r="A82" s="14">
        <v>42278</v>
      </c>
      <c r="B82">
        <v>166.2</v>
      </c>
      <c r="C82">
        <v>165.7</v>
      </c>
      <c r="E82" s="7">
        <v>165.7</v>
      </c>
      <c r="F82" s="7">
        <v>165.2</v>
      </c>
      <c r="G82" s="65">
        <v>1</v>
      </c>
      <c r="H82" s="65">
        <v>1</v>
      </c>
      <c r="I82" s="7" t="e">
        <v>#N/A</v>
      </c>
      <c r="J82" s="7" t="e">
        <v>#N/A</v>
      </c>
      <c r="K82" s="7" t="e">
        <v>#N/A</v>
      </c>
      <c r="M82" s="9">
        <f t="shared" si="1"/>
        <v>0</v>
      </c>
    </row>
    <row r="83" spans="1:13" x14ac:dyDescent="0.25">
      <c r="A83" s="14">
        <v>42370</v>
      </c>
      <c r="B83">
        <v>161.9</v>
      </c>
      <c r="C83">
        <v>163</v>
      </c>
      <c r="E83" s="7">
        <v>163.1</v>
      </c>
      <c r="F83" s="7">
        <v>163.9</v>
      </c>
      <c r="G83" s="65">
        <v>1</v>
      </c>
      <c r="H83" s="65">
        <v>1</v>
      </c>
      <c r="I83" s="7" t="e">
        <v>#N/A</v>
      </c>
      <c r="J83" s="7" t="e">
        <v>#N/A</v>
      </c>
      <c r="K83" s="7" t="e">
        <v>#N/A</v>
      </c>
      <c r="M83" s="9">
        <f t="shared" si="1"/>
        <v>6.1349693251530255E-4</v>
      </c>
    </row>
    <row r="84" spans="1:13" x14ac:dyDescent="0.25">
      <c r="A84" s="14">
        <v>42461</v>
      </c>
      <c r="B84">
        <v>163.80000000000001</v>
      </c>
      <c r="C84">
        <v>164</v>
      </c>
      <c r="E84" s="7">
        <v>164</v>
      </c>
      <c r="F84" s="7">
        <v>163.4</v>
      </c>
      <c r="G84" s="65">
        <v>1</v>
      </c>
      <c r="H84" s="65">
        <v>1</v>
      </c>
      <c r="I84" s="7" t="e">
        <v>#N/A</v>
      </c>
      <c r="J84" s="7" t="e">
        <v>#N/A</v>
      </c>
      <c r="K84" s="7" t="e">
        <v>#N/A</v>
      </c>
      <c r="M84" s="9">
        <f t="shared" si="1"/>
        <v>0</v>
      </c>
    </row>
    <row r="85" spans="1:13" x14ac:dyDescent="0.25">
      <c r="A85" s="14">
        <v>42552</v>
      </c>
      <c r="B85">
        <v>165.6</v>
      </c>
      <c r="C85">
        <v>162.9</v>
      </c>
      <c r="E85" s="7">
        <v>163</v>
      </c>
      <c r="F85" s="7">
        <v>163.1</v>
      </c>
      <c r="G85" s="65">
        <v>1</v>
      </c>
      <c r="H85" s="65">
        <v>1</v>
      </c>
      <c r="I85" s="7" t="e">
        <v>#N/A</v>
      </c>
      <c r="J85" s="7" t="e">
        <v>#N/A</v>
      </c>
      <c r="K85" s="7" t="e">
        <v>#N/A</v>
      </c>
      <c r="M85" s="9">
        <f t="shared" si="1"/>
        <v>6.1387354205030267E-4</v>
      </c>
    </row>
    <row r="86" spans="1:13" x14ac:dyDescent="0.25">
      <c r="A86" s="14">
        <v>42644</v>
      </c>
      <c r="B86">
        <v>162.4</v>
      </c>
      <c r="C86">
        <v>162.6</v>
      </c>
      <c r="E86" s="7">
        <v>162.6</v>
      </c>
      <c r="F86" s="7">
        <v>162.9</v>
      </c>
      <c r="G86" s="65">
        <v>1</v>
      </c>
      <c r="H86" s="65">
        <v>1</v>
      </c>
      <c r="I86" s="7" t="e">
        <v>#N/A</v>
      </c>
      <c r="J86" s="7" t="e">
        <v>#N/A</v>
      </c>
      <c r="K86" s="7" t="e">
        <v>#N/A</v>
      </c>
      <c r="M86" s="9">
        <f t="shared" si="1"/>
        <v>0</v>
      </c>
    </row>
    <row r="87" spans="1:13" x14ac:dyDescent="0.25">
      <c r="A87" s="14">
        <v>42736</v>
      </c>
      <c r="B87">
        <v>162.30000000000001</v>
      </c>
      <c r="C87">
        <v>164.4</v>
      </c>
      <c r="E87" s="7">
        <v>164.4</v>
      </c>
      <c r="F87" s="7">
        <v>164.2</v>
      </c>
      <c r="G87" s="65">
        <v>1</v>
      </c>
      <c r="H87" s="65">
        <v>1</v>
      </c>
      <c r="I87" s="7" t="e">
        <v>#N/A</v>
      </c>
      <c r="J87" s="7" t="e">
        <v>#N/A</v>
      </c>
      <c r="K87" s="7" t="e">
        <v>#N/A</v>
      </c>
      <c r="M87" s="9">
        <f t="shared" si="1"/>
        <v>0</v>
      </c>
    </row>
    <row r="88" spans="1:13" x14ac:dyDescent="0.25">
      <c r="A88" s="14">
        <v>42826</v>
      </c>
      <c r="B88">
        <v>165.1</v>
      </c>
      <c r="C88">
        <v>165.7</v>
      </c>
      <c r="E88" s="7">
        <v>165.7</v>
      </c>
      <c r="F88" s="7">
        <v>165.6</v>
      </c>
      <c r="G88" s="65">
        <v>1</v>
      </c>
      <c r="H88" s="65">
        <v>1</v>
      </c>
      <c r="I88" s="7" t="e">
        <v>#N/A</v>
      </c>
      <c r="J88" s="7" t="e">
        <v>#N/A</v>
      </c>
      <c r="K88" s="7" t="e">
        <v>#N/A</v>
      </c>
      <c r="M88" s="9">
        <f t="shared" si="1"/>
        <v>0</v>
      </c>
    </row>
    <row r="89" spans="1:13" x14ac:dyDescent="0.25">
      <c r="A89" s="14">
        <v>42917</v>
      </c>
      <c r="B89">
        <v>168.3</v>
      </c>
      <c r="C89">
        <v>166.2</v>
      </c>
      <c r="E89" s="7">
        <v>166.2</v>
      </c>
      <c r="F89" s="7">
        <v>166.3</v>
      </c>
      <c r="G89" s="65">
        <v>1</v>
      </c>
      <c r="H89" s="65">
        <v>1</v>
      </c>
      <c r="I89" s="7" t="e">
        <v>#N/A</v>
      </c>
      <c r="J89" s="7" t="e">
        <v>#N/A</v>
      </c>
      <c r="K89" s="7" t="e">
        <v>#N/A</v>
      </c>
      <c r="M89" s="9">
        <f t="shared" si="1"/>
        <v>0</v>
      </c>
    </row>
    <row r="90" spans="1:13" x14ac:dyDescent="0.25">
      <c r="A90" s="14">
        <v>43009</v>
      </c>
      <c r="B90">
        <v>166.6</v>
      </c>
      <c r="C90">
        <v>166.9</v>
      </c>
      <c r="E90" s="7">
        <v>166.9</v>
      </c>
      <c r="F90" s="7">
        <v>167</v>
      </c>
      <c r="G90" s="65">
        <v>1</v>
      </c>
      <c r="H90" s="65">
        <v>1</v>
      </c>
      <c r="I90" s="7" t="e">
        <v>#N/A</v>
      </c>
      <c r="J90" s="7" t="e">
        <v>#N/A</v>
      </c>
      <c r="K90" s="7" t="e">
        <v>#N/A</v>
      </c>
      <c r="M90" s="9">
        <f t="shared" si="1"/>
        <v>0</v>
      </c>
    </row>
    <row r="91" spans="1:13" x14ac:dyDescent="0.25">
      <c r="A91" s="14">
        <v>43101</v>
      </c>
      <c r="B91">
        <v>165.4</v>
      </c>
      <c r="C91">
        <v>167.8</v>
      </c>
      <c r="E91" s="7">
        <v>167.8</v>
      </c>
      <c r="F91" s="7">
        <v>167.7</v>
      </c>
      <c r="G91" s="65">
        <v>1</v>
      </c>
      <c r="H91" s="65">
        <v>1</v>
      </c>
      <c r="I91" s="7" t="e">
        <v>#N/A</v>
      </c>
      <c r="J91" s="7" t="e">
        <v>#N/A</v>
      </c>
      <c r="K91" s="7" t="e">
        <v>#N/A</v>
      </c>
      <c r="M91" s="9">
        <f t="shared" si="1"/>
        <v>0</v>
      </c>
    </row>
    <row r="92" spans="1:13" x14ac:dyDescent="0.25">
      <c r="A92" s="14">
        <v>43191</v>
      </c>
      <c r="B92">
        <v>167.7</v>
      </c>
      <c r="C92">
        <v>168.1</v>
      </c>
      <c r="E92" s="7">
        <v>168.1</v>
      </c>
      <c r="F92" s="7">
        <v>168.3</v>
      </c>
      <c r="G92" s="65">
        <v>1</v>
      </c>
      <c r="H92" s="65">
        <v>1</v>
      </c>
      <c r="I92" s="7" t="e">
        <v>#N/A</v>
      </c>
      <c r="J92" s="7" t="e">
        <v>#N/A</v>
      </c>
      <c r="K92" s="7" t="e">
        <v>#N/A</v>
      </c>
      <c r="M92" s="9">
        <f t="shared" si="1"/>
        <v>0</v>
      </c>
    </row>
    <row r="93" spans="1:13" x14ac:dyDescent="0.25">
      <c r="A93" s="14">
        <v>43282</v>
      </c>
      <c r="B93">
        <v>171.7</v>
      </c>
      <c r="C93">
        <v>169.5</v>
      </c>
      <c r="E93" s="7">
        <v>169.5</v>
      </c>
      <c r="F93" s="7">
        <v>168.8</v>
      </c>
      <c r="G93" s="65">
        <v>1</v>
      </c>
      <c r="H93" s="65">
        <v>1</v>
      </c>
      <c r="I93" s="7" t="e">
        <v>#N/A</v>
      </c>
      <c r="J93" s="7" t="e">
        <v>#N/A</v>
      </c>
      <c r="K93" s="7" t="e">
        <v>#N/A</v>
      </c>
      <c r="M93" s="9">
        <f t="shared" si="1"/>
        <v>0</v>
      </c>
    </row>
    <row r="94" spans="1:13" x14ac:dyDescent="0.25">
      <c r="A94" s="14">
        <v>43374</v>
      </c>
      <c r="B94">
        <v>169.2</v>
      </c>
      <c r="C94">
        <v>168.9</v>
      </c>
      <c r="E94" s="7">
        <v>168.9</v>
      </c>
      <c r="F94" s="7">
        <v>169.1</v>
      </c>
      <c r="G94" s="65">
        <v>1</v>
      </c>
      <c r="H94" s="65">
        <v>1</v>
      </c>
      <c r="I94" s="7" t="e">
        <v>#N/A</v>
      </c>
      <c r="J94" s="7" t="e">
        <v>#N/A</v>
      </c>
      <c r="K94" s="7" t="e">
        <v>#N/A</v>
      </c>
      <c r="M94" s="9">
        <f t="shared" si="1"/>
        <v>0</v>
      </c>
    </row>
    <row r="95" spans="1:13" x14ac:dyDescent="0.25">
      <c r="A95" s="14">
        <v>43466</v>
      </c>
      <c r="B95">
        <v>167.1</v>
      </c>
      <c r="C95">
        <v>169.8</v>
      </c>
      <c r="E95" s="7">
        <v>169.8</v>
      </c>
      <c r="F95" s="7">
        <v>169.8</v>
      </c>
      <c r="G95" s="65">
        <v>1</v>
      </c>
      <c r="H95" s="65">
        <v>1</v>
      </c>
      <c r="I95" s="7" t="e">
        <v>#N/A</v>
      </c>
      <c r="J95" s="7" t="e">
        <v>#N/A</v>
      </c>
      <c r="K95" s="7" t="e">
        <v>#N/A</v>
      </c>
      <c r="M95" s="9">
        <f t="shared" si="1"/>
        <v>0</v>
      </c>
    </row>
    <row r="96" spans="1:13" x14ac:dyDescent="0.25">
      <c r="A96" s="14">
        <v>43556</v>
      </c>
      <c r="B96">
        <v>169.8</v>
      </c>
      <c r="C96">
        <v>170.7</v>
      </c>
      <c r="E96" s="7">
        <v>170.7</v>
      </c>
      <c r="F96" s="7">
        <v>170.6</v>
      </c>
      <c r="G96" s="65">
        <v>1</v>
      </c>
      <c r="H96" s="65">
        <v>1</v>
      </c>
      <c r="I96" s="7" t="e">
        <v>#N/A</v>
      </c>
      <c r="J96" s="7" t="e">
        <v>#N/A</v>
      </c>
      <c r="K96" s="7" t="e">
        <v>#N/A</v>
      </c>
      <c r="M96" s="9">
        <f t="shared" si="1"/>
        <v>0</v>
      </c>
    </row>
    <row r="97" spans="1:13" x14ac:dyDescent="0.25">
      <c r="A97" s="14">
        <v>43647</v>
      </c>
      <c r="B97">
        <v>173.6</v>
      </c>
      <c r="C97">
        <v>170.7</v>
      </c>
      <c r="E97" s="7">
        <v>170.7</v>
      </c>
      <c r="F97" s="7">
        <v>170.6</v>
      </c>
      <c r="G97" s="65">
        <v>1</v>
      </c>
      <c r="H97" s="65">
        <v>1</v>
      </c>
      <c r="I97" s="7" t="e">
        <v>#N/A</v>
      </c>
      <c r="J97" s="7" t="e">
        <v>#N/A</v>
      </c>
      <c r="K97" s="7" t="e">
        <v>#N/A</v>
      </c>
      <c r="M97" s="9">
        <f t="shared" si="1"/>
        <v>0</v>
      </c>
    </row>
    <row r="98" spans="1:13" x14ac:dyDescent="0.25">
      <c r="A98" s="14">
        <v>43739</v>
      </c>
      <c r="B98">
        <v>171.7</v>
      </c>
      <c r="C98">
        <v>171.3</v>
      </c>
      <c r="E98" s="7">
        <v>171.3</v>
      </c>
      <c r="F98" s="7">
        <v>169.8</v>
      </c>
      <c r="G98" s="65">
        <v>1</v>
      </c>
      <c r="H98" s="65">
        <v>1</v>
      </c>
      <c r="I98" s="7" t="e">
        <v>#N/A</v>
      </c>
      <c r="J98" s="7" t="e">
        <v>#N/A</v>
      </c>
      <c r="K98" s="7" t="e">
        <v>#N/A</v>
      </c>
      <c r="M98" s="9">
        <f t="shared" si="1"/>
        <v>0</v>
      </c>
    </row>
    <row r="99" spans="1:13" x14ac:dyDescent="0.25">
      <c r="A99" s="14">
        <v>43831</v>
      </c>
      <c r="B99">
        <v>166.9</v>
      </c>
      <c r="C99">
        <v>167.4</v>
      </c>
      <c r="E99" s="7">
        <v>167.4</v>
      </c>
      <c r="F99" s="7">
        <v>168.9</v>
      </c>
      <c r="G99" s="65">
        <v>1</v>
      </c>
      <c r="H99" s="65">
        <v>1</v>
      </c>
      <c r="I99" s="7" t="e">
        <v>#N/A</v>
      </c>
      <c r="J99" s="7" t="e">
        <v>#N/A</v>
      </c>
      <c r="K99" s="7" t="e">
        <v>#N/A</v>
      </c>
      <c r="M99" s="9">
        <f t="shared" si="1"/>
        <v>0</v>
      </c>
    </row>
    <row r="100" spans="1:13" x14ac:dyDescent="0.25">
      <c r="A100" s="14">
        <v>43922</v>
      </c>
      <c r="B100">
        <v>151.6</v>
      </c>
      <c r="C100">
        <v>152.6</v>
      </c>
      <c r="E100" s="7">
        <v>152.5</v>
      </c>
      <c r="F100" s="7">
        <v>169</v>
      </c>
      <c r="G100" s="65">
        <v>0.9</v>
      </c>
      <c r="H100" s="65">
        <v>1</v>
      </c>
      <c r="I100" s="7" t="e">
        <v>#N/A</v>
      </c>
      <c r="J100" s="7" t="e">
        <v>#N/A</v>
      </c>
      <c r="K100" s="7" t="e">
        <v>#N/A</v>
      </c>
      <c r="M100" s="9">
        <f t="shared" si="1"/>
        <v>-6.5530799475749886E-4</v>
      </c>
    </row>
    <row r="101" spans="1:13" x14ac:dyDescent="0.25">
      <c r="A101" s="14">
        <v>44013</v>
      </c>
      <c r="B101">
        <v>167.2</v>
      </c>
      <c r="C101">
        <v>164.4</v>
      </c>
      <c r="E101" s="7">
        <v>164.4</v>
      </c>
      <c r="F101" s="7">
        <v>170.2</v>
      </c>
      <c r="G101" s="65">
        <v>1</v>
      </c>
      <c r="H101" s="65">
        <v>1</v>
      </c>
      <c r="I101" s="7" t="e">
        <v>#N/A</v>
      </c>
      <c r="J101" s="7" t="e">
        <v>#N/A</v>
      </c>
      <c r="K101" s="7" t="e">
        <v>#N/A</v>
      </c>
      <c r="M101" s="9">
        <f t="shared" si="1"/>
        <v>0</v>
      </c>
    </row>
    <row r="102" spans="1:13" x14ac:dyDescent="0.25">
      <c r="A102" s="14">
        <v>44105</v>
      </c>
      <c r="B102">
        <v>170.1</v>
      </c>
      <c r="C102">
        <v>169.5</v>
      </c>
      <c r="E102" s="7">
        <v>169.6</v>
      </c>
      <c r="F102" s="7">
        <v>171.7</v>
      </c>
      <c r="G102" s="65">
        <v>1</v>
      </c>
      <c r="H102" s="65">
        <v>1</v>
      </c>
      <c r="I102" s="7" t="e">
        <v>#N/A</v>
      </c>
      <c r="J102" s="7" t="e">
        <v>#N/A</v>
      </c>
      <c r="K102" s="7" t="e">
        <v>#N/A</v>
      </c>
      <c r="M102" s="9">
        <f t="shared" si="1"/>
        <v>5.8997050147489274E-4</v>
      </c>
    </row>
    <row r="103" spans="1:13" x14ac:dyDescent="0.25">
      <c r="A103" s="14">
        <v>44197</v>
      </c>
      <c r="B103">
        <v>169</v>
      </c>
      <c r="C103">
        <v>171.8</v>
      </c>
      <c r="E103" s="7">
        <v>171.8</v>
      </c>
      <c r="F103" s="7">
        <v>172.2</v>
      </c>
      <c r="G103" s="65">
        <v>1</v>
      </c>
      <c r="H103" s="65">
        <v>1</v>
      </c>
      <c r="I103" s="7" t="e">
        <v>#N/A</v>
      </c>
      <c r="J103" s="7" t="e">
        <v>#N/A</v>
      </c>
      <c r="K103" s="7" t="e">
        <v>#N/A</v>
      </c>
      <c r="M103" s="9">
        <f t="shared" si="1"/>
        <v>0</v>
      </c>
    </row>
    <row r="104" spans="1:13" x14ac:dyDescent="0.25">
      <c r="A104" s="14">
        <v>44287</v>
      </c>
      <c r="B104">
        <v>170.3</v>
      </c>
      <c r="C104">
        <v>171.2</v>
      </c>
      <c r="E104" s="7">
        <v>171.2</v>
      </c>
      <c r="F104" s="7">
        <v>171.7</v>
      </c>
      <c r="G104" s="65">
        <v>1</v>
      </c>
      <c r="H104" s="65">
        <v>1</v>
      </c>
      <c r="I104" s="7" t="e">
        <v>#N/A</v>
      </c>
      <c r="J104" s="7" t="e">
        <v>#N/A</v>
      </c>
      <c r="K104" s="7" t="e">
        <v>#N/A</v>
      </c>
      <c r="M104" s="9">
        <f t="shared" si="1"/>
        <v>0</v>
      </c>
    </row>
    <row r="105" spans="1:13" x14ac:dyDescent="0.25">
      <c r="A105" s="14">
        <v>44378</v>
      </c>
      <c r="B105">
        <v>173.9</v>
      </c>
      <c r="C105">
        <v>171.1</v>
      </c>
      <c r="E105" s="7">
        <v>171</v>
      </c>
      <c r="F105" s="7">
        <v>171.2</v>
      </c>
      <c r="G105" s="65">
        <v>1</v>
      </c>
      <c r="H105" s="65">
        <v>1</v>
      </c>
      <c r="I105" s="7" t="e">
        <v>#N/A</v>
      </c>
      <c r="J105" s="7" t="e">
        <v>#N/A</v>
      </c>
      <c r="K105" s="7" t="e">
        <v>#N/A</v>
      </c>
      <c r="M105" s="9">
        <f t="shared" si="1"/>
        <v>-5.8445353594385925E-4</v>
      </c>
    </row>
    <row r="106" spans="1:13" x14ac:dyDescent="0.25">
      <c r="A106" s="1"/>
    </row>
    <row r="107" spans="1:13" x14ac:dyDescent="0.25">
      <c r="A107" s="1"/>
    </row>
    <row r="108" spans="1:13" x14ac:dyDescent="0.25">
      <c r="A108" s="1"/>
    </row>
    <row r="109" spans="1:13" x14ac:dyDescent="0.25">
      <c r="A109" s="1"/>
    </row>
    <row r="110" spans="1:13" x14ac:dyDescent="0.25">
      <c r="A110" s="1"/>
    </row>
    <row r="111" spans="1:13" x14ac:dyDescent="0.25">
      <c r="A111" s="1"/>
    </row>
    <row r="112" spans="1:13" x14ac:dyDescent="0.25">
      <c r="A112" s="1"/>
    </row>
    <row r="113" spans="1:1" x14ac:dyDescent="0.25">
      <c r="A113" s="1"/>
    </row>
    <row r="114" spans="1:1" x14ac:dyDescent="0.25">
      <c r="A114" s="1"/>
    </row>
    <row r="115" spans="1:1" x14ac:dyDescent="0.25">
      <c r="A115" s="1"/>
    </row>
    <row r="116" spans="1:1" x14ac:dyDescent="0.25">
      <c r="A116" s="1"/>
    </row>
    <row r="117" spans="1:1" x14ac:dyDescent="0.25">
      <c r="A117" s="1"/>
    </row>
    <row r="118" spans="1:1" x14ac:dyDescent="0.25">
      <c r="A118" s="1"/>
    </row>
    <row r="119" spans="1:1" x14ac:dyDescent="0.25">
      <c r="A119" s="1"/>
    </row>
    <row r="120" spans="1:1" x14ac:dyDescent="0.25">
      <c r="A120" s="1"/>
    </row>
    <row r="121" spans="1:1" x14ac:dyDescent="0.25">
      <c r="A121" s="1"/>
    </row>
    <row r="122" spans="1:1" x14ac:dyDescent="0.25">
      <c r="A122" s="1"/>
    </row>
    <row r="123" spans="1:1" x14ac:dyDescent="0.25">
      <c r="A123" s="1"/>
    </row>
    <row r="124" spans="1:1" x14ac:dyDescent="0.25">
      <c r="A124" s="1"/>
    </row>
    <row r="125" spans="1:1" x14ac:dyDescent="0.25">
      <c r="A125" s="1"/>
    </row>
    <row r="126" spans="1:1" x14ac:dyDescent="0.25">
      <c r="A126" s="1"/>
    </row>
    <row r="127" spans="1:1" x14ac:dyDescent="0.25">
      <c r="A127" s="1"/>
    </row>
    <row r="128" spans="1:1" x14ac:dyDescent="0.25">
      <c r="A128" s="1"/>
    </row>
    <row r="129" spans="1:1" x14ac:dyDescent="0.25">
      <c r="A129" s="1"/>
    </row>
    <row r="130" spans="1:1" x14ac:dyDescent="0.25">
      <c r="A130" s="1"/>
    </row>
    <row r="131" spans="1:1" x14ac:dyDescent="0.25">
      <c r="A131" s="1"/>
    </row>
    <row r="132" spans="1:1" x14ac:dyDescent="0.25">
      <c r="A132" s="1"/>
    </row>
    <row r="133" spans="1:1" x14ac:dyDescent="0.25">
      <c r="A133" s="1"/>
    </row>
    <row r="134" spans="1:1" x14ac:dyDescent="0.25">
      <c r="A134" s="1"/>
    </row>
    <row r="135" spans="1:1" x14ac:dyDescent="0.25">
      <c r="A135" s="1"/>
    </row>
    <row r="136" spans="1:1" x14ac:dyDescent="0.25">
      <c r="A136" s="1"/>
    </row>
    <row r="137" spans="1:1" x14ac:dyDescent="0.25">
      <c r="A137" s="1"/>
    </row>
    <row r="138" spans="1:1" x14ac:dyDescent="0.25">
      <c r="A138" s="1"/>
    </row>
    <row r="139" spans="1:1" x14ac:dyDescent="0.25">
      <c r="A139" s="1"/>
    </row>
    <row r="140" spans="1:1" x14ac:dyDescent="0.25">
      <c r="A140" s="1"/>
    </row>
    <row r="141" spans="1:1" x14ac:dyDescent="0.25">
      <c r="A141" s="1"/>
    </row>
    <row r="142" spans="1:1" x14ac:dyDescent="0.25">
      <c r="A142" s="1"/>
    </row>
    <row r="143" spans="1:1" x14ac:dyDescent="0.25">
      <c r="A143" s="1"/>
    </row>
    <row r="144" spans="1:1" x14ac:dyDescent="0.25">
      <c r="A144" s="1"/>
    </row>
    <row r="145" spans="1:1" x14ac:dyDescent="0.25">
      <c r="A145" s="1"/>
    </row>
    <row r="146" spans="1:1" x14ac:dyDescent="0.25">
      <c r="A146" s="1"/>
    </row>
    <row r="147" spans="1:1" x14ac:dyDescent="0.25">
      <c r="A147" s="1"/>
    </row>
    <row r="148" spans="1:1" x14ac:dyDescent="0.25">
      <c r="A148" s="1"/>
    </row>
    <row r="149" spans="1:1" x14ac:dyDescent="0.25">
      <c r="A149" s="1"/>
    </row>
    <row r="150" spans="1:1" x14ac:dyDescent="0.25">
      <c r="A150" s="1"/>
    </row>
    <row r="151" spans="1:1" x14ac:dyDescent="0.25">
      <c r="A151" s="1"/>
    </row>
    <row r="152" spans="1:1" x14ac:dyDescent="0.25">
      <c r="A152" s="1"/>
    </row>
    <row r="153" spans="1:1" x14ac:dyDescent="0.25">
      <c r="A153" s="1"/>
    </row>
    <row r="154" spans="1:1" x14ac:dyDescent="0.25">
      <c r="A154" s="1"/>
    </row>
    <row r="155" spans="1:1" x14ac:dyDescent="0.25">
      <c r="A155" s="1"/>
    </row>
    <row r="156" spans="1:1" x14ac:dyDescent="0.25">
      <c r="A156" s="1"/>
    </row>
    <row r="157" spans="1:1" x14ac:dyDescent="0.25">
      <c r="A157" s="1"/>
    </row>
    <row r="158" spans="1:1" x14ac:dyDescent="0.25">
      <c r="A158" s="1"/>
    </row>
    <row r="159" spans="1:1" x14ac:dyDescent="0.25">
      <c r="A159" s="1"/>
    </row>
    <row r="160" spans="1:1" x14ac:dyDescent="0.25">
      <c r="A160" s="1"/>
    </row>
    <row r="161" spans="1:1" x14ac:dyDescent="0.25">
      <c r="A161" s="1"/>
    </row>
    <row r="162" spans="1:1" x14ac:dyDescent="0.25">
      <c r="A162" s="1"/>
    </row>
    <row r="163" spans="1:1" x14ac:dyDescent="0.25">
      <c r="A163" s="1"/>
    </row>
    <row r="164" spans="1:1" x14ac:dyDescent="0.25">
      <c r="A164" s="1"/>
    </row>
    <row r="165" spans="1:1" x14ac:dyDescent="0.25">
      <c r="A165" s="1"/>
    </row>
    <row r="166" spans="1:1" x14ac:dyDescent="0.25">
      <c r="A166" s="1"/>
    </row>
    <row r="167" spans="1:1" x14ac:dyDescent="0.25">
      <c r="A167" s="1"/>
    </row>
    <row r="168" spans="1:1" x14ac:dyDescent="0.25">
      <c r="A168" s="1"/>
    </row>
    <row r="169" spans="1:1" x14ac:dyDescent="0.25">
      <c r="A169" s="1"/>
    </row>
    <row r="170" spans="1:1" x14ac:dyDescent="0.25">
      <c r="A170" s="1"/>
    </row>
    <row r="171" spans="1:1" x14ac:dyDescent="0.25">
      <c r="A171" s="1"/>
    </row>
    <row r="172" spans="1:1" x14ac:dyDescent="0.25">
      <c r="A172" s="1"/>
    </row>
    <row r="173" spans="1:1" x14ac:dyDescent="0.25">
      <c r="A173" s="1"/>
    </row>
    <row r="174" spans="1:1" x14ac:dyDescent="0.25">
      <c r="A174" s="1"/>
    </row>
    <row r="175" spans="1:1" x14ac:dyDescent="0.25">
      <c r="A175" s="1"/>
    </row>
    <row r="176" spans="1:1" x14ac:dyDescent="0.25">
      <c r="A176" s="1"/>
    </row>
    <row r="177" spans="1:1" x14ac:dyDescent="0.25">
      <c r="A177" s="1"/>
    </row>
    <row r="178" spans="1:1" x14ac:dyDescent="0.25">
      <c r="A178" s="1"/>
    </row>
    <row r="179" spans="1:1" x14ac:dyDescent="0.25">
      <c r="A179" s="1"/>
    </row>
    <row r="180" spans="1:1" x14ac:dyDescent="0.25">
      <c r="A180" s="1"/>
    </row>
    <row r="181" spans="1:1" x14ac:dyDescent="0.25">
      <c r="A181" s="1"/>
    </row>
    <row r="182" spans="1:1" x14ac:dyDescent="0.25">
      <c r="A182" s="1"/>
    </row>
    <row r="183" spans="1:1" x14ac:dyDescent="0.25">
      <c r="A183" s="1"/>
    </row>
    <row r="184" spans="1:1" x14ac:dyDescent="0.25">
      <c r="A184" s="1"/>
    </row>
    <row r="185" spans="1:1" x14ac:dyDescent="0.25">
      <c r="A185" s="1"/>
    </row>
    <row r="186" spans="1:1" x14ac:dyDescent="0.25">
      <c r="A186" s="1"/>
    </row>
    <row r="187" spans="1:1" x14ac:dyDescent="0.25">
      <c r="A187" s="1"/>
    </row>
    <row r="188" spans="1:1" x14ac:dyDescent="0.25">
      <c r="A188" s="1"/>
    </row>
    <row r="189" spans="1:1" x14ac:dyDescent="0.25">
      <c r="A189" s="1"/>
    </row>
    <row r="190" spans="1:1" x14ac:dyDescent="0.25">
      <c r="A190" s="1"/>
    </row>
    <row r="191" spans="1:1" x14ac:dyDescent="0.25">
      <c r="A191" s="1"/>
    </row>
    <row r="192" spans="1:1" x14ac:dyDescent="0.25">
      <c r="A192" s="1"/>
    </row>
    <row r="193" spans="1:1" x14ac:dyDescent="0.25">
      <c r="A193" s="1"/>
    </row>
    <row r="194" spans="1:1" x14ac:dyDescent="0.25">
      <c r="A194" s="1"/>
    </row>
    <row r="195" spans="1:1" x14ac:dyDescent="0.25">
      <c r="A195" s="1"/>
    </row>
    <row r="196" spans="1:1" x14ac:dyDescent="0.25">
      <c r="A196" s="1"/>
    </row>
    <row r="197" spans="1:1" x14ac:dyDescent="0.25">
      <c r="A197" s="1"/>
    </row>
    <row r="198" spans="1:1" x14ac:dyDescent="0.25">
      <c r="A198" s="1"/>
    </row>
    <row r="199" spans="1:1" x14ac:dyDescent="0.25">
      <c r="A199" s="1"/>
    </row>
    <row r="200" spans="1:1" x14ac:dyDescent="0.25">
      <c r="A200" s="1"/>
    </row>
    <row r="201" spans="1:1" x14ac:dyDescent="0.25">
      <c r="A201" s="1"/>
    </row>
    <row r="202" spans="1:1" x14ac:dyDescent="0.25">
      <c r="A202" s="1"/>
    </row>
    <row r="203" spans="1:1" x14ac:dyDescent="0.25">
      <c r="A203" s="1"/>
    </row>
    <row r="204" spans="1:1" x14ac:dyDescent="0.25">
      <c r="A204" s="1"/>
    </row>
    <row r="205" spans="1:1" x14ac:dyDescent="0.25">
      <c r="A205" s="1"/>
    </row>
    <row r="206" spans="1:1" x14ac:dyDescent="0.25">
      <c r="A206" s="1"/>
    </row>
    <row r="207" spans="1:1" x14ac:dyDescent="0.25">
      <c r="A207" s="1"/>
    </row>
    <row r="208" spans="1:1" x14ac:dyDescent="0.25">
      <c r="A208" s="1"/>
    </row>
    <row r="209" spans="1:1" x14ac:dyDescent="0.25">
      <c r="A209" s="1"/>
    </row>
    <row r="210" spans="1:1" x14ac:dyDescent="0.25">
      <c r="A210" s="1"/>
    </row>
    <row r="211" spans="1:1" x14ac:dyDescent="0.25">
      <c r="A211" s="1"/>
    </row>
    <row r="212" spans="1:1" x14ac:dyDescent="0.25">
      <c r="A212" s="1"/>
    </row>
    <row r="213" spans="1:1" x14ac:dyDescent="0.25">
      <c r="A213" s="1"/>
    </row>
    <row r="214" spans="1:1" x14ac:dyDescent="0.25">
      <c r="A214" s="1"/>
    </row>
    <row r="215" spans="1:1" x14ac:dyDescent="0.25">
      <c r="A215" s="1"/>
    </row>
    <row r="216" spans="1:1" x14ac:dyDescent="0.25">
      <c r="A216" s="1"/>
    </row>
    <row r="217" spans="1:1" x14ac:dyDescent="0.25">
      <c r="A217" s="1"/>
    </row>
    <row r="218" spans="1:1" x14ac:dyDescent="0.25">
      <c r="A218" s="1"/>
    </row>
    <row r="219" spans="1:1" x14ac:dyDescent="0.25">
      <c r="A219" s="1"/>
    </row>
    <row r="220" spans="1:1" x14ac:dyDescent="0.25">
      <c r="A220" s="1"/>
    </row>
    <row r="221" spans="1:1" x14ac:dyDescent="0.25">
      <c r="A221" s="1"/>
    </row>
    <row r="222" spans="1:1" x14ac:dyDescent="0.25">
      <c r="A222" s="1"/>
    </row>
    <row r="223" spans="1:1" x14ac:dyDescent="0.25">
      <c r="A223" s="1"/>
    </row>
    <row r="224" spans="1:1" x14ac:dyDescent="0.25">
      <c r="A224" s="1"/>
    </row>
    <row r="225" spans="1:1" x14ac:dyDescent="0.25">
      <c r="A225" s="1"/>
    </row>
    <row r="226" spans="1:1" x14ac:dyDescent="0.25">
      <c r="A226" s="1"/>
    </row>
    <row r="227" spans="1:1" x14ac:dyDescent="0.25">
      <c r="A227" s="1"/>
    </row>
    <row r="228" spans="1:1" x14ac:dyDescent="0.25">
      <c r="A228" s="1"/>
    </row>
    <row r="229" spans="1:1" x14ac:dyDescent="0.25">
      <c r="A229" s="1"/>
    </row>
    <row r="230" spans="1:1" x14ac:dyDescent="0.25">
      <c r="A230" s="1"/>
    </row>
    <row r="231" spans="1:1" x14ac:dyDescent="0.25">
      <c r="A231" s="1"/>
    </row>
    <row r="232" spans="1:1" x14ac:dyDescent="0.25">
      <c r="A232" s="1"/>
    </row>
    <row r="233" spans="1:1" x14ac:dyDescent="0.25">
      <c r="A233" s="1"/>
    </row>
    <row r="234" spans="1:1" x14ac:dyDescent="0.25">
      <c r="A234" s="1"/>
    </row>
    <row r="235" spans="1:1" x14ac:dyDescent="0.25">
      <c r="A235" s="1"/>
    </row>
    <row r="236" spans="1:1" x14ac:dyDescent="0.25">
      <c r="A236" s="1"/>
    </row>
    <row r="237" spans="1:1" x14ac:dyDescent="0.25">
      <c r="A237" s="1"/>
    </row>
    <row r="238" spans="1:1" x14ac:dyDescent="0.25">
      <c r="A238" s="1"/>
    </row>
    <row r="239" spans="1:1" x14ac:dyDescent="0.25">
      <c r="A239" s="1"/>
    </row>
    <row r="240" spans="1:1" x14ac:dyDescent="0.25">
      <c r="A240" s="1"/>
    </row>
    <row r="241" spans="1:1" x14ac:dyDescent="0.25">
      <c r="A241" s="1"/>
    </row>
    <row r="242" spans="1:1" x14ac:dyDescent="0.25">
      <c r="A242" s="1"/>
    </row>
    <row r="243" spans="1:1" x14ac:dyDescent="0.25">
      <c r="A243" s="1"/>
    </row>
    <row r="244" spans="1:1" x14ac:dyDescent="0.25">
      <c r="A244" s="1"/>
    </row>
    <row r="245" spans="1:1" x14ac:dyDescent="0.25">
      <c r="A245" s="1"/>
    </row>
    <row r="246" spans="1:1" x14ac:dyDescent="0.25">
      <c r="A246" s="1"/>
    </row>
  </sheetData>
  <pageMargins left="0.511811024" right="0.511811024" top="0.78740157499999996" bottom="0.78740157499999996" header="0.31496062000000002" footer="0.31496062000000002"/>
  <drawing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289D9BA-DC1A-4E6C-A2A9-DDCBF66C6E6E}">
  <sheetPr codeName="Planilha5"/>
  <dimension ref="A1:AN246"/>
  <sheetViews>
    <sheetView zoomScaleNormal="100" workbookViewId="0">
      <selection activeCell="E3" sqref="E3"/>
    </sheetView>
  </sheetViews>
  <sheetFormatPr defaultRowHeight="15" x14ac:dyDescent="0.25"/>
  <cols>
    <col min="1" max="1" width="11.85546875" bestFit="1" customWidth="1"/>
    <col min="2" max="3" width="15.140625" bestFit="1" customWidth="1"/>
    <col min="4" max="4" width="5.140625" customWidth="1"/>
    <col min="5" max="6" width="12.28515625" bestFit="1" customWidth="1"/>
    <col min="7" max="7" width="6.28515625" bestFit="1" customWidth="1"/>
    <col min="13" max="13" width="5.5703125" customWidth="1"/>
    <col min="14" max="14" width="12.140625" bestFit="1" customWidth="1"/>
    <col min="15" max="15" width="11" bestFit="1" customWidth="1"/>
    <col min="16" max="16" width="5.5703125" customWidth="1"/>
    <col min="17" max="17" width="10.42578125" bestFit="1" customWidth="1"/>
  </cols>
  <sheetData>
    <row r="1" spans="1:40" x14ac:dyDescent="0.25">
      <c r="A1" s="12" t="s">
        <v>17</v>
      </c>
      <c r="E1" s="12" t="s">
        <v>18</v>
      </c>
      <c r="F1" s="12"/>
      <c r="G1" s="12"/>
      <c r="AB1" s="12" t="s">
        <v>24</v>
      </c>
    </row>
    <row r="2" spans="1:40" x14ac:dyDescent="0.25">
      <c r="A2" s="13" t="s">
        <v>9</v>
      </c>
      <c r="B2" s="13" t="s">
        <v>1</v>
      </c>
      <c r="C2" s="13" t="s">
        <v>19</v>
      </c>
      <c r="E2" s="13" t="s">
        <v>7</v>
      </c>
      <c r="F2" s="13" t="s">
        <v>25</v>
      </c>
      <c r="G2" s="13" t="s">
        <v>26</v>
      </c>
      <c r="H2" s="13" t="s">
        <v>125</v>
      </c>
      <c r="I2" s="13" t="s">
        <v>126</v>
      </c>
      <c r="J2" s="13" t="s">
        <v>87</v>
      </c>
      <c r="K2" s="13" t="s">
        <v>30</v>
      </c>
      <c r="L2" s="13" t="s">
        <v>88</v>
      </c>
      <c r="N2" s="13" t="s">
        <v>127</v>
      </c>
      <c r="O2" s="13" t="s">
        <v>128</v>
      </c>
      <c r="Q2" s="13" t="s">
        <v>21</v>
      </c>
      <c r="AB2" t="str" cm="1">
        <f t="array" ref="AB2:AN21">xlDESSAZ_SeasonalPlot(A3:A222,G3:G222, 12)</f>
        <v/>
      </c>
      <c r="AC2">
        <v>1</v>
      </c>
      <c r="AD2">
        <v>2</v>
      </c>
      <c r="AE2">
        <v>3</v>
      </c>
      <c r="AF2">
        <v>4</v>
      </c>
      <c r="AG2">
        <v>5</v>
      </c>
      <c r="AH2">
        <v>6</v>
      </c>
      <c r="AI2">
        <v>7</v>
      </c>
      <c r="AJ2">
        <v>8</v>
      </c>
      <c r="AK2">
        <v>9</v>
      </c>
      <c r="AL2">
        <v>10</v>
      </c>
      <c r="AM2">
        <v>11</v>
      </c>
      <c r="AN2">
        <v>12</v>
      </c>
    </row>
    <row r="3" spans="1:40" x14ac:dyDescent="0.25">
      <c r="A3" s="14">
        <v>37622</v>
      </c>
      <c r="B3" s="20">
        <v>96.15</v>
      </c>
      <c r="C3" s="7">
        <v>100.5</v>
      </c>
      <c r="E3" s="22" cm="1">
        <f t="array" ref="E3:L222">xlDESSAZ($A$3:$A$222,$B$3:$B$222,$E$2:$L$2,,,Specs!$B$3)</f>
        <v>100.498050423983</v>
      </c>
      <c r="F3" s="21">
        <v>102.22713168814199</v>
      </c>
      <c r="G3" s="20">
        <v>0.98308588693035803</v>
      </c>
      <c r="H3" s="66">
        <v>0.95164110708838301</v>
      </c>
      <c r="I3" s="66">
        <v>1.00535272201084</v>
      </c>
      <c r="J3" s="7">
        <v>135.32013103330601</v>
      </c>
      <c r="K3" s="7">
        <v>137.65422447749901</v>
      </c>
      <c r="L3" s="7">
        <v>140.028577949262</v>
      </c>
      <c r="M3" s="65"/>
      <c r="N3" s="7">
        <f>F3*G3*H3*I3</f>
        <v>96.149999999999892</v>
      </c>
      <c r="O3" s="7">
        <f>G3*F3</f>
        <v>100.49805042398359</v>
      </c>
      <c r="P3" s="65"/>
      <c r="Q3" s="9">
        <f t="shared" ref="Q3:Q67" si="0">(E3-C3)/C3</f>
        <v>-1.9398766338282704E-5</v>
      </c>
      <c r="AB3">
        <v>2003</v>
      </c>
      <c r="AC3">
        <v>0.98308588693035803</v>
      </c>
      <c r="AD3">
        <v>1.0014189192770999</v>
      </c>
      <c r="AE3">
        <v>1.0031676302757899</v>
      </c>
      <c r="AF3">
        <v>0.99998927040299501</v>
      </c>
      <c r="AG3">
        <v>0.99405222192248499</v>
      </c>
      <c r="AH3">
        <v>1.0037518869942099</v>
      </c>
      <c r="AI3">
        <v>0.99083615511286405</v>
      </c>
      <c r="AJ3">
        <v>0.99313282519115598</v>
      </c>
      <c r="AK3">
        <v>1.0085771919323601</v>
      </c>
      <c r="AL3">
        <v>1.0034866072897599</v>
      </c>
      <c r="AM3">
        <v>0.99867252630666903</v>
      </c>
      <c r="AN3">
        <v>0.98881167694323902</v>
      </c>
    </row>
    <row r="4" spans="1:40" x14ac:dyDescent="0.25">
      <c r="A4" s="14">
        <v>37653</v>
      </c>
      <c r="B4" s="20">
        <v>98.67</v>
      </c>
      <c r="C4" s="7">
        <v>102</v>
      </c>
      <c r="E4" s="22">
        <v>102.003989431153</v>
      </c>
      <c r="F4" s="21">
        <v>101.859459081107</v>
      </c>
      <c r="G4" s="20">
        <v>1.0014189192770999</v>
      </c>
      <c r="H4" s="66">
        <v>0.95393690907347695</v>
      </c>
      <c r="I4" s="66">
        <v>1.0140241962329299</v>
      </c>
      <c r="J4" s="7">
        <v>134.46314638468601</v>
      </c>
      <c r="K4" s="7">
        <v>138.03953678180901</v>
      </c>
      <c r="L4" s="7">
        <v>141.71105040500899</v>
      </c>
      <c r="N4" s="7">
        <f t="shared" ref="N4:N67" si="1">F4*G4*H4*I4</f>
        <v>98.66999999999986</v>
      </c>
      <c r="O4" s="7">
        <f t="shared" ref="O4:O67" si="2">G4*F4</f>
        <v>102.00398943115216</v>
      </c>
      <c r="Q4" s="9">
        <f t="shared" si="0"/>
        <v>3.9112070127470468E-5</v>
      </c>
      <c r="AB4">
        <v>2004</v>
      </c>
      <c r="AC4">
        <v>1.0002121096414101</v>
      </c>
      <c r="AD4">
        <v>0.998849059790338</v>
      </c>
      <c r="AE4">
        <v>1.00276874241388</v>
      </c>
      <c r="AF4">
        <v>1.0021081890238199</v>
      </c>
      <c r="AG4">
        <v>0.99615480987198801</v>
      </c>
      <c r="AH4">
        <v>1.0009322218029</v>
      </c>
      <c r="AI4">
        <v>1.0000728223855</v>
      </c>
      <c r="AJ4">
        <v>0.99785166203047204</v>
      </c>
      <c r="AK4">
        <v>1.00489445811318</v>
      </c>
      <c r="AL4">
        <v>0.99637913332413097</v>
      </c>
      <c r="AM4">
        <v>1.00414994919069</v>
      </c>
      <c r="AN4">
        <v>0.99510115703037205</v>
      </c>
    </row>
    <row r="5" spans="1:40" x14ac:dyDescent="0.25">
      <c r="A5" s="14">
        <v>37681</v>
      </c>
      <c r="B5" s="20">
        <v>103.41</v>
      </c>
      <c r="C5" s="7">
        <v>101.77</v>
      </c>
      <c r="E5" s="22">
        <v>101.76529100051</v>
      </c>
      <c r="F5" s="21">
        <v>101.443954060333</v>
      </c>
      <c r="G5" s="20">
        <v>1.0031676302757899</v>
      </c>
      <c r="H5" s="66">
        <v>1.0428553505115199</v>
      </c>
      <c r="I5" s="66">
        <v>0.974403388655672</v>
      </c>
      <c r="J5" s="7">
        <v>141.61653637796499</v>
      </c>
      <c r="K5" s="7">
        <v>146.240473123041</v>
      </c>
      <c r="L5" s="7">
        <v>151.01538652359301</v>
      </c>
      <c r="N5" s="7">
        <f t="shared" si="1"/>
        <v>103.41000000000055</v>
      </c>
      <c r="O5" s="7">
        <f t="shared" si="2"/>
        <v>101.76529100051035</v>
      </c>
      <c r="Q5" s="9">
        <f t="shared" si="0"/>
        <v>-4.6270998231227654E-5</v>
      </c>
      <c r="AB5">
        <v>2005</v>
      </c>
      <c r="AC5">
        <v>1.00077236927348</v>
      </c>
      <c r="AD5">
        <v>1.0010887059270399</v>
      </c>
      <c r="AE5">
        <v>0.99852355975653895</v>
      </c>
      <c r="AF5">
        <v>1.00179562716521</v>
      </c>
      <c r="AG5">
        <v>1.0011899107868401</v>
      </c>
      <c r="AH5">
        <v>0.99877662406696099</v>
      </c>
      <c r="AI5">
        <v>0.99789680180818296</v>
      </c>
      <c r="AJ5">
        <v>1.0034691867140599</v>
      </c>
      <c r="AK5">
        <v>0.99903714069757898</v>
      </c>
      <c r="AL5">
        <v>0.99795799284563402</v>
      </c>
      <c r="AM5">
        <v>1.0004118547648599</v>
      </c>
      <c r="AN5">
        <v>1.00004127662251</v>
      </c>
    </row>
    <row r="6" spans="1:40" x14ac:dyDescent="0.25">
      <c r="A6" s="14">
        <v>37712</v>
      </c>
      <c r="B6" s="20">
        <v>102.19</v>
      </c>
      <c r="C6" s="7">
        <v>100.94</v>
      </c>
      <c r="E6" s="22">
        <v>100.938417368765</v>
      </c>
      <c r="F6" s="21">
        <v>100.939500408927</v>
      </c>
      <c r="G6" s="20">
        <v>0.99998927040299501</v>
      </c>
      <c r="H6" s="66">
        <v>1.01026216665114</v>
      </c>
      <c r="I6" s="66">
        <v>1.00211559036316</v>
      </c>
      <c r="J6" s="7">
        <v>141.85466839879899</v>
      </c>
      <c r="K6" s="7">
        <v>147.224536540016</v>
      </c>
      <c r="L6" s="7">
        <v>152.79767951299999</v>
      </c>
      <c r="N6" s="7">
        <f t="shared" si="1"/>
        <v>102.19000000000018</v>
      </c>
      <c r="O6" s="7">
        <f t="shared" si="2"/>
        <v>100.93841736876573</v>
      </c>
      <c r="Q6" s="9">
        <f t="shared" si="0"/>
        <v>-1.5678930404158923E-5</v>
      </c>
      <c r="AB6">
        <v>2006</v>
      </c>
      <c r="AC6">
        <v>1.0050349529443601</v>
      </c>
      <c r="AD6">
        <v>1.00197607074146</v>
      </c>
      <c r="AE6">
        <v>0.99713170067049095</v>
      </c>
      <c r="AF6">
        <v>1.00022560771036</v>
      </c>
      <c r="AG6">
        <v>1.0082705358500601</v>
      </c>
      <c r="AH6">
        <v>0.99527323934927103</v>
      </c>
      <c r="AI6">
        <v>1.0085009041169799</v>
      </c>
      <c r="AJ6">
        <v>1.0005386794457101</v>
      </c>
      <c r="AK6">
        <v>0.99627408861436895</v>
      </c>
      <c r="AL6">
        <v>1.00036085977973</v>
      </c>
      <c r="AM6">
        <v>1.0004311079694901</v>
      </c>
      <c r="AN6">
        <v>1.0032029140015599</v>
      </c>
    </row>
    <row r="7" spans="1:40" x14ac:dyDescent="0.25">
      <c r="A7" s="14">
        <v>37742</v>
      </c>
      <c r="B7" s="20">
        <v>100.3</v>
      </c>
      <c r="C7" s="7">
        <v>99.8</v>
      </c>
      <c r="E7" s="22">
        <v>99.795972897947905</v>
      </c>
      <c r="F7" s="21">
        <v>100.393088710112</v>
      </c>
      <c r="G7" s="20">
        <v>0.99405222192248499</v>
      </c>
      <c r="H7" s="66">
        <v>1.00222421439686</v>
      </c>
      <c r="I7" s="66">
        <v>1.00282008868477</v>
      </c>
      <c r="J7" s="7">
        <v>140.073132024942</v>
      </c>
      <c r="K7" s="7">
        <v>146.07616419121399</v>
      </c>
      <c r="L7" s="7">
        <v>152.33646479054099</v>
      </c>
      <c r="N7" s="7">
        <f t="shared" si="1"/>
        <v>100.30000000000037</v>
      </c>
      <c r="O7" s="7">
        <f t="shared" si="2"/>
        <v>99.795972897947976</v>
      </c>
      <c r="Q7" s="9">
        <f t="shared" si="0"/>
        <v>-4.0351723968856626E-5</v>
      </c>
      <c r="AB7">
        <v>2007</v>
      </c>
      <c r="AC7">
        <v>0.99853071082528599</v>
      </c>
      <c r="AD7">
        <v>0.99994209631429298</v>
      </c>
      <c r="AE7">
        <v>0.98941247083508899</v>
      </c>
      <c r="AF7">
        <v>0.99793585009563701</v>
      </c>
      <c r="AG7">
        <v>1.0003555579066901</v>
      </c>
      <c r="AH7">
        <v>1.0018104426577299</v>
      </c>
      <c r="AI7">
        <v>1.00201854280987</v>
      </c>
      <c r="AJ7">
        <v>0.99637019221874001</v>
      </c>
      <c r="AK7">
        <v>0.99978515349740105</v>
      </c>
      <c r="AL7">
        <v>1.0028141808474</v>
      </c>
      <c r="AM7">
        <v>0.99781625908277005</v>
      </c>
      <c r="AN7">
        <v>1.00068901641885</v>
      </c>
    </row>
    <row r="8" spans="1:40" x14ac:dyDescent="0.25">
      <c r="A8" s="14">
        <v>37773</v>
      </c>
      <c r="B8" s="20">
        <v>98.58</v>
      </c>
      <c r="C8" s="7">
        <v>100.39</v>
      </c>
      <c r="E8" s="22">
        <v>100.39422086085401</v>
      </c>
      <c r="F8" s="21">
        <v>100.01896102182199</v>
      </c>
      <c r="G8" s="20">
        <v>1.0037518869942099</v>
      </c>
      <c r="H8" s="66">
        <v>0.99331508048780304</v>
      </c>
      <c r="I8" s="66">
        <v>0.98853732336281297</v>
      </c>
      <c r="J8" s="7">
        <v>140.121326449381</v>
      </c>
      <c r="K8" s="7">
        <v>146.709509975418</v>
      </c>
      <c r="L8" s="7">
        <v>153.607454786711</v>
      </c>
      <c r="N8" s="7">
        <f t="shared" si="1"/>
        <v>98.580000000000496</v>
      </c>
      <c r="O8" s="7">
        <f t="shared" si="2"/>
        <v>100.39422086085416</v>
      </c>
      <c r="Q8" s="9">
        <f t="shared" si="0"/>
        <v>4.2044634465634842E-5</v>
      </c>
      <c r="AB8">
        <v>2008</v>
      </c>
      <c r="AC8">
        <v>1.00287181097293</v>
      </c>
      <c r="AD8">
        <v>0.99954507384685398</v>
      </c>
      <c r="AE8">
        <v>0.99285861612556503</v>
      </c>
      <c r="AF8">
        <v>0.99698530260360496</v>
      </c>
      <c r="AG8">
        <v>1.00089859085207</v>
      </c>
      <c r="AH8">
        <v>1.00654748370495</v>
      </c>
      <c r="AI8">
        <v>1.00011040704694</v>
      </c>
      <c r="AJ8">
        <v>0.99887473316960995</v>
      </c>
      <c r="AK8">
        <v>0.99874694098632499</v>
      </c>
      <c r="AL8">
        <v>1.0016004881116001</v>
      </c>
      <c r="AM8">
        <v>0.99724597722106001</v>
      </c>
      <c r="AN8">
        <v>0.96224748730146503</v>
      </c>
    </row>
    <row r="9" spans="1:40" x14ac:dyDescent="0.25">
      <c r="A9" s="14">
        <v>37803</v>
      </c>
      <c r="B9" s="20">
        <v>103.05</v>
      </c>
      <c r="C9" s="7">
        <v>99.12</v>
      </c>
      <c r="E9" s="22">
        <v>99.117415746327097</v>
      </c>
      <c r="F9" s="21">
        <v>100.03411283981301</v>
      </c>
      <c r="G9" s="20">
        <v>0.99083615511286405</v>
      </c>
      <c r="H9" s="66">
        <v>1.0306569170740101</v>
      </c>
      <c r="I9" s="66">
        <v>1.00875082638091</v>
      </c>
      <c r="J9" s="7">
        <v>139.950011238748</v>
      </c>
      <c r="K9" s="7">
        <v>147.07690880443201</v>
      </c>
      <c r="L9" s="7">
        <v>154.56674073833901</v>
      </c>
      <c r="N9" s="7">
        <f t="shared" si="1"/>
        <v>103.04999999999939</v>
      </c>
      <c r="O9" s="7">
        <f t="shared" si="2"/>
        <v>99.117415746326699</v>
      </c>
      <c r="Q9" s="9">
        <f t="shared" si="0"/>
        <v>-2.6071970065650385E-5</v>
      </c>
      <c r="AB9">
        <v>2009</v>
      </c>
      <c r="AC9">
        <v>0.95931032817973105</v>
      </c>
      <c r="AD9">
        <v>0.96761124811302601</v>
      </c>
      <c r="AE9">
        <v>0.97055449426149198</v>
      </c>
      <c r="AF9">
        <v>0.97120751767848701</v>
      </c>
      <c r="AG9">
        <v>0.97708378214910796</v>
      </c>
      <c r="AH9">
        <v>0.98016231353326</v>
      </c>
      <c r="AI9">
        <v>0.97622686896339805</v>
      </c>
      <c r="AJ9">
        <v>0.98385520763413303</v>
      </c>
      <c r="AK9">
        <v>0.98617969670094996</v>
      </c>
      <c r="AL9">
        <v>0.98670649011092004</v>
      </c>
      <c r="AM9">
        <v>0.98445228799726503</v>
      </c>
      <c r="AN9">
        <v>0.98521317184323198</v>
      </c>
    </row>
    <row r="10" spans="1:40" x14ac:dyDescent="0.25">
      <c r="A10" s="14">
        <v>37834</v>
      </c>
      <c r="B10" s="20">
        <v>101.47</v>
      </c>
      <c r="C10" s="7">
        <v>99.72</v>
      </c>
      <c r="E10" s="22">
        <v>99.7177268355194</v>
      </c>
      <c r="F10" s="21">
        <v>100.407240910928</v>
      </c>
      <c r="G10" s="20">
        <v>0.99313282519115598</v>
      </c>
      <c r="H10" s="66">
        <v>1.0269908446939</v>
      </c>
      <c r="I10" s="66">
        <v>0.99082902139240003</v>
      </c>
      <c r="J10" s="7">
        <v>141.45079190732</v>
      </c>
      <c r="K10" s="7">
        <v>149.19642588563801</v>
      </c>
      <c r="L10" s="7">
        <v>157.366199205399</v>
      </c>
      <c r="N10" s="7">
        <f t="shared" si="1"/>
        <v>101.46999999999984</v>
      </c>
      <c r="O10" s="7">
        <f t="shared" si="2"/>
        <v>99.717726835518931</v>
      </c>
      <c r="Q10" s="9">
        <f t="shared" si="0"/>
        <v>-2.2795472127944908E-5</v>
      </c>
      <c r="AB10">
        <v>2010</v>
      </c>
      <c r="AC10">
        <v>0.99007390950899399</v>
      </c>
      <c r="AD10">
        <v>0.99125107173921001</v>
      </c>
      <c r="AE10">
        <v>0.99379519714032205</v>
      </c>
      <c r="AF10">
        <v>0.99521801082058303</v>
      </c>
      <c r="AG10">
        <v>0.99184513949189201</v>
      </c>
      <c r="AH10">
        <v>0.99033553467431501</v>
      </c>
      <c r="AI10">
        <v>0.99375890032576197</v>
      </c>
      <c r="AJ10">
        <v>0.99460157030665097</v>
      </c>
      <c r="AK10">
        <v>1.0006357375592401</v>
      </c>
      <c r="AL10">
        <v>0.99291826677898598</v>
      </c>
      <c r="AM10">
        <v>1.0029165481203399</v>
      </c>
      <c r="AN10">
        <v>0.9861241831009</v>
      </c>
    </row>
    <row r="11" spans="1:40" x14ac:dyDescent="0.25">
      <c r="A11" s="14">
        <v>37865</v>
      </c>
      <c r="B11" s="20">
        <v>102.87</v>
      </c>
      <c r="C11" s="7">
        <v>101.81</v>
      </c>
      <c r="E11" s="22">
        <v>101.811675550701</v>
      </c>
      <c r="F11" s="21">
        <v>100.945843674728</v>
      </c>
      <c r="G11" s="20">
        <v>1.0085771919323601</v>
      </c>
      <c r="H11" s="66">
        <v>0.99708037858350496</v>
      </c>
      <c r="I11" s="66">
        <v>1.0133535308997601</v>
      </c>
      <c r="J11" s="7">
        <v>133.35186387805101</v>
      </c>
      <c r="K11" s="7">
        <v>141.11134294836299</v>
      </c>
      <c r="L11" s="7">
        <v>149.32233063423899</v>
      </c>
      <c r="N11" s="7">
        <f t="shared" si="1"/>
        <v>102.86999999999932</v>
      </c>
      <c r="O11" s="7">
        <f t="shared" si="2"/>
        <v>101.81167555070016</v>
      </c>
      <c r="Q11" s="9">
        <f t="shared" si="0"/>
        <v>1.6457624015270373E-5</v>
      </c>
      <c r="AB11">
        <v>2011</v>
      </c>
      <c r="AC11">
        <v>0.99680156042972201</v>
      </c>
      <c r="AD11">
        <v>0.99914879424630398</v>
      </c>
      <c r="AE11">
        <v>0.99888886586441505</v>
      </c>
      <c r="AF11">
        <v>0.99526724605322603</v>
      </c>
      <c r="AG11">
        <v>0.99684222651613696</v>
      </c>
      <c r="AH11">
        <v>1.0002946106530199</v>
      </c>
      <c r="AI11">
        <v>0.99913084162169796</v>
      </c>
      <c r="AJ11">
        <v>0.99787087125056395</v>
      </c>
      <c r="AK11">
        <v>0.99839930707285096</v>
      </c>
      <c r="AL11">
        <v>0.99973072620197601</v>
      </c>
      <c r="AM11">
        <v>1.0083807331485199</v>
      </c>
      <c r="AN11">
        <v>0.99715160548423398</v>
      </c>
    </row>
    <row r="12" spans="1:40" x14ac:dyDescent="0.25">
      <c r="A12" s="14">
        <v>37895</v>
      </c>
      <c r="B12" s="20">
        <v>105.06</v>
      </c>
      <c r="C12" s="7">
        <v>101.88</v>
      </c>
      <c r="E12" s="22">
        <v>101.880818098048</v>
      </c>
      <c r="F12" s="21">
        <v>101.52683389887</v>
      </c>
      <c r="G12" s="20">
        <v>1.0034866072897599</v>
      </c>
      <c r="H12" s="66">
        <v>1.0142026541162801</v>
      </c>
      <c r="I12" s="66">
        <v>1.0167641616921199</v>
      </c>
      <c r="J12" s="7">
        <v>136.84160545440901</v>
      </c>
      <c r="K12" s="7">
        <v>145.25292208744099</v>
      </c>
      <c r="L12" s="7">
        <v>154.181261648304</v>
      </c>
      <c r="N12" s="7">
        <f t="shared" si="1"/>
        <v>105.06000000000051</v>
      </c>
      <c r="O12" s="7">
        <f t="shared" si="2"/>
        <v>101.88081809804804</v>
      </c>
      <c r="Q12" s="9">
        <f t="shared" si="0"/>
        <v>8.0300161758990273E-6</v>
      </c>
      <c r="AB12">
        <v>2012</v>
      </c>
      <c r="AC12">
        <v>0.98869669902408996</v>
      </c>
      <c r="AD12">
        <v>1.0006170061494899</v>
      </c>
      <c r="AE12">
        <v>0.99592784577392102</v>
      </c>
      <c r="AF12">
        <v>0.99737901500576098</v>
      </c>
      <c r="AG12">
        <v>1.0014574274314201</v>
      </c>
      <c r="AH12">
        <v>1.0012130939513</v>
      </c>
      <c r="AI12">
        <v>0.99995963846351499</v>
      </c>
      <c r="AJ12">
        <v>1.0005293204760399</v>
      </c>
      <c r="AK12">
        <v>0.99515029816421496</v>
      </c>
      <c r="AL12">
        <v>1.00285361145274</v>
      </c>
      <c r="AM12">
        <v>1.0011725506357001</v>
      </c>
      <c r="AN12">
        <v>0.99650900650536101</v>
      </c>
    </row>
    <row r="13" spans="1:40" x14ac:dyDescent="0.25">
      <c r="A13" s="14">
        <v>37926</v>
      </c>
      <c r="B13" s="20">
        <v>101.95</v>
      </c>
      <c r="C13" s="7">
        <v>101.97</v>
      </c>
      <c r="E13" s="22">
        <v>101.973159862332</v>
      </c>
      <c r="F13" s="21">
        <v>102.10870648405</v>
      </c>
      <c r="G13" s="20">
        <v>0.99867252630666903</v>
      </c>
      <c r="H13" s="66">
        <v>0.99977288276284204</v>
      </c>
      <c r="I13" s="66">
        <v>1</v>
      </c>
      <c r="J13" s="7">
        <v>142.42690535569</v>
      </c>
      <c r="K13" s="7">
        <v>151.63943694897</v>
      </c>
      <c r="L13" s="7">
        <v>161.44785832968199</v>
      </c>
      <c r="N13" s="7">
        <f t="shared" si="1"/>
        <v>101.95000000000019</v>
      </c>
      <c r="O13" s="7">
        <f t="shared" si="2"/>
        <v>101.97315986233238</v>
      </c>
      <c r="Q13" s="9">
        <f t="shared" si="0"/>
        <v>3.098815663428403E-5</v>
      </c>
      <c r="AB13">
        <v>2013</v>
      </c>
      <c r="AC13">
        <v>1.00233794801229</v>
      </c>
      <c r="AD13">
        <v>0.99264770372559896</v>
      </c>
      <c r="AE13">
        <v>0.99674540831831704</v>
      </c>
      <c r="AF13">
        <v>1.0025524555058201</v>
      </c>
      <c r="AG13">
        <v>1.0025749226913001</v>
      </c>
      <c r="AH13">
        <v>0.99707908621102204</v>
      </c>
      <c r="AI13">
        <v>1.00012528918185</v>
      </c>
      <c r="AJ13">
        <v>0.99859712466446904</v>
      </c>
      <c r="AK13">
        <v>1.0018029036904099</v>
      </c>
      <c r="AL13">
        <v>0.99884505048899597</v>
      </c>
      <c r="AM13">
        <v>1.00005101556025</v>
      </c>
      <c r="AN13">
        <v>1.00093840292188</v>
      </c>
    </row>
    <row r="14" spans="1:40" x14ac:dyDescent="0.25">
      <c r="A14" s="14">
        <v>37956</v>
      </c>
      <c r="B14" s="20">
        <v>99.74</v>
      </c>
      <c r="C14" s="7">
        <v>101.59</v>
      </c>
      <c r="E14" s="22">
        <v>101.586666280949</v>
      </c>
      <c r="F14" s="21">
        <v>102.73611108132199</v>
      </c>
      <c r="G14" s="20">
        <v>0.98881167694323902</v>
      </c>
      <c r="H14" s="66">
        <v>0.97772947250942499</v>
      </c>
      <c r="I14" s="66">
        <v>1.00418550603163</v>
      </c>
      <c r="J14" s="7">
        <v>137.41138165448601</v>
      </c>
      <c r="K14" s="7">
        <v>146.72799278280999</v>
      </c>
      <c r="L14" s="7">
        <v>156.67627824459501</v>
      </c>
      <c r="N14" s="7">
        <f t="shared" si="1"/>
        <v>99.739999999999512</v>
      </c>
      <c r="O14" s="7">
        <f t="shared" si="2"/>
        <v>101.58666628094888</v>
      </c>
      <c r="Q14" s="9">
        <f t="shared" si="0"/>
        <v>-3.2815425248544755E-5</v>
      </c>
      <c r="AB14">
        <v>2014</v>
      </c>
      <c r="AC14">
        <v>0.99936029336695698</v>
      </c>
      <c r="AD14">
        <v>0.999332661444302</v>
      </c>
      <c r="AE14">
        <v>1.0011642344343901</v>
      </c>
      <c r="AF14">
        <v>0.99977102126622097</v>
      </c>
      <c r="AG14">
        <v>1.0005295166085899</v>
      </c>
      <c r="AH14">
        <v>0.985551934708917</v>
      </c>
      <c r="AI14">
        <v>0.99505503082659297</v>
      </c>
      <c r="AJ14">
        <v>1.00091794868469</v>
      </c>
      <c r="AK14">
        <v>1.00416737774582</v>
      </c>
      <c r="AL14">
        <v>0.99719126045272299</v>
      </c>
      <c r="AM14">
        <v>0.99850674503944503</v>
      </c>
      <c r="AN14">
        <v>1.0033823867474601</v>
      </c>
    </row>
    <row r="15" spans="1:40" x14ac:dyDescent="0.25">
      <c r="A15" s="14">
        <v>37987</v>
      </c>
      <c r="B15" s="20">
        <v>98.59</v>
      </c>
      <c r="C15" s="7">
        <v>103.61</v>
      </c>
      <c r="E15" s="22">
        <v>103.614858958376</v>
      </c>
      <c r="F15" s="21">
        <v>103.592885908493</v>
      </c>
      <c r="G15" s="20">
        <v>1.0002121096414101</v>
      </c>
      <c r="H15" s="66">
        <v>0.95177553417995497</v>
      </c>
      <c r="I15" s="66">
        <v>0.99971518679043303</v>
      </c>
      <c r="J15" s="7" t="e">
        <v>#N/A</v>
      </c>
      <c r="K15" s="7" t="e">
        <v>#N/A</v>
      </c>
      <c r="L15" s="7" t="e">
        <v>#N/A</v>
      </c>
      <c r="N15" s="7">
        <f t="shared" si="1"/>
        <v>98.589999999999819</v>
      </c>
      <c r="O15" s="7">
        <f t="shared" si="2"/>
        <v>103.61485895837569</v>
      </c>
      <c r="Q15" s="9">
        <f t="shared" si="0"/>
        <v>4.6896615925150149E-5</v>
      </c>
      <c r="AB15">
        <v>2015</v>
      </c>
      <c r="AC15">
        <v>0.99970523327637695</v>
      </c>
      <c r="AD15">
        <v>0.99705683972680303</v>
      </c>
      <c r="AE15">
        <v>1.0029025391474999</v>
      </c>
      <c r="AF15">
        <v>1.0001142501543001</v>
      </c>
      <c r="AG15">
        <v>1.0002781608537199</v>
      </c>
      <c r="AH15">
        <v>0.99888311018296305</v>
      </c>
      <c r="AI15">
        <v>0.99723915151626996</v>
      </c>
      <c r="AJ15">
        <v>1.00296530922879</v>
      </c>
      <c r="AK15">
        <v>0.997177006091026</v>
      </c>
      <c r="AL15">
        <v>1.00695121442573</v>
      </c>
      <c r="AM15">
        <v>0.998255262828047</v>
      </c>
      <c r="AN15">
        <v>0.99954764449447597</v>
      </c>
    </row>
    <row r="16" spans="1:40" x14ac:dyDescent="0.25">
      <c r="A16" s="14">
        <v>38018</v>
      </c>
      <c r="B16" s="20">
        <v>99.45</v>
      </c>
      <c r="C16" s="7">
        <v>104.48</v>
      </c>
      <c r="E16" s="22">
        <v>104.477184002843</v>
      </c>
      <c r="F16" s="21">
        <v>104.59756955147201</v>
      </c>
      <c r="G16" s="20">
        <v>0.998849059790338</v>
      </c>
      <c r="H16" s="66">
        <v>0.95371273800267597</v>
      </c>
      <c r="I16" s="66">
        <v>0.99808090254384296</v>
      </c>
      <c r="J16" s="7" t="e">
        <v>#N/A</v>
      </c>
      <c r="K16" s="7" t="e">
        <v>#N/A</v>
      </c>
      <c r="L16" s="7" t="e">
        <v>#N/A</v>
      </c>
      <c r="N16" s="7">
        <f t="shared" si="1"/>
        <v>99.449999999999619</v>
      </c>
      <c r="O16" s="7">
        <f t="shared" si="2"/>
        <v>104.47718400284229</v>
      </c>
      <c r="Q16" s="9">
        <f t="shared" si="0"/>
        <v>-2.695249958844313E-5</v>
      </c>
      <c r="AB16">
        <v>2016</v>
      </c>
      <c r="AC16">
        <v>0.99915772355952603</v>
      </c>
      <c r="AD16">
        <v>1.00178855689223</v>
      </c>
      <c r="AE16">
        <v>0.99838081092326703</v>
      </c>
      <c r="AF16">
        <v>1.00074881300607</v>
      </c>
      <c r="AG16">
        <v>0.99819232824443305</v>
      </c>
      <c r="AH16">
        <v>1.0022109714820899</v>
      </c>
      <c r="AI16">
        <v>1.0007708829392801</v>
      </c>
      <c r="AJ16">
        <v>0.99797297785387695</v>
      </c>
      <c r="AK16">
        <v>1.00120743751945</v>
      </c>
      <c r="AL16">
        <v>1.0010222202255601</v>
      </c>
      <c r="AM16">
        <v>1.00112319868059</v>
      </c>
      <c r="AN16">
        <v>0.99333899995632302</v>
      </c>
    </row>
    <row r="17" spans="1:40" x14ac:dyDescent="0.25">
      <c r="A17" s="14">
        <v>38047</v>
      </c>
      <c r="B17" s="20">
        <v>111.98</v>
      </c>
      <c r="C17" s="7">
        <v>105.81</v>
      </c>
      <c r="E17" s="22">
        <v>105.812398569129</v>
      </c>
      <c r="F17" s="21">
        <v>105.520240204552</v>
      </c>
      <c r="G17" s="20">
        <v>1.00276874241388</v>
      </c>
      <c r="H17" s="66">
        <v>1.0420938682859999</v>
      </c>
      <c r="I17" s="66">
        <v>1.0155400689464</v>
      </c>
      <c r="J17" s="7" t="e">
        <v>#N/A</v>
      </c>
      <c r="K17" s="7" t="e">
        <v>#N/A</v>
      </c>
      <c r="L17" s="7" t="e">
        <v>#N/A</v>
      </c>
      <c r="N17" s="7">
        <f t="shared" si="1"/>
        <v>111.97999999999981</v>
      </c>
      <c r="O17" s="7">
        <f t="shared" si="2"/>
        <v>105.81239856912914</v>
      </c>
      <c r="Q17" s="9">
        <f t="shared" si="0"/>
        <v>2.2668643124462563E-5</v>
      </c>
      <c r="AB17">
        <v>2017</v>
      </c>
      <c r="AC17">
        <v>0.99761283517212196</v>
      </c>
      <c r="AD17">
        <v>1.0050075970911201</v>
      </c>
      <c r="AE17">
        <v>1.00176782410036</v>
      </c>
      <c r="AF17">
        <v>1.0012663750077599</v>
      </c>
      <c r="AG17">
        <v>0.99490528326386496</v>
      </c>
      <c r="AH17">
        <v>1.0012905101343901</v>
      </c>
      <c r="AI17">
        <v>1.0040214828718099</v>
      </c>
      <c r="AJ17">
        <v>0.99805005620396703</v>
      </c>
      <c r="AK17">
        <v>0.99938190937995197</v>
      </c>
      <c r="AL17">
        <v>0.99843860348718905</v>
      </c>
      <c r="AM17">
        <v>0.99606014909037299</v>
      </c>
      <c r="AN17">
        <v>1.0050104230477701</v>
      </c>
    </row>
    <row r="18" spans="1:40" x14ac:dyDescent="0.25">
      <c r="A18" s="14">
        <v>38078</v>
      </c>
      <c r="B18" s="20">
        <v>107.36</v>
      </c>
      <c r="C18" s="7">
        <v>106.45</v>
      </c>
      <c r="E18" s="22">
        <v>106.45475247373901</v>
      </c>
      <c r="F18" s="21">
        <v>106.23079787167499</v>
      </c>
      <c r="G18" s="20">
        <v>1.0021081890238199</v>
      </c>
      <c r="H18" s="66">
        <v>1.0091093535515601</v>
      </c>
      <c r="I18" s="66">
        <v>0.99939970435608405</v>
      </c>
      <c r="J18" s="7" t="e">
        <v>#N/A</v>
      </c>
      <c r="K18" s="7" t="e">
        <v>#N/A</v>
      </c>
      <c r="L18" s="7" t="e">
        <v>#N/A</v>
      </c>
      <c r="N18" s="7">
        <f t="shared" si="1"/>
        <v>107.3600000000002</v>
      </c>
      <c r="O18" s="7">
        <f t="shared" si="2"/>
        <v>106.45475247373969</v>
      </c>
      <c r="Q18" s="9">
        <f t="shared" si="0"/>
        <v>4.4645126716800834E-5</v>
      </c>
      <c r="AB18">
        <v>2018</v>
      </c>
      <c r="AC18">
        <v>0.99987411949744398</v>
      </c>
      <c r="AD18">
        <v>0.99630835462760103</v>
      </c>
      <c r="AE18">
        <v>1.0017099315237401</v>
      </c>
      <c r="AF18">
        <v>1.01014932788391</v>
      </c>
      <c r="AG18">
        <v>0.969787647205265</v>
      </c>
      <c r="AH18">
        <v>0.99790180197596201</v>
      </c>
      <c r="AI18">
        <v>0.99983994390169395</v>
      </c>
      <c r="AJ18">
        <v>1.00401929943129</v>
      </c>
      <c r="AK18">
        <v>0.99882834306023804</v>
      </c>
      <c r="AL18">
        <v>0.99729401175534604</v>
      </c>
      <c r="AM18">
        <v>0.99957443813698099</v>
      </c>
      <c r="AN18">
        <v>1.00190775857474</v>
      </c>
    </row>
    <row r="19" spans="1:40" x14ac:dyDescent="0.25">
      <c r="A19" s="14">
        <v>38108</v>
      </c>
      <c r="B19" s="20">
        <v>106.03</v>
      </c>
      <c r="C19" s="7">
        <v>106.34</v>
      </c>
      <c r="E19" s="22">
        <v>106.33746575830899</v>
      </c>
      <c r="F19" s="21">
        <v>106.74793185205201</v>
      </c>
      <c r="G19" s="20">
        <v>0.99615480987198801</v>
      </c>
      <c r="H19" s="66">
        <v>1.00243428728956</v>
      </c>
      <c r="I19" s="66">
        <v>0.99468723037925399</v>
      </c>
      <c r="J19" s="7" t="e">
        <v>#N/A</v>
      </c>
      <c r="K19" s="7" t="e">
        <v>#N/A</v>
      </c>
      <c r="L19" s="7" t="e">
        <v>#N/A</v>
      </c>
      <c r="N19" s="7">
        <f t="shared" si="1"/>
        <v>106.02999999999932</v>
      </c>
      <c r="O19" s="7">
        <f t="shared" si="2"/>
        <v>106.3374657583088</v>
      </c>
      <c r="Q19" s="9">
        <f t="shared" si="0"/>
        <v>-2.3831499821414732E-5</v>
      </c>
      <c r="AB19">
        <v>2019</v>
      </c>
      <c r="AC19">
        <v>1.00080257617935</v>
      </c>
      <c r="AD19">
        <v>0.99178623612070005</v>
      </c>
      <c r="AE19">
        <v>0.99983072336898704</v>
      </c>
      <c r="AF19">
        <v>0.99963440518207503</v>
      </c>
      <c r="AG19">
        <v>1.00121512333332</v>
      </c>
      <c r="AH19">
        <v>1.0020621571678301</v>
      </c>
      <c r="AI19">
        <v>0.99878048682515796</v>
      </c>
      <c r="AJ19">
        <v>0.99438328084426197</v>
      </c>
      <c r="AK19">
        <v>0.99991752716599902</v>
      </c>
      <c r="AL19">
        <v>1.0024481454323999</v>
      </c>
      <c r="AM19">
        <v>1.00101337721865</v>
      </c>
      <c r="AN19">
        <v>0.99765668365374804</v>
      </c>
    </row>
    <row r="20" spans="1:40" x14ac:dyDescent="0.25">
      <c r="A20" s="14">
        <v>38139</v>
      </c>
      <c r="B20" s="20">
        <v>107</v>
      </c>
      <c r="C20" s="7">
        <v>107.38</v>
      </c>
      <c r="E20" s="22">
        <v>107.375314718082</v>
      </c>
      <c r="F20" s="21">
        <v>107.275310334875</v>
      </c>
      <c r="G20" s="20">
        <v>1.0009322218029</v>
      </c>
      <c r="H20" s="66">
        <v>0.99342669598709399</v>
      </c>
      <c r="I20" s="66">
        <v>1.0030983163532501</v>
      </c>
      <c r="J20" s="7" t="e">
        <v>#N/A</v>
      </c>
      <c r="K20" s="7" t="e">
        <v>#N/A</v>
      </c>
      <c r="L20" s="7" t="e">
        <v>#N/A</v>
      </c>
      <c r="N20" s="7">
        <f t="shared" si="1"/>
        <v>107.00000000000065</v>
      </c>
      <c r="O20" s="7">
        <f t="shared" si="2"/>
        <v>107.37531471808204</v>
      </c>
      <c r="Q20" s="9">
        <f t="shared" si="0"/>
        <v>-4.3632724138576351E-5</v>
      </c>
      <c r="AB20">
        <v>2020</v>
      </c>
      <c r="AC20">
        <v>0.99811652222268299</v>
      </c>
      <c r="AD20">
        <v>1.0038781578228999</v>
      </c>
      <c r="AE20">
        <v>0.955520005384351</v>
      </c>
      <c r="AF20">
        <v>0.99695627969425205</v>
      </c>
      <c r="AG20">
        <v>1.00178046951956</v>
      </c>
      <c r="AH20">
        <v>0.99383128768432605</v>
      </c>
      <c r="AI20">
        <v>1.00304365041639</v>
      </c>
      <c r="AJ20">
        <v>0.99980252641306699</v>
      </c>
      <c r="AK20">
        <v>1.00180839692527</v>
      </c>
      <c r="AL20">
        <v>1.0006414273327999</v>
      </c>
      <c r="AM20">
        <v>0.99926516209840199</v>
      </c>
      <c r="AN20">
        <v>0.99876238219449698</v>
      </c>
    </row>
    <row r="21" spans="1:40" x14ac:dyDescent="0.25">
      <c r="A21" s="14">
        <v>38169</v>
      </c>
      <c r="B21" s="20">
        <v>111.47</v>
      </c>
      <c r="C21" s="7">
        <v>107.85</v>
      </c>
      <c r="E21" s="22">
        <v>107.848949164426</v>
      </c>
      <c r="F21" s="21">
        <v>107.84109591856701</v>
      </c>
      <c r="G21" s="20">
        <v>1.0000728223855</v>
      </c>
      <c r="H21" s="66">
        <v>1.03126939008977</v>
      </c>
      <c r="I21" s="66">
        <v>1.0022359020134</v>
      </c>
      <c r="J21" s="7" t="e">
        <v>#N/A</v>
      </c>
      <c r="K21" s="7" t="e">
        <v>#N/A</v>
      </c>
      <c r="L21" s="7" t="e">
        <v>#N/A</v>
      </c>
      <c r="N21" s="7">
        <f t="shared" si="1"/>
        <v>111.47000000000148</v>
      </c>
      <c r="O21" s="7">
        <f t="shared" si="2"/>
        <v>107.84894916442673</v>
      </c>
      <c r="Q21" s="9">
        <f t="shared" si="0"/>
        <v>-9.7434916457259971E-6</v>
      </c>
      <c r="AB21">
        <v>2021</v>
      </c>
      <c r="AC21">
        <v>1.00128647873159</v>
      </c>
      <c r="AD21">
        <v>1.0151738711226299</v>
      </c>
      <c r="AE21">
        <v>0.99693867426282001</v>
      </c>
      <c r="AF21">
        <v>0.99926835823052096</v>
      </c>
      <c r="AG21" t="e">
        <v>#N/A</v>
      </c>
      <c r="AH21" t="e">
        <v>#N/A</v>
      </c>
      <c r="AI21" t="e">
        <v>#N/A</v>
      </c>
      <c r="AJ21" t="e">
        <v>#N/A</v>
      </c>
      <c r="AK21" t="e">
        <v>#N/A</v>
      </c>
      <c r="AL21" t="e">
        <v>#N/A</v>
      </c>
      <c r="AM21" t="e">
        <v>#N/A</v>
      </c>
      <c r="AN21" t="e">
        <v>#N/A</v>
      </c>
    </row>
    <row r="22" spans="1:40" x14ac:dyDescent="0.25">
      <c r="A22" s="14">
        <v>38200</v>
      </c>
      <c r="B22" s="20">
        <v>110.65</v>
      </c>
      <c r="C22" s="7">
        <v>108.21</v>
      </c>
      <c r="E22" s="22">
        <v>108.210314589394</v>
      </c>
      <c r="F22" s="21">
        <v>108.443287421302</v>
      </c>
      <c r="G22" s="20">
        <v>0.99785166203047204</v>
      </c>
      <c r="H22" s="66">
        <v>1.02725181090575</v>
      </c>
      <c r="I22" s="66">
        <v>0.99541880986940701</v>
      </c>
      <c r="J22" s="7" t="e">
        <v>#N/A</v>
      </c>
      <c r="K22" s="7" t="e">
        <v>#N/A</v>
      </c>
      <c r="L22" s="7" t="e">
        <v>#N/A</v>
      </c>
      <c r="N22" s="7">
        <f t="shared" si="1"/>
        <v>110.64999999999962</v>
      </c>
      <c r="O22" s="7">
        <f t="shared" si="2"/>
        <v>108.21031458939439</v>
      </c>
      <c r="Q22" s="9">
        <f t="shared" si="0"/>
        <v>2.907211847413689E-6</v>
      </c>
    </row>
    <row r="23" spans="1:40" x14ac:dyDescent="0.25">
      <c r="A23" s="14">
        <v>38231</v>
      </c>
      <c r="B23" s="20">
        <v>109.21</v>
      </c>
      <c r="C23" s="7">
        <v>109.41</v>
      </c>
      <c r="E23" s="22">
        <v>109.40826553101699</v>
      </c>
      <c r="F23" s="21">
        <v>108.87537954627</v>
      </c>
      <c r="G23" s="20">
        <v>1.00489445811318</v>
      </c>
      <c r="H23" s="66">
        <v>0.99714988347001798</v>
      </c>
      <c r="I23" s="66">
        <v>1.00104092100436</v>
      </c>
      <c r="J23" s="7" t="e">
        <v>#N/A</v>
      </c>
      <c r="K23" s="7" t="e">
        <v>#N/A</v>
      </c>
      <c r="L23" s="7" t="e">
        <v>#N/A</v>
      </c>
      <c r="N23" s="7">
        <f t="shared" si="1"/>
        <v>109.20999999999927</v>
      </c>
      <c r="O23" s="7">
        <f t="shared" si="2"/>
        <v>109.40826553101579</v>
      </c>
      <c r="Q23" s="9">
        <f t="shared" si="0"/>
        <v>-1.5852929192967348E-5</v>
      </c>
    </row>
    <row r="24" spans="1:40" x14ac:dyDescent="0.25">
      <c r="A24" s="14">
        <v>38261</v>
      </c>
      <c r="B24" s="20">
        <v>108.89</v>
      </c>
      <c r="C24" s="7">
        <v>108.67</v>
      </c>
      <c r="E24" s="22">
        <v>108.673211650547</v>
      </c>
      <c r="F24" s="21">
        <v>109.068132818067</v>
      </c>
      <c r="G24" s="20">
        <v>0.99637913332413097</v>
      </c>
      <c r="H24" s="66">
        <v>1.0151560642784201</v>
      </c>
      <c r="I24" s="66">
        <v>0.98703529429498704</v>
      </c>
      <c r="J24" s="7" t="e">
        <v>#N/A</v>
      </c>
      <c r="K24" s="7" t="e">
        <v>#N/A</v>
      </c>
      <c r="L24" s="7" t="e">
        <v>#N/A</v>
      </c>
      <c r="N24" s="7">
        <f t="shared" si="1"/>
        <v>108.88999999999969</v>
      </c>
      <c r="O24" s="7">
        <f t="shared" si="2"/>
        <v>108.6732116505468</v>
      </c>
      <c r="Q24" s="9">
        <f t="shared" si="0"/>
        <v>2.9554159814129516E-5</v>
      </c>
    </row>
    <row r="25" spans="1:40" x14ac:dyDescent="0.25">
      <c r="A25" s="14">
        <v>38292</v>
      </c>
      <c r="B25" s="20">
        <v>109.59</v>
      </c>
      <c r="C25" s="7">
        <v>109.62</v>
      </c>
      <c r="E25" s="22">
        <v>109.620805096678</v>
      </c>
      <c r="F25" s="21">
        <v>109.16776442106899</v>
      </c>
      <c r="G25" s="20">
        <v>1.00414994919069</v>
      </c>
      <c r="H25" s="66">
        <v>0.99971898494404399</v>
      </c>
      <c r="I25" s="66">
        <v>1</v>
      </c>
      <c r="J25" s="7" t="e">
        <v>#N/A</v>
      </c>
      <c r="K25" s="7" t="e">
        <v>#N/A</v>
      </c>
      <c r="L25" s="7" t="e">
        <v>#N/A</v>
      </c>
      <c r="N25" s="7">
        <f t="shared" si="1"/>
        <v>109.58999999999946</v>
      </c>
      <c r="O25" s="7">
        <f t="shared" si="2"/>
        <v>109.62080509667764</v>
      </c>
      <c r="Q25" s="9">
        <f t="shared" si="0"/>
        <v>7.3444323845405333E-6</v>
      </c>
    </row>
    <row r="26" spans="1:40" x14ac:dyDescent="0.25">
      <c r="A26" s="14">
        <v>38322</v>
      </c>
      <c r="B26" s="20">
        <v>107.56</v>
      </c>
      <c r="C26" s="7">
        <v>108.75</v>
      </c>
      <c r="E26" s="22">
        <v>108.750537824944</v>
      </c>
      <c r="F26" s="21">
        <v>109.285912348331</v>
      </c>
      <c r="G26" s="20">
        <v>0.99510115703037205</v>
      </c>
      <c r="H26" s="66">
        <v>0.97842652730839297</v>
      </c>
      <c r="I26" s="66">
        <v>1.01086034800092</v>
      </c>
      <c r="J26" s="7" t="e">
        <v>#N/A</v>
      </c>
      <c r="K26" s="7" t="e">
        <v>#N/A</v>
      </c>
      <c r="L26" s="7" t="e">
        <v>#N/A</v>
      </c>
      <c r="N26" s="7">
        <f t="shared" si="1"/>
        <v>107.56000000000034</v>
      </c>
      <c r="O26" s="7">
        <f t="shared" si="2"/>
        <v>108.750537824944</v>
      </c>
      <c r="Q26" s="9">
        <f t="shared" si="0"/>
        <v>4.9455167264756618E-6</v>
      </c>
    </row>
    <row r="27" spans="1:40" x14ac:dyDescent="0.25">
      <c r="A27" s="14">
        <v>38353</v>
      </c>
      <c r="B27" s="20">
        <v>103.52</v>
      </c>
      <c r="C27" s="7">
        <v>109.65</v>
      </c>
      <c r="E27" s="22">
        <v>109.646371061213</v>
      </c>
      <c r="F27" s="21">
        <v>109.56174893278801</v>
      </c>
      <c r="G27" s="20">
        <v>1.00077236927348</v>
      </c>
      <c r="H27" s="66">
        <v>0.952116724565789</v>
      </c>
      <c r="I27" s="66">
        <v>0.991607509200227</v>
      </c>
      <c r="J27" s="7" t="e">
        <v>#N/A</v>
      </c>
      <c r="K27" s="7" t="e">
        <v>#N/A</v>
      </c>
      <c r="L27" s="7" t="e">
        <v>#N/A</v>
      </c>
      <c r="N27" s="7">
        <f t="shared" si="1"/>
        <v>103.51999999999973</v>
      </c>
      <c r="O27" s="7">
        <f t="shared" si="2"/>
        <v>109.64637106121242</v>
      </c>
      <c r="Q27" s="9">
        <f t="shared" si="0"/>
        <v>-3.309565697220945E-5</v>
      </c>
    </row>
    <row r="28" spans="1:40" x14ac:dyDescent="0.25">
      <c r="A28" s="14">
        <v>38384</v>
      </c>
      <c r="B28" s="20">
        <v>104</v>
      </c>
      <c r="C28" s="7">
        <v>110.13</v>
      </c>
      <c r="E28" s="22">
        <v>110.129534520596</v>
      </c>
      <c r="F28" s="21">
        <v>110.009766236063</v>
      </c>
      <c r="G28" s="20">
        <v>1.0010887059270399</v>
      </c>
      <c r="H28" s="66">
        <v>0.95306645764096898</v>
      </c>
      <c r="I28" s="66">
        <v>0.99084643348383294</v>
      </c>
      <c r="J28" s="7" t="e">
        <v>#N/A</v>
      </c>
      <c r="K28" s="7" t="e">
        <v>#N/A</v>
      </c>
      <c r="L28" s="7" t="e">
        <v>#N/A</v>
      </c>
      <c r="N28" s="7">
        <f t="shared" si="1"/>
        <v>104.00000000000036</v>
      </c>
      <c r="O28" s="7">
        <f t="shared" si="2"/>
        <v>110.12953452059648</v>
      </c>
      <c r="Q28" s="9">
        <f t="shared" si="0"/>
        <v>-4.2266358303761454E-6</v>
      </c>
    </row>
    <row r="29" spans="1:40" x14ac:dyDescent="0.25">
      <c r="A29" s="14">
        <v>38412</v>
      </c>
      <c r="B29" s="20">
        <v>115.42</v>
      </c>
      <c r="C29" s="7">
        <v>110.29</v>
      </c>
      <c r="E29" s="22">
        <v>110.293287353217</v>
      </c>
      <c r="F29" s="21">
        <v>110.45636958241499</v>
      </c>
      <c r="G29" s="20">
        <v>0.99852355975653895</v>
      </c>
      <c r="H29" s="66">
        <v>1.0405453179931099</v>
      </c>
      <c r="I29" s="66">
        <v>1.0057058798774701</v>
      </c>
      <c r="J29" s="7" t="e">
        <v>#N/A</v>
      </c>
      <c r="K29" s="7" t="e">
        <v>#N/A</v>
      </c>
      <c r="L29" s="7" t="e">
        <v>#N/A</v>
      </c>
      <c r="N29" s="7">
        <f t="shared" si="1"/>
        <v>115.4199999999996</v>
      </c>
      <c r="O29" s="7">
        <f t="shared" si="2"/>
        <v>110.29328735321691</v>
      </c>
      <c r="Q29" s="9">
        <f t="shared" si="0"/>
        <v>2.9806448608125313E-5</v>
      </c>
    </row>
    <row r="30" spans="1:40" x14ac:dyDescent="0.25">
      <c r="A30" s="14">
        <v>38443</v>
      </c>
      <c r="B30" s="20">
        <v>112.35</v>
      </c>
      <c r="C30" s="7">
        <v>110.96</v>
      </c>
      <c r="E30" s="22">
        <v>110.957501659781</v>
      </c>
      <c r="F30" s="21">
        <v>110.75862047208101</v>
      </c>
      <c r="G30" s="20">
        <v>1.00179562716521</v>
      </c>
      <c r="H30" s="66">
        <v>1.0071321545301699</v>
      </c>
      <c r="I30" s="66">
        <v>1.00537931438975</v>
      </c>
      <c r="J30" s="7" t="e">
        <v>#N/A</v>
      </c>
      <c r="K30" s="7" t="e">
        <v>#N/A</v>
      </c>
      <c r="L30" s="7" t="e">
        <v>#N/A</v>
      </c>
      <c r="N30" s="7">
        <f t="shared" si="1"/>
        <v>112.35000000000038</v>
      </c>
      <c r="O30" s="7">
        <f t="shared" si="2"/>
        <v>110.95750165978185</v>
      </c>
      <c r="Q30" s="9">
        <f t="shared" si="0"/>
        <v>-2.2515683300214106E-5</v>
      </c>
    </row>
    <row r="31" spans="1:40" x14ac:dyDescent="0.25">
      <c r="A31" s="14">
        <v>38473</v>
      </c>
      <c r="B31" s="20">
        <v>110.86</v>
      </c>
      <c r="C31" s="7">
        <v>110.99</v>
      </c>
      <c r="E31" s="22">
        <v>110.986940880105</v>
      </c>
      <c r="F31" s="21">
        <v>110.85503328022899</v>
      </c>
      <c r="G31" s="20">
        <v>1.0011899107868401</v>
      </c>
      <c r="H31" s="66">
        <v>1.0028687085722801</v>
      </c>
      <c r="I31" s="66">
        <v>0.99599902297092502</v>
      </c>
      <c r="J31" s="7" t="e">
        <v>#N/A</v>
      </c>
      <c r="K31" s="7" t="e">
        <v>#N/A</v>
      </c>
      <c r="L31" s="7" t="e">
        <v>#N/A</v>
      </c>
      <c r="N31" s="7">
        <f t="shared" si="1"/>
        <v>110.8599999999996</v>
      </c>
      <c r="O31" s="7">
        <f t="shared" si="2"/>
        <v>110.98694088010465</v>
      </c>
      <c r="Q31" s="9">
        <f t="shared" si="0"/>
        <v>-2.7562121767719478E-5</v>
      </c>
    </row>
    <row r="32" spans="1:40" x14ac:dyDescent="0.25">
      <c r="A32" s="14">
        <v>38504</v>
      </c>
      <c r="B32" s="20">
        <v>111.5</v>
      </c>
      <c r="C32" s="7">
        <v>110.75</v>
      </c>
      <c r="E32" s="22">
        <v>110.74862360116499</v>
      </c>
      <c r="F32" s="21">
        <v>110.884276756701</v>
      </c>
      <c r="G32" s="20">
        <v>0.99877662406696099</v>
      </c>
      <c r="H32" s="66">
        <v>0.99356014209541199</v>
      </c>
      <c r="I32" s="66">
        <v>1.01331009434859</v>
      </c>
      <c r="J32" s="7" t="e">
        <v>#N/A</v>
      </c>
      <c r="K32" s="7" t="e">
        <v>#N/A</v>
      </c>
      <c r="L32" s="7" t="e">
        <v>#N/A</v>
      </c>
      <c r="N32" s="7">
        <f t="shared" si="1"/>
        <v>111.49999999999997</v>
      </c>
      <c r="O32" s="7">
        <f t="shared" si="2"/>
        <v>110.74862360116441</v>
      </c>
      <c r="Q32" s="9">
        <f t="shared" si="0"/>
        <v>-1.242798045152504E-5</v>
      </c>
    </row>
    <row r="33" spans="1:17" x14ac:dyDescent="0.25">
      <c r="A33" s="14">
        <v>38534</v>
      </c>
      <c r="B33" s="20">
        <v>113.15</v>
      </c>
      <c r="C33" s="7">
        <v>110.64</v>
      </c>
      <c r="E33" s="22">
        <v>110.636520905802</v>
      </c>
      <c r="F33" s="21">
        <v>110.86970186228601</v>
      </c>
      <c r="G33" s="20">
        <v>0.99789680180818296</v>
      </c>
      <c r="H33" s="66">
        <v>1.03218449088604</v>
      </c>
      <c r="I33" s="66">
        <v>0.99082902139240003</v>
      </c>
      <c r="J33" s="7" t="e">
        <v>#N/A</v>
      </c>
      <c r="K33" s="7" t="e">
        <v>#N/A</v>
      </c>
      <c r="L33" s="7" t="e">
        <v>#N/A</v>
      </c>
      <c r="N33" s="7">
        <f t="shared" si="1"/>
        <v>113.14999999999947</v>
      </c>
      <c r="O33" s="7">
        <f t="shared" si="2"/>
        <v>110.63652090580196</v>
      </c>
      <c r="Q33" s="9">
        <f t="shared" si="0"/>
        <v>-3.1445175325372277E-5</v>
      </c>
    </row>
    <row r="34" spans="1:17" x14ac:dyDescent="0.25">
      <c r="A34" s="14">
        <v>38565</v>
      </c>
      <c r="B34" s="20">
        <v>115.15</v>
      </c>
      <c r="C34" s="7">
        <v>111.27</v>
      </c>
      <c r="E34" s="22">
        <v>111.27259849370699</v>
      </c>
      <c r="F34" s="21">
        <v>110.88790763778</v>
      </c>
      <c r="G34" s="20">
        <v>1.0034691867140599</v>
      </c>
      <c r="H34" s="66">
        <v>1.0279407840138699</v>
      </c>
      <c r="I34" s="66">
        <v>1.00671749286666</v>
      </c>
      <c r="J34" s="7" t="e">
        <v>#N/A</v>
      </c>
      <c r="K34" s="7" t="e">
        <v>#N/A</v>
      </c>
      <c r="L34" s="7" t="e">
        <v>#N/A</v>
      </c>
      <c r="N34" s="7">
        <f t="shared" si="1"/>
        <v>115.14999999999955</v>
      </c>
      <c r="O34" s="7">
        <f t="shared" si="2"/>
        <v>111.27259849370689</v>
      </c>
      <c r="Q34" s="9">
        <f t="shared" si="0"/>
        <v>2.3353048503620281E-5</v>
      </c>
    </row>
    <row r="35" spans="1:17" x14ac:dyDescent="0.25">
      <c r="A35" s="14">
        <v>38596</v>
      </c>
      <c r="B35" s="20">
        <v>110.95</v>
      </c>
      <c r="C35" s="7">
        <v>110.92</v>
      </c>
      <c r="E35" s="22">
        <v>110.91528812662401</v>
      </c>
      <c r="F35" s="21">
        <v>111.022186872029</v>
      </c>
      <c r="G35" s="20">
        <v>0.99903714069757898</v>
      </c>
      <c r="H35" s="66">
        <v>0.99733632607683098</v>
      </c>
      <c r="I35" s="66">
        <v>1.00298458229766</v>
      </c>
      <c r="J35" s="7" t="e">
        <v>#N/A</v>
      </c>
      <c r="K35" s="7" t="e">
        <v>#N/A</v>
      </c>
      <c r="L35" s="7" t="e">
        <v>#N/A</v>
      </c>
      <c r="N35" s="7">
        <f t="shared" si="1"/>
        <v>110.95000000000034</v>
      </c>
      <c r="O35" s="7">
        <f t="shared" si="2"/>
        <v>110.91528812662413</v>
      </c>
      <c r="Q35" s="9">
        <f t="shared" si="0"/>
        <v>-4.2479925856435977E-5</v>
      </c>
    </row>
    <row r="36" spans="1:17" x14ac:dyDescent="0.25">
      <c r="A36" s="14">
        <v>38626</v>
      </c>
      <c r="B36" s="20">
        <v>111.33</v>
      </c>
      <c r="C36" s="7">
        <v>111.06</v>
      </c>
      <c r="E36" s="22">
        <v>111.064722785999</v>
      </c>
      <c r="F36" s="21">
        <v>111.291981809077</v>
      </c>
      <c r="G36" s="20">
        <v>0.99795799284563402</v>
      </c>
      <c r="H36" s="66">
        <v>1.016410091494</v>
      </c>
      <c r="I36" s="66">
        <v>0.98620478141450996</v>
      </c>
      <c r="J36" s="7" t="e">
        <v>#N/A</v>
      </c>
      <c r="K36" s="7" t="e">
        <v>#N/A</v>
      </c>
      <c r="L36" s="7" t="e">
        <v>#N/A</v>
      </c>
      <c r="N36" s="7">
        <f t="shared" si="1"/>
        <v>111.32999999999994</v>
      </c>
      <c r="O36" s="7">
        <f t="shared" si="2"/>
        <v>111.06472278599929</v>
      </c>
      <c r="Q36" s="9">
        <f t="shared" si="0"/>
        <v>4.2524635323186721E-5</v>
      </c>
    </row>
    <row r="37" spans="1:17" x14ac:dyDescent="0.25">
      <c r="A37" s="14">
        <v>38657</v>
      </c>
      <c r="B37" s="20">
        <v>111.73</v>
      </c>
      <c r="C37" s="7">
        <v>111.8</v>
      </c>
      <c r="E37" s="22">
        <v>111.799789279797</v>
      </c>
      <c r="F37" s="21">
        <v>111.753762960031</v>
      </c>
      <c r="G37" s="20">
        <v>1.0004118547648599</v>
      </c>
      <c r="H37" s="66">
        <v>0.99937576555155705</v>
      </c>
      <c r="I37" s="66">
        <v>1</v>
      </c>
      <c r="J37" s="7" t="e">
        <v>#N/A</v>
      </c>
      <c r="K37" s="7" t="e">
        <v>#N/A</v>
      </c>
      <c r="L37" s="7" t="e">
        <v>#N/A</v>
      </c>
      <c r="N37" s="7">
        <f t="shared" si="1"/>
        <v>111.73</v>
      </c>
      <c r="O37" s="7">
        <f t="shared" si="2"/>
        <v>111.79978927979711</v>
      </c>
      <c r="Q37" s="9">
        <f t="shared" si="0"/>
        <v>-1.884796091237852E-6</v>
      </c>
    </row>
    <row r="38" spans="1:17" x14ac:dyDescent="0.25">
      <c r="A38" s="14">
        <v>38687</v>
      </c>
      <c r="B38" s="20">
        <v>111.25</v>
      </c>
      <c r="C38" s="7">
        <v>112.34</v>
      </c>
      <c r="E38" s="22">
        <v>112.344243882328</v>
      </c>
      <c r="F38" s="21">
        <v>112.33960688278199</v>
      </c>
      <c r="G38" s="20">
        <v>1.00004127662251</v>
      </c>
      <c r="H38" s="66">
        <v>0.97926823450071399</v>
      </c>
      <c r="I38" s="66">
        <v>1.0112243690453999</v>
      </c>
      <c r="J38" s="7" t="e">
        <v>#N/A</v>
      </c>
      <c r="K38" s="7" t="e">
        <v>#N/A</v>
      </c>
      <c r="L38" s="7" t="e">
        <v>#N/A</v>
      </c>
      <c r="N38" s="7">
        <f t="shared" si="1"/>
        <v>111.2499999999999</v>
      </c>
      <c r="O38" s="7">
        <f t="shared" si="2"/>
        <v>112.34424388232821</v>
      </c>
      <c r="Q38" s="9">
        <f t="shared" si="0"/>
        <v>3.7777125939095552E-5</v>
      </c>
    </row>
    <row r="39" spans="1:17" x14ac:dyDescent="0.25">
      <c r="A39" s="14">
        <v>38718</v>
      </c>
      <c r="B39" s="20">
        <v>108.55</v>
      </c>
      <c r="C39" s="7">
        <v>113.47</v>
      </c>
      <c r="E39" s="22">
        <v>113.469171570933</v>
      </c>
      <c r="F39" s="21">
        <v>112.90072174954</v>
      </c>
      <c r="G39" s="20">
        <v>1.0050349529443601</v>
      </c>
      <c r="H39" s="66">
        <v>0.95250777546467702</v>
      </c>
      <c r="I39" s="66">
        <v>1.00434613839313</v>
      </c>
      <c r="J39" s="7" t="e">
        <v>#N/A</v>
      </c>
      <c r="K39" s="7" t="e">
        <v>#N/A</v>
      </c>
      <c r="L39" s="7" t="e">
        <v>#N/A</v>
      </c>
      <c r="N39" s="7">
        <f t="shared" si="1"/>
        <v>108.54999999999949</v>
      </c>
      <c r="O39" s="7">
        <f t="shared" si="2"/>
        <v>113.46917157093323</v>
      </c>
      <c r="Q39" s="9">
        <f t="shared" si="0"/>
        <v>-7.3008642548611293E-6</v>
      </c>
    </row>
    <row r="40" spans="1:17" x14ac:dyDescent="0.25">
      <c r="A40" s="14">
        <v>38749</v>
      </c>
      <c r="B40" s="20">
        <v>107.8</v>
      </c>
      <c r="C40" s="7">
        <v>113.6</v>
      </c>
      <c r="E40" s="22">
        <v>113.597215115655</v>
      </c>
      <c r="F40" s="21">
        <v>113.373181688454</v>
      </c>
      <c r="G40" s="20">
        <v>1.00197607074146</v>
      </c>
      <c r="H40" s="66">
        <v>0.95234397768645895</v>
      </c>
      <c r="I40" s="66">
        <v>0.99645395777811896</v>
      </c>
      <c r="J40" s="7" t="e">
        <v>#N/A</v>
      </c>
      <c r="K40" s="7" t="e">
        <v>#N/A</v>
      </c>
      <c r="L40" s="7" t="e">
        <v>#N/A</v>
      </c>
      <c r="N40" s="7">
        <f t="shared" si="1"/>
        <v>107.80000000000014</v>
      </c>
      <c r="O40" s="7">
        <f t="shared" si="2"/>
        <v>113.59721511565478</v>
      </c>
      <c r="Q40" s="9">
        <f t="shared" si="0"/>
        <v>-2.4514826980547941E-5</v>
      </c>
    </row>
    <row r="41" spans="1:17" x14ac:dyDescent="0.25">
      <c r="A41" s="14">
        <v>38777</v>
      </c>
      <c r="B41" s="20">
        <v>119.09</v>
      </c>
      <c r="C41" s="7">
        <v>113.43</v>
      </c>
      <c r="E41" s="22">
        <v>113.43190328745</v>
      </c>
      <c r="F41" s="21">
        <v>113.75819584431601</v>
      </c>
      <c r="G41" s="20">
        <v>0.99713170067049095</v>
      </c>
      <c r="H41" s="66">
        <v>1.0386251972563501</v>
      </c>
      <c r="I41" s="66">
        <v>1.0108372127747201</v>
      </c>
      <c r="J41" s="7" t="e">
        <v>#N/A</v>
      </c>
      <c r="K41" s="7" t="e">
        <v>#N/A</v>
      </c>
      <c r="L41" s="7" t="e">
        <v>#N/A</v>
      </c>
      <c r="N41" s="7">
        <f t="shared" si="1"/>
        <v>119.08999999999911</v>
      </c>
      <c r="O41" s="7">
        <f t="shared" si="2"/>
        <v>113.4319032874496</v>
      </c>
      <c r="Q41" s="9">
        <f t="shared" si="0"/>
        <v>1.6779400952052836E-5</v>
      </c>
    </row>
    <row r="42" spans="1:17" x14ac:dyDescent="0.25">
      <c r="A42" s="14">
        <v>38808</v>
      </c>
      <c r="B42" s="20">
        <v>112.61</v>
      </c>
      <c r="C42" s="7">
        <v>114.21</v>
      </c>
      <c r="E42" s="22">
        <v>114.209309600781</v>
      </c>
      <c r="F42" s="21">
        <v>114.18354891174999</v>
      </c>
      <c r="G42" s="20">
        <v>1.00022560771036</v>
      </c>
      <c r="H42" s="66">
        <v>1.0043413828351699</v>
      </c>
      <c r="I42" s="66">
        <v>0.98173459348631698</v>
      </c>
      <c r="J42" s="7" t="e">
        <v>#N/A</v>
      </c>
      <c r="K42" s="7" t="e">
        <v>#N/A</v>
      </c>
      <c r="L42" s="7" t="e">
        <v>#N/A</v>
      </c>
      <c r="N42" s="7">
        <f t="shared" si="1"/>
        <v>112.6099999999998</v>
      </c>
      <c r="O42" s="7">
        <f t="shared" si="2"/>
        <v>114.20930960078074</v>
      </c>
      <c r="Q42" s="9">
        <f t="shared" si="0"/>
        <v>-6.0449979773764362E-6</v>
      </c>
    </row>
    <row r="43" spans="1:17" x14ac:dyDescent="0.25">
      <c r="A43" s="14">
        <v>38838</v>
      </c>
      <c r="B43" s="20">
        <v>117.19</v>
      </c>
      <c r="C43" s="7">
        <v>115.69</v>
      </c>
      <c r="E43" s="22">
        <v>115.687529671349</v>
      </c>
      <c r="F43" s="21">
        <v>114.738580130991</v>
      </c>
      <c r="G43" s="20">
        <v>1.0082705358500601</v>
      </c>
      <c r="H43" s="66">
        <v>1.0036147465482199</v>
      </c>
      <c r="I43" s="66">
        <v>1.0093388104935499</v>
      </c>
      <c r="J43" s="7" t="e">
        <v>#N/A</v>
      </c>
      <c r="K43" s="7" t="e">
        <v>#N/A</v>
      </c>
      <c r="L43" s="7" t="e">
        <v>#N/A</v>
      </c>
      <c r="N43" s="7">
        <f t="shared" si="1"/>
        <v>117.18999999999997</v>
      </c>
      <c r="O43" s="7">
        <f t="shared" si="2"/>
        <v>115.68752967134935</v>
      </c>
      <c r="Q43" s="9">
        <f t="shared" si="0"/>
        <v>-2.1353000700150286E-5</v>
      </c>
    </row>
    <row r="44" spans="1:17" x14ac:dyDescent="0.25">
      <c r="A44" s="14">
        <v>38869</v>
      </c>
      <c r="B44" s="20">
        <v>114.4</v>
      </c>
      <c r="C44" s="7">
        <v>114.81</v>
      </c>
      <c r="E44" s="22">
        <v>114.813663973567</v>
      </c>
      <c r="F44" s="21">
        <v>115.358938062711</v>
      </c>
      <c r="G44" s="20">
        <v>0.99527323934927103</v>
      </c>
      <c r="H44" s="66">
        <v>0.99417016417223703</v>
      </c>
      <c r="I44" s="66">
        <v>1.0022399786521199</v>
      </c>
      <c r="J44" s="7" t="e">
        <v>#N/A</v>
      </c>
      <c r="K44" s="7" t="e">
        <v>#N/A</v>
      </c>
      <c r="L44" s="7" t="e">
        <v>#N/A</v>
      </c>
      <c r="N44" s="7">
        <f t="shared" si="1"/>
        <v>114.39999999999969</v>
      </c>
      <c r="O44" s="7">
        <f t="shared" si="2"/>
        <v>114.81366397356631</v>
      </c>
      <c r="Q44" s="9">
        <f t="shared" si="0"/>
        <v>3.1913366144070782E-5</v>
      </c>
    </row>
    <row r="45" spans="1:17" x14ac:dyDescent="0.25">
      <c r="A45" s="14">
        <v>38899</v>
      </c>
      <c r="B45" s="20">
        <v>119.41</v>
      </c>
      <c r="C45" s="7">
        <v>116.95</v>
      </c>
      <c r="E45" s="22">
        <v>116.947738137172</v>
      </c>
      <c r="F45" s="21">
        <v>115.961956662367</v>
      </c>
      <c r="G45" s="20">
        <v>1.0085009041169799</v>
      </c>
      <c r="H45" s="66">
        <v>1.0328983103245899</v>
      </c>
      <c r="I45" s="66">
        <v>0.98853330246001803</v>
      </c>
      <c r="J45" s="7" t="e">
        <v>#N/A</v>
      </c>
      <c r="K45" s="7" t="e">
        <v>#N/A</v>
      </c>
      <c r="L45" s="7" t="e">
        <v>#N/A</v>
      </c>
      <c r="N45" s="7">
        <f t="shared" si="1"/>
        <v>119.40999999999919</v>
      </c>
      <c r="O45" s="7">
        <f t="shared" si="2"/>
        <v>116.94773813717116</v>
      </c>
      <c r="Q45" s="9">
        <f t="shared" si="0"/>
        <v>-1.934042606248064E-5</v>
      </c>
    </row>
    <row r="46" spans="1:17" x14ac:dyDescent="0.25">
      <c r="A46" s="14">
        <v>38930</v>
      </c>
      <c r="B46" s="20">
        <v>121.06</v>
      </c>
      <c r="C46" s="7">
        <v>116.6</v>
      </c>
      <c r="E46" s="22">
        <v>116.601432516701</v>
      </c>
      <c r="F46" s="21">
        <v>116.53865553833199</v>
      </c>
      <c r="G46" s="20">
        <v>1.0005386794457101</v>
      </c>
      <c r="H46" s="66">
        <v>1.02923105106979</v>
      </c>
      <c r="I46" s="66">
        <v>1.00875082638091</v>
      </c>
      <c r="J46" s="7" t="e">
        <v>#N/A</v>
      </c>
      <c r="K46" s="7" t="e">
        <v>#N/A</v>
      </c>
      <c r="L46" s="7" t="e">
        <v>#N/A</v>
      </c>
      <c r="N46" s="7">
        <f t="shared" si="1"/>
        <v>121.05999999999993</v>
      </c>
      <c r="O46" s="7">
        <f t="shared" si="2"/>
        <v>116.60143251670118</v>
      </c>
      <c r="Q46" s="9">
        <f t="shared" si="0"/>
        <v>1.2285735000012166E-5</v>
      </c>
    </row>
    <row r="47" spans="1:17" x14ac:dyDescent="0.25">
      <c r="A47" s="14">
        <v>38961</v>
      </c>
      <c r="B47" s="20">
        <v>116.21</v>
      </c>
      <c r="C47" s="7">
        <v>116.8</v>
      </c>
      <c r="E47" s="22">
        <v>116.797996843357</v>
      </c>
      <c r="F47" s="21">
        <v>117.234803331884</v>
      </c>
      <c r="G47" s="20">
        <v>0.99627408861436895</v>
      </c>
      <c r="H47" s="66">
        <v>0.99775860863615595</v>
      </c>
      <c r="I47" s="66">
        <v>0.99720081139746697</v>
      </c>
      <c r="J47" s="7" t="e">
        <v>#N/A</v>
      </c>
      <c r="K47" s="7" t="e">
        <v>#N/A</v>
      </c>
      <c r="L47" s="7" t="e">
        <v>#N/A</v>
      </c>
      <c r="N47" s="7">
        <f t="shared" si="1"/>
        <v>116.21000000000018</v>
      </c>
      <c r="O47" s="7">
        <f t="shared" si="2"/>
        <v>116.79799684335751</v>
      </c>
      <c r="Q47" s="9">
        <f t="shared" si="0"/>
        <v>-1.7150313724308352E-5</v>
      </c>
    </row>
    <row r="48" spans="1:17" x14ac:dyDescent="0.25">
      <c r="A48" s="14">
        <v>38991</v>
      </c>
      <c r="B48" s="20">
        <v>119.33</v>
      </c>
      <c r="C48" s="7">
        <v>118.07</v>
      </c>
      <c r="E48" s="22">
        <v>118.07270662266799</v>
      </c>
      <c r="F48" s="21">
        <v>118.030114301621</v>
      </c>
      <c r="G48" s="20">
        <v>1.00036085977973</v>
      </c>
      <c r="H48" s="66">
        <v>1.01785975933037</v>
      </c>
      <c r="I48" s="66">
        <v>0.99291524025847899</v>
      </c>
      <c r="J48" s="7" t="e">
        <v>#N/A</v>
      </c>
      <c r="K48" s="7" t="e">
        <v>#N/A</v>
      </c>
      <c r="L48" s="7" t="e">
        <v>#N/A</v>
      </c>
      <c r="N48" s="7">
        <f t="shared" si="1"/>
        <v>119.33000000000115</v>
      </c>
      <c r="O48" s="7">
        <f t="shared" si="2"/>
        <v>118.07270662266939</v>
      </c>
      <c r="Q48" s="9">
        <f t="shared" si="0"/>
        <v>2.2923881324642935E-5</v>
      </c>
    </row>
    <row r="49" spans="1:17" x14ac:dyDescent="0.25">
      <c r="A49" s="14">
        <v>39022</v>
      </c>
      <c r="B49" s="20">
        <v>118.67</v>
      </c>
      <c r="C49" s="7">
        <v>118.87</v>
      </c>
      <c r="E49" s="22">
        <v>118.866023115085</v>
      </c>
      <c r="F49" s="21">
        <v>118.81480110743399</v>
      </c>
      <c r="G49" s="20">
        <v>1.0004311079694901</v>
      </c>
      <c r="H49" s="66">
        <v>0.998350890271684</v>
      </c>
      <c r="I49" s="66">
        <v>1</v>
      </c>
      <c r="J49" s="7" t="e">
        <v>#N/A</v>
      </c>
      <c r="K49" s="7" t="e">
        <v>#N/A</v>
      </c>
      <c r="L49" s="7" t="e">
        <v>#N/A</v>
      </c>
      <c r="N49" s="7">
        <f t="shared" si="1"/>
        <v>118.66999999999946</v>
      </c>
      <c r="O49" s="7">
        <f t="shared" si="2"/>
        <v>118.86602311508479</v>
      </c>
      <c r="Q49" s="9">
        <f t="shared" si="0"/>
        <v>-3.3455749263944058E-5</v>
      </c>
    </row>
    <row r="50" spans="1:17" x14ac:dyDescent="0.25">
      <c r="A50" s="14">
        <v>39052</v>
      </c>
      <c r="B50" s="20">
        <v>116.3</v>
      </c>
      <c r="C50" s="7">
        <v>119.87</v>
      </c>
      <c r="E50" s="22">
        <v>119.868640356285</v>
      </c>
      <c r="F50" s="21">
        <v>119.485937175117</v>
      </c>
      <c r="G50" s="20">
        <v>1.0032029140015599</v>
      </c>
      <c r="H50" s="66">
        <v>0.97969929333695105</v>
      </c>
      <c r="I50" s="66">
        <v>0.99033320473568098</v>
      </c>
      <c r="J50" s="7" t="e">
        <v>#N/A</v>
      </c>
      <c r="K50" s="7" t="e">
        <v>#N/A</v>
      </c>
      <c r="L50" s="7" t="e">
        <v>#N/A</v>
      </c>
      <c r="N50" s="7">
        <f t="shared" si="1"/>
        <v>116.29999999999967</v>
      </c>
      <c r="O50" s="7">
        <f t="shared" si="2"/>
        <v>119.86864035628469</v>
      </c>
      <c r="Q50" s="9">
        <f t="shared" si="0"/>
        <v>-1.134265216489223E-5</v>
      </c>
    </row>
    <row r="51" spans="1:17" x14ac:dyDescent="0.25">
      <c r="A51" s="14">
        <v>39083</v>
      </c>
      <c r="B51" s="20">
        <v>114.79</v>
      </c>
      <c r="C51" s="7">
        <v>119.71</v>
      </c>
      <c r="E51" s="22">
        <v>119.709200807885</v>
      </c>
      <c r="F51" s="21">
        <v>119.885347050514</v>
      </c>
      <c r="G51" s="20">
        <v>0.99853071082528599</v>
      </c>
      <c r="H51" s="66">
        <v>0.95298548811119099</v>
      </c>
      <c r="I51" s="66">
        <v>1.0062137255255801</v>
      </c>
      <c r="J51" s="7" t="e">
        <v>#N/A</v>
      </c>
      <c r="K51" s="7" t="e">
        <v>#N/A</v>
      </c>
      <c r="L51" s="7" t="e">
        <v>#N/A</v>
      </c>
      <c r="N51" s="7">
        <f t="shared" si="1"/>
        <v>114.79000000000015</v>
      </c>
      <c r="O51" s="7">
        <f t="shared" si="2"/>
        <v>119.70920080788585</v>
      </c>
      <c r="Q51" s="9">
        <f t="shared" si="0"/>
        <v>-6.6760681229351935E-6</v>
      </c>
    </row>
    <row r="52" spans="1:17" x14ac:dyDescent="0.25">
      <c r="A52" s="14">
        <v>39114</v>
      </c>
      <c r="B52" s="20">
        <v>113.33</v>
      </c>
      <c r="C52" s="7">
        <v>120.16</v>
      </c>
      <c r="E52" s="22">
        <v>120.163267372447</v>
      </c>
      <c r="F52" s="21">
        <v>120.170225671426</v>
      </c>
      <c r="G52" s="20">
        <v>0.99994209631429298</v>
      </c>
      <c r="H52" s="66">
        <v>0.95184626371782899</v>
      </c>
      <c r="I52" s="66">
        <v>0.99084643348383294</v>
      </c>
      <c r="J52" s="7" t="e">
        <v>#N/A</v>
      </c>
      <c r="K52" s="7" t="e">
        <v>#N/A</v>
      </c>
      <c r="L52" s="7" t="e">
        <v>#N/A</v>
      </c>
      <c r="N52" s="7">
        <f t="shared" si="1"/>
        <v>113.32999999999996</v>
      </c>
      <c r="O52" s="7">
        <f t="shared" si="2"/>
        <v>120.16326737244738</v>
      </c>
      <c r="Q52" s="9">
        <f t="shared" si="0"/>
        <v>2.7191847927752217E-5</v>
      </c>
    </row>
    <row r="53" spans="1:17" x14ac:dyDescent="0.25">
      <c r="A53" s="14">
        <v>39142</v>
      </c>
      <c r="B53" s="20">
        <v>125.11</v>
      </c>
      <c r="C53" s="7">
        <v>119.34</v>
      </c>
      <c r="E53" s="22">
        <v>119.34280677963601</v>
      </c>
      <c r="F53" s="21">
        <v>120.619873205063</v>
      </c>
      <c r="G53" s="20">
        <v>0.98941247083508899</v>
      </c>
      <c r="H53" s="66">
        <v>1.0368988003792901</v>
      </c>
      <c r="I53" s="66">
        <v>1.0110192027487199</v>
      </c>
      <c r="J53" s="7" t="e">
        <v>#N/A</v>
      </c>
      <c r="K53" s="7" t="e">
        <v>#N/A</v>
      </c>
      <c r="L53" s="7" t="e">
        <v>#N/A</v>
      </c>
      <c r="N53" s="7">
        <f t="shared" si="1"/>
        <v>125.11000000000061</v>
      </c>
      <c r="O53" s="7">
        <f t="shared" si="2"/>
        <v>119.34280677963653</v>
      </c>
      <c r="Q53" s="9">
        <f t="shared" si="0"/>
        <v>2.3519185822049591E-5</v>
      </c>
    </row>
    <row r="54" spans="1:17" x14ac:dyDescent="0.25">
      <c r="A54" s="14">
        <v>39173</v>
      </c>
      <c r="B54" s="20">
        <v>120.29</v>
      </c>
      <c r="C54" s="7">
        <v>121.14</v>
      </c>
      <c r="E54" s="22">
        <v>121.135931900979</v>
      </c>
      <c r="F54" s="21">
        <v>121.386491816453</v>
      </c>
      <c r="G54" s="20">
        <v>0.99793585009563701</v>
      </c>
      <c r="H54" s="66">
        <v>1.00189745089946</v>
      </c>
      <c r="I54" s="66">
        <v>0.99113604039248504</v>
      </c>
      <c r="J54" s="7" t="e">
        <v>#N/A</v>
      </c>
      <c r="K54" s="7" t="e">
        <v>#N/A</v>
      </c>
      <c r="L54" s="7" t="e">
        <v>#N/A</v>
      </c>
      <c r="N54" s="7">
        <f t="shared" si="1"/>
        <v>120.28999999999999</v>
      </c>
      <c r="O54" s="7">
        <f t="shared" si="2"/>
        <v>121.13593190097912</v>
      </c>
      <c r="Q54" s="9">
        <f t="shared" si="0"/>
        <v>-3.3581798093097295E-5</v>
      </c>
    </row>
    <row r="55" spans="1:17" x14ac:dyDescent="0.25">
      <c r="A55" s="14">
        <v>39203</v>
      </c>
      <c r="B55" s="20">
        <v>123.9</v>
      </c>
      <c r="C55" s="7">
        <v>122.39</v>
      </c>
      <c r="E55" s="22">
        <v>122.390623496016</v>
      </c>
      <c r="F55" s="21">
        <v>122.34712200942499</v>
      </c>
      <c r="G55" s="20">
        <v>1.0003555579066901</v>
      </c>
      <c r="H55" s="66">
        <v>1.00428865379326</v>
      </c>
      <c r="I55" s="66">
        <v>1.0080094485729501</v>
      </c>
      <c r="J55" s="7" t="e">
        <v>#N/A</v>
      </c>
      <c r="K55" s="7" t="e">
        <v>#N/A</v>
      </c>
      <c r="L55" s="7" t="e">
        <v>#N/A</v>
      </c>
      <c r="N55" s="7">
        <f t="shared" si="1"/>
        <v>123.89999999999924</v>
      </c>
      <c r="O55" s="7">
        <f t="shared" si="2"/>
        <v>122.39062349601622</v>
      </c>
      <c r="Q55" s="9">
        <f t="shared" si="0"/>
        <v>5.0943379034586984E-6</v>
      </c>
    </row>
    <row r="56" spans="1:17" x14ac:dyDescent="0.25">
      <c r="A56" s="14">
        <v>39234</v>
      </c>
      <c r="B56" s="20">
        <v>122.38</v>
      </c>
      <c r="C56" s="7">
        <v>123.47</v>
      </c>
      <c r="E56" s="22">
        <v>123.47017542367399</v>
      </c>
      <c r="F56" s="21">
        <v>123.247043718288</v>
      </c>
      <c r="G56" s="20">
        <v>1.0018104426577299</v>
      </c>
      <c r="H56" s="66">
        <v>0.99453215629708602</v>
      </c>
      <c r="I56" s="66">
        <v>0.99661989820149699</v>
      </c>
      <c r="J56" s="7" t="e">
        <v>#N/A</v>
      </c>
      <c r="K56" s="7" t="e">
        <v>#N/A</v>
      </c>
      <c r="L56" s="7" t="e">
        <v>#N/A</v>
      </c>
      <c r="N56" s="7">
        <f t="shared" si="1"/>
        <v>122.38000000000099</v>
      </c>
      <c r="O56" s="7">
        <f t="shared" si="2"/>
        <v>123.47017542367469</v>
      </c>
      <c r="Q56" s="9">
        <f t="shared" si="0"/>
        <v>1.4207797359208403E-6</v>
      </c>
    </row>
    <row r="57" spans="1:17" x14ac:dyDescent="0.25">
      <c r="A57" s="14">
        <v>39264</v>
      </c>
      <c r="B57" s="20">
        <v>127.85</v>
      </c>
      <c r="C57" s="7">
        <v>124.29</v>
      </c>
      <c r="E57" s="22">
        <v>124.28845365242699</v>
      </c>
      <c r="F57" s="21">
        <v>124.038077482974</v>
      </c>
      <c r="G57" s="20">
        <v>1.00201854280987</v>
      </c>
      <c r="H57" s="66">
        <v>1.0333896428787299</v>
      </c>
      <c r="I57" s="66">
        <v>0.99541880986940701</v>
      </c>
      <c r="J57" s="7" t="e">
        <v>#N/A</v>
      </c>
      <c r="K57" s="7" t="e">
        <v>#N/A</v>
      </c>
      <c r="L57" s="7" t="e">
        <v>#N/A</v>
      </c>
      <c r="N57" s="7">
        <f t="shared" si="1"/>
        <v>127.85000000000051</v>
      </c>
      <c r="O57" s="7">
        <f t="shared" si="2"/>
        <v>124.28845365242736</v>
      </c>
      <c r="Q57" s="9">
        <f t="shared" si="0"/>
        <v>-1.2441448008782126E-5</v>
      </c>
    </row>
    <row r="58" spans="1:17" x14ac:dyDescent="0.25">
      <c r="A58" s="14">
        <v>39295</v>
      </c>
      <c r="B58" s="20">
        <v>129.05000000000001</v>
      </c>
      <c r="C58" s="7">
        <v>124.25</v>
      </c>
      <c r="E58" s="22">
        <v>124.251457605472</v>
      </c>
      <c r="F58" s="21">
        <v>124.704109552682</v>
      </c>
      <c r="G58" s="20">
        <v>0.99637019221874001</v>
      </c>
      <c r="H58" s="66">
        <v>1.0306562889565201</v>
      </c>
      <c r="I58" s="66">
        <v>1.00772645312174</v>
      </c>
      <c r="J58" s="7" t="e">
        <v>#N/A</v>
      </c>
      <c r="K58" s="7" t="e">
        <v>#N/A</v>
      </c>
      <c r="L58" s="7" t="e">
        <v>#N/A</v>
      </c>
      <c r="N58" s="7">
        <f t="shared" si="1"/>
        <v>129.05000000000013</v>
      </c>
      <c r="O58" s="7">
        <f t="shared" si="2"/>
        <v>124.25145760547258</v>
      </c>
      <c r="Q58" s="9">
        <f t="shared" si="0"/>
        <v>1.1731231162962863E-5</v>
      </c>
    </row>
    <row r="59" spans="1:17" x14ac:dyDescent="0.25">
      <c r="A59" s="14">
        <v>39326</v>
      </c>
      <c r="B59" s="20">
        <v>123.24</v>
      </c>
      <c r="C59" s="7">
        <v>125.29</v>
      </c>
      <c r="E59" s="22">
        <v>125.28513263087601</v>
      </c>
      <c r="F59" s="21">
        <v>125.312055487731</v>
      </c>
      <c r="G59" s="20">
        <v>0.99978515349740105</v>
      </c>
      <c r="H59" s="66">
        <v>0.99839642553991403</v>
      </c>
      <c r="I59" s="66">
        <v>0.98525610612368097</v>
      </c>
      <c r="J59" s="7" t="e">
        <v>#N/A</v>
      </c>
      <c r="K59" s="7" t="e">
        <v>#N/A</v>
      </c>
      <c r="L59" s="7" t="e">
        <v>#N/A</v>
      </c>
      <c r="N59" s="7">
        <f t="shared" si="1"/>
        <v>123.23999999999953</v>
      </c>
      <c r="O59" s="7">
        <f t="shared" si="2"/>
        <v>125.28513263087598</v>
      </c>
      <c r="Q59" s="9">
        <f t="shared" si="0"/>
        <v>-3.8848823720965479E-5</v>
      </c>
    </row>
    <row r="60" spans="1:17" x14ac:dyDescent="0.25">
      <c r="A60" s="14">
        <v>39356</v>
      </c>
      <c r="B60" s="20">
        <v>129.16999999999999</v>
      </c>
      <c r="C60" s="7">
        <v>126.29</v>
      </c>
      <c r="E60" s="22">
        <v>126.293279078268</v>
      </c>
      <c r="F60" s="21">
        <v>125.938864338304</v>
      </c>
      <c r="G60" s="20">
        <v>1.0028141808474</v>
      </c>
      <c r="H60" s="66">
        <v>1.0188226627580701</v>
      </c>
      <c r="I60" s="66">
        <v>1.0038823607292</v>
      </c>
      <c r="J60" s="7" t="e">
        <v>#N/A</v>
      </c>
      <c r="K60" s="7" t="e">
        <v>#N/A</v>
      </c>
      <c r="L60" s="7" t="e">
        <v>#N/A</v>
      </c>
      <c r="N60" s="7">
        <f t="shared" si="1"/>
        <v>129.16999999999967</v>
      </c>
      <c r="O60" s="7">
        <f t="shared" si="2"/>
        <v>126.29327907826817</v>
      </c>
      <c r="Q60" s="9">
        <f t="shared" si="0"/>
        <v>2.596467074189481E-5</v>
      </c>
    </row>
    <row r="61" spans="1:17" x14ac:dyDescent="0.25">
      <c r="A61" s="14">
        <v>39387</v>
      </c>
      <c r="B61" s="20">
        <v>125.88</v>
      </c>
      <c r="C61" s="7">
        <v>126.22</v>
      </c>
      <c r="E61" s="22">
        <v>126.22120534469001</v>
      </c>
      <c r="F61" s="21">
        <v>126.49744298686601</v>
      </c>
      <c r="G61" s="20">
        <v>0.99781625908277005</v>
      </c>
      <c r="H61" s="66">
        <v>0.99729676686450297</v>
      </c>
      <c r="I61" s="66">
        <v>1</v>
      </c>
      <c r="J61" s="7" t="e">
        <v>#N/A</v>
      </c>
      <c r="K61" s="7" t="e">
        <v>#N/A</v>
      </c>
      <c r="L61" s="7" t="e">
        <v>#N/A</v>
      </c>
      <c r="N61" s="7">
        <f t="shared" si="1"/>
        <v>125.88000000000048</v>
      </c>
      <c r="O61" s="7">
        <f t="shared" si="2"/>
        <v>126.22120534469062</v>
      </c>
      <c r="Q61" s="9">
        <f t="shared" si="0"/>
        <v>9.5495538742424498E-6</v>
      </c>
    </row>
    <row r="62" spans="1:17" x14ac:dyDescent="0.25">
      <c r="A62" s="14">
        <v>39417</v>
      </c>
      <c r="B62" s="20">
        <v>122.43</v>
      </c>
      <c r="C62" s="7">
        <v>126.9</v>
      </c>
      <c r="E62" s="22">
        <v>126.90051219800399</v>
      </c>
      <c r="F62" s="21">
        <v>126.81313586526799</v>
      </c>
      <c r="G62" s="20">
        <v>1.00068901641885</v>
      </c>
      <c r="H62" s="66">
        <v>0.97971375597943799</v>
      </c>
      <c r="I62" s="66">
        <v>0.98474836530611098</v>
      </c>
      <c r="J62" s="7" t="e">
        <v>#N/A</v>
      </c>
      <c r="K62" s="7" t="e">
        <v>#N/A</v>
      </c>
      <c r="L62" s="7" t="e">
        <v>#N/A</v>
      </c>
      <c r="N62" s="7">
        <f t="shared" si="1"/>
        <v>122.43000000000085</v>
      </c>
      <c r="O62" s="7">
        <f t="shared" si="2"/>
        <v>126.90051219800502</v>
      </c>
      <c r="Q62" s="9">
        <f t="shared" si="0"/>
        <v>4.0362332859639759E-6</v>
      </c>
    </row>
    <row r="63" spans="1:17" x14ac:dyDescent="0.25">
      <c r="A63" s="14">
        <v>39448</v>
      </c>
      <c r="B63" s="20">
        <v>121.86</v>
      </c>
      <c r="C63" s="7">
        <v>127.22</v>
      </c>
      <c r="E63" s="22">
        <v>127.22351323624601</v>
      </c>
      <c r="F63" s="21">
        <v>126.859197600559</v>
      </c>
      <c r="G63" s="20">
        <v>1.00287181097293</v>
      </c>
      <c r="H63" s="66">
        <v>0.95318219682155503</v>
      </c>
      <c r="I63" s="66">
        <v>1.00488847953604</v>
      </c>
      <c r="J63" s="7" t="e">
        <v>#N/A</v>
      </c>
      <c r="K63" s="7" t="e">
        <v>#N/A</v>
      </c>
      <c r="L63" s="7" t="e">
        <v>#N/A</v>
      </c>
      <c r="N63" s="7">
        <f t="shared" si="1"/>
        <v>121.8599999999996</v>
      </c>
      <c r="O63" s="7">
        <f t="shared" si="2"/>
        <v>127.22351323624538</v>
      </c>
      <c r="Q63" s="9">
        <f t="shared" si="0"/>
        <v>2.7615439757958834E-5</v>
      </c>
    </row>
    <row r="64" spans="1:17" x14ac:dyDescent="0.25">
      <c r="A64" s="14">
        <v>39479</v>
      </c>
      <c r="B64" s="20">
        <v>121.91</v>
      </c>
      <c r="C64" s="7">
        <v>126.84</v>
      </c>
      <c r="E64" s="22">
        <v>126.83586051399099</v>
      </c>
      <c r="F64" s="21">
        <v>126.893587725714</v>
      </c>
      <c r="G64" s="20">
        <v>0.99954507384685398</v>
      </c>
      <c r="H64" s="66">
        <v>0.95176375722119999</v>
      </c>
      <c r="I64" s="66">
        <v>1.00987613336402</v>
      </c>
      <c r="J64" s="7" t="e">
        <v>#N/A</v>
      </c>
      <c r="K64" s="7" t="e">
        <v>#N/A</v>
      </c>
      <c r="L64" s="7" t="e">
        <v>#N/A</v>
      </c>
      <c r="N64" s="7">
        <f t="shared" si="1"/>
        <v>121.91000000000075</v>
      </c>
      <c r="O64" s="7">
        <f t="shared" si="2"/>
        <v>126.83586051399104</v>
      </c>
      <c r="Q64" s="9">
        <f t="shared" si="0"/>
        <v>-3.2635493606191852E-5</v>
      </c>
    </row>
    <row r="65" spans="1:17" x14ac:dyDescent="0.25">
      <c r="A65" s="14">
        <v>39508</v>
      </c>
      <c r="B65" s="20">
        <v>128.99</v>
      </c>
      <c r="C65" s="7">
        <v>126.35</v>
      </c>
      <c r="E65" s="22">
        <v>126.349338918198</v>
      </c>
      <c r="F65" s="21">
        <v>127.258138133757</v>
      </c>
      <c r="G65" s="20">
        <v>0.99285861612556503</v>
      </c>
      <c r="H65" s="66">
        <v>1.0358686231451599</v>
      </c>
      <c r="I65" s="66">
        <v>0.98554938319656604</v>
      </c>
      <c r="J65" s="7" t="e">
        <v>#N/A</v>
      </c>
      <c r="K65" s="7" t="e">
        <v>#N/A</v>
      </c>
      <c r="L65" s="7" t="e">
        <v>#N/A</v>
      </c>
      <c r="N65" s="7">
        <f t="shared" si="1"/>
        <v>128.98999999999975</v>
      </c>
      <c r="O65" s="7">
        <f t="shared" si="2"/>
        <v>126.34933891819797</v>
      </c>
      <c r="Q65" s="9">
        <f t="shared" si="0"/>
        <v>-5.2321472259093474E-6</v>
      </c>
    </row>
    <row r="66" spans="1:17" x14ac:dyDescent="0.25">
      <c r="A66" s="14">
        <v>39539</v>
      </c>
      <c r="B66" s="20">
        <v>129.47999999999999</v>
      </c>
      <c r="C66" s="7">
        <v>127.73</v>
      </c>
      <c r="E66" s="22">
        <v>127.72569199262701</v>
      </c>
      <c r="F66" s="21">
        <v>128.11191063606901</v>
      </c>
      <c r="G66" s="20">
        <v>0.99698530260360496</v>
      </c>
      <c r="H66" s="66">
        <v>0.99977954029362104</v>
      </c>
      <c r="I66" s="66">
        <v>1.01395850276305</v>
      </c>
      <c r="J66" s="7" t="e">
        <v>#N/A</v>
      </c>
      <c r="K66" s="7" t="e">
        <v>#N/A</v>
      </c>
      <c r="L66" s="7" t="e">
        <v>#N/A</v>
      </c>
      <c r="N66" s="7">
        <f t="shared" si="1"/>
        <v>129.47999999999982</v>
      </c>
      <c r="O66" s="7">
        <f t="shared" si="2"/>
        <v>127.72569199262726</v>
      </c>
      <c r="Q66" s="9">
        <f t="shared" si="0"/>
        <v>-3.3727451444438978E-5</v>
      </c>
    </row>
    <row r="67" spans="1:17" x14ac:dyDescent="0.25">
      <c r="A67" s="14">
        <v>39569</v>
      </c>
      <c r="B67" s="20">
        <v>128.91999999999999</v>
      </c>
      <c r="C67" s="7">
        <v>129.41999999999999</v>
      </c>
      <c r="E67" s="22">
        <v>129.41832033864</v>
      </c>
      <c r="F67" s="21">
        <v>129.30213062690501</v>
      </c>
      <c r="G67" s="20">
        <v>1.00089859085207</v>
      </c>
      <c r="H67" s="66">
        <v>1.0047840905075101</v>
      </c>
      <c r="I67" s="66">
        <v>0.99140655918239995</v>
      </c>
      <c r="J67" s="7" t="e">
        <v>#N/A</v>
      </c>
      <c r="K67" s="7" t="e">
        <v>#N/A</v>
      </c>
      <c r="L67" s="7" t="e">
        <v>#N/A</v>
      </c>
      <c r="N67" s="7">
        <f t="shared" si="1"/>
        <v>128.91999999999982</v>
      </c>
      <c r="O67" s="7">
        <f t="shared" si="2"/>
        <v>129.41832033863952</v>
      </c>
      <c r="Q67" s="9">
        <f t="shared" si="0"/>
        <v>-1.2978375521453714E-5</v>
      </c>
    </row>
    <row r="68" spans="1:17" x14ac:dyDescent="0.25">
      <c r="A68" s="14">
        <v>39600</v>
      </c>
      <c r="B68" s="20">
        <v>130.59</v>
      </c>
      <c r="C68" s="7">
        <v>131.19999999999999</v>
      </c>
      <c r="E68" s="22">
        <v>131.20342560078799</v>
      </c>
      <c r="F68" s="21">
        <v>130.34996135288901</v>
      </c>
      <c r="G68" s="20">
        <v>1.00654748370495</v>
      </c>
      <c r="H68" s="66">
        <v>0.99540642367176302</v>
      </c>
      <c r="I68" s="66">
        <v>0.99991782089926295</v>
      </c>
      <c r="J68" s="7" t="e">
        <v>#N/A</v>
      </c>
      <c r="K68" s="7" t="e">
        <v>#N/A</v>
      </c>
      <c r="L68" s="7" t="e">
        <v>#N/A</v>
      </c>
      <c r="N68" s="7">
        <f t="shared" ref="N68:N131" si="3">F68*G68*H68*I68</f>
        <v>130.58999999999969</v>
      </c>
      <c r="O68" s="7">
        <f t="shared" ref="O68:O131" si="4">G68*F68</f>
        <v>131.20342560078791</v>
      </c>
      <c r="Q68" s="9">
        <f t="shared" ref="Q68:Q105" si="5">(E68-C68)/C68</f>
        <v>2.6109762103704441E-5</v>
      </c>
    </row>
    <row r="69" spans="1:17" x14ac:dyDescent="0.25">
      <c r="A69" s="14">
        <v>39630</v>
      </c>
      <c r="B69" s="20">
        <v>136.53</v>
      </c>
      <c r="C69" s="7">
        <v>130.96</v>
      </c>
      <c r="E69" s="22">
        <v>130.96313614634701</v>
      </c>
      <c r="F69" s="21">
        <v>130.94867848945501</v>
      </c>
      <c r="G69" s="20">
        <v>1.00011040704694</v>
      </c>
      <c r="H69" s="66">
        <v>1.0334634463774599</v>
      </c>
      <c r="I69" s="66">
        <v>1.00875082638091</v>
      </c>
      <c r="J69" s="7" t="e">
        <v>#N/A</v>
      </c>
      <c r="K69" s="7" t="e">
        <v>#N/A</v>
      </c>
      <c r="L69" s="7" t="e">
        <v>#N/A</v>
      </c>
      <c r="N69" s="7">
        <f t="shared" si="3"/>
        <v>136.530000000001</v>
      </c>
      <c r="O69" s="7">
        <f t="shared" si="4"/>
        <v>130.96313614634772</v>
      </c>
      <c r="Q69" s="9">
        <f t="shared" si="5"/>
        <v>2.3947360621590044E-5</v>
      </c>
    </row>
    <row r="70" spans="1:17" x14ac:dyDescent="0.25">
      <c r="A70" s="14">
        <v>39661</v>
      </c>
      <c r="B70" s="20">
        <v>133.87</v>
      </c>
      <c r="C70" s="7">
        <v>130.94999999999999</v>
      </c>
      <c r="E70" s="22">
        <v>130.94507589333</v>
      </c>
      <c r="F70" s="21">
        <v>131.09259003660799</v>
      </c>
      <c r="G70" s="20">
        <v>0.99887473316960995</v>
      </c>
      <c r="H70" s="66">
        <v>1.0317996425876399</v>
      </c>
      <c r="I70" s="66">
        <v>0.99082902139240003</v>
      </c>
      <c r="J70" s="7" t="e">
        <v>#N/A</v>
      </c>
      <c r="K70" s="7" t="e">
        <v>#N/A</v>
      </c>
      <c r="L70" s="7" t="e">
        <v>#N/A</v>
      </c>
      <c r="N70" s="7">
        <f t="shared" si="3"/>
        <v>133.87000000000012</v>
      </c>
      <c r="O70" s="7">
        <f t="shared" si="4"/>
        <v>130.94507589332986</v>
      </c>
      <c r="Q70" s="9">
        <f t="shared" si="5"/>
        <v>-3.7602952806332304E-5</v>
      </c>
    </row>
    <row r="71" spans="1:17" x14ac:dyDescent="0.25">
      <c r="A71" s="14">
        <v>39692</v>
      </c>
      <c r="B71" s="20">
        <v>132.6</v>
      </c>
      <c r="C71" s="7">
        <v>130.94</v>
      </c>
      <c r="E71" s="22">
        <v>130.93818790177201</v>
      </c>
      <c r="F71" s="21">
        <v>131.10246702979899</v>
      </c>
      <c r="G71" s="20">
        <v>0.99874694098632499</v>
      </c>
      <c r="H71" s="66">
        <v>0.99934676907194397</v>
      </c>
      <c r="I71" s="66">
        <v>1.0133535308997601</v>
      </c>
      <c r="J71" s="7" t="e">
        <v>#N/A</v>
      </c>
      <c r="K71" s="7" t="e">
        <v>#N/A</v>
      </c>
      <c r="L71" s="7" t="e">
        <v>#N/A</v>
      </c>
      <c r="N71" s="7">
        <f t="shared" si="3"/>
        <v>132.60000000000022</v>
      </c>
      <c r="O71" s="7">
        <f t="shared" si="4"/>
        <v>130.93818790177227</v>
      </c>
      <c r="Q71" s="9">
        <f t="shared" si="5"/>
        <v>-1.3839149442391785E-5</v>
      </c>
    </row>
    <row r="72" spans="1:17" x14ac:dyDescent="0.25">
      <c r="A72" s="14">
        <v>39722</v>
      </c>
      <c r="B72" s="20">
        <v>132.80000000000001</v>
      </c>
      <c r="C72" s="7">
        <v>128.13</v>
      </c>
      <c r="E72" s="22">
        <v>128.13046690950699</v>
      </c>
      <c r="F72" s="21">
        <v>127.92572331018199</v>
      </c>
      <c r="G72" s="20">
        <v>1.0016004881116001</v>
      </c>
      <c r="H72" s="66">
        <v>1.01935495011544</v>
      </c>
      <c r="I72" s="66">
        <v>1.0167641616921199</v>
      </c>
      <c r="J72" s="7" t="e">
        <v>#N/A</v>
      </c>
      <c r="K72" s="7" t="e">
        <v>#N/A</v>
      </c>
      <c r="L72" s="7" t="e">
        <v>#N/A</v>
      </c>
      <c r="N72" s="7">
        <f t="shared" si="3"/>
        <v>132.80000000000138</v>
      </c>
      <c r="O72" s="7">
        <f t="shared" si="4"/>
        <v>128.13046690950779</v>
      </c>
      <c r="Q72" s="9">
        <f t="shared" si="5"/>
        <v>3.6440295558973411E-6</v>
      </c>
    </row>
    <row r="73" spans="1:17" x14ac:dyDescent="0.25">
      <c r="A73" s="14">
        <v>39753</v>
      </c>
      <c r="B73" s="20">
        <v>124.58</v>
      </c>
      <c r="C73" s="7">
        <v>125.06</v>
      </c>
      <c r="E73" s="22">
        <v>125.063975179057</v>
      </c>
      <c r="F73" s="21">
        <v>125.409355400523</v>
      </c>
      <c r="G73" s="20">
        <v>0.99724597722106001</v>
      </c>
      <c r="H73" s="66">
        <v>0.99613017914739699</v>
      </c>
      <c r="I73" s="66">
        <v>1</v>
      </c>
      <c r="J73" s="7" t="e">
        <v>#N/A</v>
      </c>
      <c r="K73" s="7" t="e">
        <v>#N/A</v>
      </c>
      <c r="L73" s="7" t="e">
        <v>#N/A</v>
      </c>
      <c r="N73" s="7">
        <f t="shared" si="3"/>
        <v>124.58000000000044</v>
      </c>
      <c r="O73" s="7">
        <f t="shared" si="4"/>
        <v>125.06397517905778</v>
      </c>
      <c r="Q73" s="9">
        <f t="shared" si="5"/>
        <v>3.1786175091905794E-5</v>
      </c>
    </row>
    <row r="74" spans="1:17" x14ac:dyDescent="0.25">
      <c r="A74" s="14">
        <v>39783</v>
      </c>
      <c r="B74" s="20">
        <v>118.9</v>
      </c>
      <c r="C74" s="7">
        <v>120.95</v>
      </c>
      <c r="E74" s="22">
        <v>120.94629257877</v>
      </c>
      <c r="F74" s="21">
        <v>125.691461058478</v>
      </c>
      <c r="G74" s="20">
        <v>0.96224748730146503</v>
      </c>
      <c r="H74" s="66">
        <v>0.97898344026432305</v>
      </c>
      <c r="I74" s="66">
        <v>1.00418550603163</v>
      </c>
      <c r="J74" s="7" t="e">
        <v>#N/A</v>
      </c>
      <c r="K74" s="7" t="e">
        <v>#N/A</v>
      </c>
      <c r="L74" s="7" t="e">
        <v>#N/A</v>
      </c>
      <c r="N74" s="7">
        <f t="shared" si="3"/>
        <v>118.89999999999962</v>
      </c>
      <c r="O74" s="7">
        <f t="shared" si="4"/>
        <v>120.9462925787704</v>
      </c>
      <c r="Q74" s="9">
        <f t="shared" si="5"/>
        <v>-3.0652511203010462E-5</v>
      </c>
    </row>
    <row r="75" spans="1:17" x14ac:dyDescent="0.25">
      <c r="A75" s="14">
        <v>39814</v>
      </c>
      <c r="B75" s="20">
        <v>115.2</v>
      </c>
      <c r="C75" s="7">
        <v>120.85</v>
      </c>
      <c r="E75" s="22">
        <v>120.850700865896</v>
      </c>
      <c r="F75" s="21">
        <v>125.976649386448</v>
      </c>
      <c r="G75" s="20">
        <v>0.95931032817973105</v>
      </c>
      <c r="H75" s="66">
        <v>0.95351387293262901</v>
      </c>
      <c r="I75" s="66">
        <v>0.99971518679043303</v>
      </c>
      <c r="J75" s="7" t="e">
        <v>#N/A</v>
      </c>
      <c r="K75" s="7" t="e">
        <v>#N/A</v>
      </c>
      <c r="L75" s="7" t="e">
        <v>#N/A</v>
      </c>
      <c r="N75" s="7">
        <f t="shared" si="3"/>
        <v>115.20000000000043</v>
      </c>
      <c r="O75" s="7">
        <f t="shared" si="4"/>
        <v>120.85070086589634</v>
      </c>
      <c r="Q75" s="9">
        <f t="shared" si="5"/>
        <v>5.7994695573643806E-6</v>
      </c>
    </row>
    <row r="76" spans="1:17" x14ac:dyDescent="0.25">
      <c r="A76" s="14">
        <v>39845</v>
      </c>
      <c r="B76" s="20">
        <v>115.26</v>
      </c>
      <c r="C76" s="7">
        <v>122.19</v>
      </c>
      <c r="E76" s="22">
        <v>122.18762654451299</v>
      </c>
      <c r="F76" s="21">
        <v>126.27760041317801</v>
      </c>
      <c r="G76" s="20">
        <v>0.96761124811302601</v>
      </c>
      <c r="H76" s="66">
        <v>0.95201772848829602</v>
      </c>
      <c r="I76" s="66">
        <v>0.99084643348383294</v>
      </c>
      <c r="J76" s="7" t="e">
        <v>#N/A</v>
      </c>
      <c r="K76" s="7" t="e">
        <v>#N/A</v>
      </c>
      <c r="L76" s="7" t="e">
        <v>#N/A</v>
      </c>
      <c r="N76" s="7">
        <f t="shared" si="3"/>
        <v>115.25999999999993</v>
      </c>
      <c r="O76" s="7">
        <f t="shared" si="4"/>
        <v>122.18762654451314</v>
      </c>
      <c r="Q76" s="9">
        <f t="shared" si="5"/>
        <v>-1.9424302209699522E-5</v>
      </c>
    </row>
    <row r="77" spans="1:17" x14ac:dyDescent="0.25">
      <c r="A77" s="14">
        <v>39873</v>
      </c>
      <c r="B77" s="20">
        <v>127.81</v>
      </c>
      <c r="C77" s="7">
        <v>122.96</v>
      </c>
      <c r="E77" s="22">
        <v>122.963596948842</v>
      </c>
      <c r="F77" s="21">
        <v>126.694170884662</v>
      </c>
      <c r="G77" s="20">
        <v>0.97055449426149198</v>
      </c>
      <c r="H77" s="66">
        <v>1.0351254454566201</v>
      </c>
      <c r="I77" s="66">
        <v>1.00414236761376</v>
      </c>
      <c r="J77" s="7" t="e">
        <v>#N/A</v>
      </c>
      <c r="K77" s="7" t="e">
        <v>#N/A</v>
      </c>
      <c r="L77" s="7" t="e">
        <v>#N/A</v>
      </c>
      <c r="N77" s="7">
        <f t="shared" si="3"/>
        <v>127.81000000000007</v>
      </c>
      <c r="O77" s="7">
        <f t="shared" si="4"/>
        <v>122.96359694884217</v>
      </c>
      <c r="Q77" s="9">
        <f t="shared" si="5"/>
        <v>2.925299969097458E-5</v>
      </c>
    </row>
    <row r="78" spans="1:17" x14ac:dyDescent="0.25">
      <c r="A78" s="14">
        <v>39904</v>
      </c>
      <c r="B78" s="20">
        <v>123.09</v>
      </c>
      <c r="C78" s="7">
        <v>123.53</v>
      </c>
      <c r="E78" s="22">
        <v>123.53450073120899</v>
      </c>
      <c r="F78" s="21">
        <v>127.19681271258899</v>
      </c>
      <c r="G78" s="20">
        <v>0.97120751767848701</v>
      </c>
      <c r="H78" s="66">
        <v>0.99893611978801899</v>
      </c>
      <c r="I78" s="66">
        <v>0.99746299011722706</v>
      </c>
      <c r="J78" s="7" t="e">
        <v>#N/A</v>
      </c>
      <c r="K78" s="7" t="e">
        <v>#N/A</v>
      </c>
      <c r="L78" s="7" t="e">
        <v>#N/A</v>
      </c>
      <c r="N78" s="7">
        <f t="shared" si="3"/>
        <v>123.0900000000002</v>
      </c>
      <c r="O78" s="7">
        <f t="shared" si="4"/>
        <v>123.53450073120898</v>
      </c>
      <c r="Q78" s="9">
        <f t="shared" si="5"/>
        <v>3.6434317242711834E-5</v>
      </c>
    </row>
    <row r="79" spans="1:17" x14ac:dyDescent="0.25">
      <c r="A79" s="14">
        <v>39934</v>
      </c>
      <c r="B79" s="20">
        <v>124.41</v>
      </c>
      <c r="C79" s="7">
        <v>124.88</v>
      </c>
      <c r="E79" s="22">
        <v>124.87942034163299</v>
      </c>
      <c r="F79" s="21">
        <v>127.808303262346</v>
      </c>
      <c r="G79" s="20">
        <v>0.97708378214910796</v>
      </c>
      <c r="H79" s="66">
        <v>1.00517980216894</v>
      </c>
      <c r="I79" s="66">
        <v>0.99110727161111301</v>
      </c>
      <c r="J79" s="7" t="e">
        <v>#N/A</v>
      </c>
      <c r="K79" s="7" t="e">
        <v>#N/A</v>
      </c>
      <c r="L79" s="7" t="e">
        <v>#N/A</v>
      </c>
      <c r="N79" s="7">
        <f t="shared" si="3"/>
        <v>124.40999999999981</v>
      </c>
      <c r="O79" s="7">
        <f t="shared" si="4"/>
        <v>124.87942034163321</v>
      </c>
      <c r="Q79" s="9">
        <f t="shared" si="5"/>
        <v>-4.6417229900857762E-6</v>
      </c>
    </row>
    <row r="80" spans="1:17" x14ac:dyDescent="0.25">
      <c r="A80" s="14">
        <v>39965</v>
      </c>
      <c r="B80" s="20">
        <v>125.61</v>
      </c>
      <c r="C80" s="7">
        <v>125.96</v>
      </c>
      <c r="E80" s="22">
        <v>125.956917137692</v>
      </c>
      <c r="F80" s="21">
        <v>128.50618249506601</v>
      </c>
      <c r="G80" s="20">
        <v>0.98016231353326</v>
      </c>
      <c r="H80" s="66">
        <v>0.996014164571697</v>
      </c>
      <c r="I80" s="66">
        <v>1.00123651158883</v>
      </c>
      <c r="J80" s="7" t="e">
        <v>#N/A</v>
      </c>
      <c r="K80" s="7" t="e">
        <v>#N/A</v>
      </c>
      <c r="L80" s="7" t="e">
        <v>#N/A</v>
      </c>
      <c r="N80" s="7">
        <f t="shared" si="3"/>
        <v>125.6099999999993</v>
      </c>
      <c r="O80" s="7">
        <f t="shared" si="4"/>
        <v>125.95691713769122</v>
      </c>
      <c r="Q80" s="9">
        <f t="shared" si="5"/>
        <v>-2.4474930993896978E-5</v>
      </c>
    </row>
    <row r="81" spans="1:17" x14ac:dyDescent="0.25">
      <c r="A81" s="14">
        <v>39995</v>
      </c>
      <c r="B81" s="20">
        <v>131.44</v>
      </c>
      <c r="C81" s="7">
        <v>126.25</v>
      </c>
      <c r="E81" s="22">
        <v>126.25151819206199</v>
      </c>
      <c r="F81" s="21">
        <v>129.32600218853</v>
      </c>
      <c r="G81" s="20">
        <v>0.97622686896339805</v>
      </c>
      <c r="H81" s="66">
        <v>1.0331140838732</v>
      </c>
      <c r="I81" s="66">
        <v>1.00772645312174</v>
      </c>
      <c r="J81" s="7" t="e">
        <v>#N/A</v>
      </c>
      <c r="K81" s="7" t="e">
        <v>#N/A</v>
      </c>
      <c r="L81" s="7" t="e">
        <v>#N/A</v>
      </c>
      <c r="N81" s="7">
        <f t="shared" si="3"/>
        <v>131.43999999999895</v>
      </c>
      <c r="O81" s="7">
        <f t="shared" si="4"/>
        <v>126.25151819206221</v>
      </c>
      <c r="Q81" s="9">
        <f t="shared" si="5"/>
        <v>1.2025283659356616E-5</v>
      </c>
    </row>
    <row r="82" spans="1:17" x14ac:dyDescent="0.25">
      <c r="A82" s="14">
        <v>40026</v>
      </c>
      <c r="B82" s="20">
        <v>130.69999999999999</v>
      </c>
      <c r="C82" s="7">
        <v>128.06</v>
      </c>
      <c r="E82" s="22">
        <v>128.058464552852</v>
      </c>
      <c r="F82" s="21">
        <v>130.15986860586199</v>
      </c>
      <c r="G82" s="20">
        <v>0.98385520763413303</v>
      </c>
      <c r="H82" s="66">
        <v>1.03246655566127</v>
      </c>
      <c r="I82" s="66">
        <v>0.98853330246001803</v>
      </c>
      <c r="J82" s="7" t="e">
        <v>#N/A</v>
      </c>
      <c r="K82" s="7" t="e">
        <v>#N/A</v>
      </c>
      <c r="L82" s="7" t="e">
        <v>#N/A</v>
      </c>
      <c r="N82" s="7">
        <f t="shared" si="3"/>
        <v>130.70000000000056</v>
      </c>
      <c r="O82" s="7">
        <f t="shared" si="4"/>
        <v>128.05846455285183</v>
      </c>
      <c r="Q82" s="9">
        <f t="shared" si="5"/>
        <v>-1.1990060502896396E-5</v>
      </c>
    </row>
    <row r="83" spans="1:17" x14ac:dyDescent="0.25">
      <c r="A83" s="14">
        <v>40057</v>
      </c>
      <c r="B83" s="20">
        <v>129.81</v>
      </c>
      <c r="C83" s="7">
        <v>129.07</v>
      </c>
      <c r="E83" s="22">
        <v>129.066404350954</v>
      </c>
      <c r="F83" s="21">
        <v>130.87513845876001</v>
      </c>
      <c r="G83" s="20">
        <v>0.98617969670094996</v>
      </c>
      <c r="H83" s="66">
        <v>1.00005084104912</v>
      </c>
      <c r="I83" s="66">
        <v>1.0057102102726301</v>
      </c>
      <c r="J83" s="7" t="e">
        <v>#N/A</v>
      </c>
      <c r="K83" s="7" t="e">
        <v>#N/A</v>
      </c>
      <c r="L83" s="7" t="e">
        <v>#N/A</v>
      </c>
      <c r="N83" s="7">
        <f t="shared" si="3"/>
        <v>129.80999999999989</v>
      </c>
      <c r="O83" s="7">
        <f t="shared" si="4"/>
        <v>129.06640435095477</v>
      </c>
      <c r="Q83" s="9">
        <f t="shared" si="5"/>
        <v>-2.7858131602936139E-5</v>
      </c>
    </row>
    <row r="84" spans="1:17" x14ac:dyDescent="0.25">
      <c r="A84" s="14">
        <v>40087</v>
      </c>
      <c r="B84" s="20">
        <v>132.47999999999999</v>
      </c>
      <c r="C84" s="7">
        <v>129.77000000000001</v>
      </c>
      <c r="E84" s="22">
        <v>129.765520148055</v>
      </c>
      <c r="F84" s="21">
        <v>131.513800150912</v>
      </c>
      <c r="G84" s="20">
        <v>0.98670649011092004</v>
      </c>
      <c r="H84" s="66">
        <v>1.0191507525619901</v>
      </c>
      <c r="I84" s="66">
        <v>1.00173437728668</v>
      </c>
      <c r="J84" s="7" t="e">
        <v>#N/A</v>
      </c>
      <c r="K84" s="7" t="e">
        <v>#N/A</v>
      </c>
      <c r="L84" s="7" t="e">
        <v>#N/A</v>
      </c>
      <c r="N84" s="7">
        <f t="shared" si="3"/>
        <v>132.48000000000079</v>
      </c>
      <c r="O84" s="7">
        <f t="shared" si="4"/>
        <v>129.76552014805537</v>
      </c>
      <c r="Q84" s="9">
        <f t="shared" si="5"/>
        <v>-3.4521476034575674E-5</v>
      </c>
    </row>
    <row r="85" spans="1:17" x14ac:dyDescent="0.25">
      <c r="A85" s="14">
        <v>40118</v>
      </c>
      <c r="B85" s="20">
        <v>129.62</v>
      </c>
      <c r="C85" s="7">
        <v>130.19</v>
      </c>
      <c r="E85" s="22">
        <v>130.18522864930301</v>
      </c>
      <c r="F85" s="21">
        <v>132.24127795380201</v>
      </c>
      <c r="G85" s="20">
        <v>0.98445228799726503</v>
      </c>
      <c r="H85" s="66">
        <v>0.99565827356016201</v>
      </c>
      <c r="I85" s="66">
        <v>1</v>
      </c>
      <c r="J85" s="7" t="e">
        <v>#N/A</v>
      </c>
      <c r="K85" s="7" t="e">
        <v>#N/A</v>
      </c>
      <c r="L85" s="7" t="e">
        <v>#N/A</v>
      </c>
      <c r="N85" s="7">
        <f t="shared" si="3"/>
        <v>129.61999999999964</v>
      </c>
      <c r="O85" s="7">
        <f t="shared" si="4"/>
        <v>130.18522864930267</v>
      </c>
      <c r="Q85" s="9">
        <f t="shared" si="5"/>
        <v>-3.6649133550842613E-5</v>
      </c>
    </row>
    <row r="86" spans="1:17" x14ac:dyDescent="0.25">
      <c r="A86" s="14">
        <v>40148</v>
      </c>
      <c r="B86" s="20">
        <v>129.22999999999999</v>
      </c>
      <c r="C86" s="7">
        <v>131.34</v>
      </c>
      <c r="E86" s="22">
        <v>131.33544383082599</v>
      </c>
      <c r="F86" s="21">
        <v>133.30662600167099</v>
      </c>
      <c r="G86" s="20">
        <v>0.98521317184323198</v>
      </c>
      <c r="H86" s="66">
        <v>0.97818790028041902</v>
      </c>
      <c r="I86" s="66">
        <v>1.00590996794065</v>
      </c>
      <c r="J86" s="7" t="e">
        <v>#N/A</v>
      </c>
      <c r="K86" s="7" t="e">
        <v>#N/A</v>
      </c>
      <c r="L86" s="7" t="e">
        <v>#N/A</v>
      </c>
      <c r="N86" s="7">
        <f t="shared" si="3"/>
        <v>129.2300000000005</v>
      </c>
      <c r="O86" s="7">
        <f t="shared" si="4"/>
        <v>131.33544383082574</v>
      </c>
      <c r="Q86" s="9">
        <f t="shared" si="5"/>
        <v>-3.4689882549177923E-5</v>
      </c>
    </row>
    <row r="87" spans="1:17" x14ac:dyDescent="0.25">
      <c r="A87" s="14">
        <v>40179</v>
      </c>
      <c r="B87" s="20">
        <v>125.81</v>
      </c>
      <c r="C87" s="7">
        <v>133.47</v>
      </c>
      <c r="E87" s="22">
        <v>133.47461313406799</v>
      </c>
      <c r="F87" s="21">
        <v>134.81277695749199</v>
      </c>
      <c r="G87" s="20">
        <v>0.99007390950899399</v>
      </c>
      <c r="H87" s="66">
        <v>0.95398723755727799</v>
      </c>
      <c r="I87" s="66">
        <v>0.98803863459452501</v>
      </c>
      <c r="J87" s="7" t="e">
        <v>#N/A</v>
      </c>
      <c r="K87" s="7" t="e">
        <v>#N/A</v>
      </c>
      <c r="L87" s="7" t="e">
        <v>#N/A</v>
      </c>
      <c r="N87" s="7">
        <f t="shared" si="3"/>
        <v>125.81000000000004</v>
      </c>
      <c r="O87" s="7">
        <f t="shared" si="4"/>
        <v>133.47461313406811</v>
      </c>
      <c r="Q87" s="9">
        <f t="shared" si="5"/>
        <v>3.4563078354648285E-5</v>
      </c>
    </row>
    <row r="88" spans="1:17" x14ac:dyDescent="0.25">
      <c r="A88" s="14">
        <v>40210</v>
      </c>
      <c r="B88" s="20">
        <v>127.61</v>
      </c>
      <c r="C88" s="7">
        <v>135.16999999999999</v>
      </c>
      <c r="E88" s="22">
        <v>135.173923976331</v>
      </c>
      <c r="F88" s="21">
        <v>136.36698898005801</v>
      </c>
      <c r="G88" s="20">
        <v>0.99125107173921001</v>
      </c>
      <c r="H88" s="66">
        <v>0.95276421493699803</v>
      </c>
      <c r="I88" s="66">
        <v>0.99084643348383294</v>
      </c>
      <c r="J88" s="7" t="e">
        <v>#N/A</v>
      </c>
      <c r="K88" s="7" t="e">
        <v>#N/A</v>
      </c>
      <c r="L88" s="7" t="e">
        <v>#N/A</v>
      </c>
      <c r="N88" s="7">
        <f t="shared" si="3"/>
        <v>127.61000000000006</v>
      </c>
      <c r="O88" s="7">
        <f t="shared" si="4"/>
        <v>135.17392397633154</v>
      </c>
      <c r="Q88" s="9">
        <f t="shared" si="5"/>
        <v>2.9029935126206049E-5</v>
      </c>
    </row>
    <row r="89" spans="1:17" x14ac:dyDescent="0.25">
      <c r="A89" s="14">
        <v>40238</v>
      </c>
      <c r="B89" s="20">
        <v>143.44</v>
      </c>
      <c r="C89" s="7">
        <v>136.57</v>
      </c>
      <c r="E89" s="22">
        <v>136.57158113931999</v>
      </c>
      <c r="F89" s="21">
        <v>137.42427165306199</v>
      </c>
      <c r="G89" s="20">
        <v>0.99379519714032205</v>
      </c>
      <c r="H89" s="66">
        <v>1.03421986569934</v>
      </c>
      <c r="I89" s="66">
        <v>1.0155400689464</v>
      </c>
      <c r="J89" s="7" t="e">
        <v>#N/A</v>
      </c>
      <c r="K89" s="7" t="e">
        <v>#N/A</v>
      </c>
      <c r="L89" s="7" t="e">
        <v>#N/A</v>
      </c>
      <c r="N89" s="7">
        <f t="shared" si="3"/>
        <v>143.43999999999926</v>
      </c>
      <c r="O89" s="7">
        <f t="shared" si="4"/>
        <v>136.5715811393199</v>
      </c>
      <c r="Q89" s="9">
        <f t="shared" si="5"/>
        <v>1.1577501061692706E-5</v>
      </c>
    </row>
    <row r="90" spans="1:17" x14ac:dyDescent="0.25">
      <c r="A90" s="14">
        <v>40269</v>
      </c>
      <c r="B90" s="20">
        <v>136.87</v>
      </c>
      <c r="C90" s="7">
        <v>137.09</v>
      </c>
      <c r="E90" s="22">
        <v>137.094222563546</v>
      </c>
      <c r="F90" s="21">
        <v>137.752955707171</v>
      </c>
      <c r="G90" s="20">
        <v>0.99521801082058303</v>
      </c>
      <c r="H90" s="66">
        <v>0.99896413762219205</v>
      </c>
      <c r="I90" s="66">
        <v>0.99939970435608405</v>
      </c>
      <c r="J90" s="7" t="e">
        <v>#N/A</v>
      </c>
      <c r="K90" s="7" t="e">
        <v>#N/A</v>
      </c>
      <c r="L90" s="7" t="e">
        <v>#N/A</v>
      </c>
      <c r="N90" s="7">
        <f t="shared" si="3"/>
        <v>136.87000000000029</v>
      </c>
      <c r="O90" s="7">
        <f t="shared" si="4"/>
        <v>137.09422256354659</v>
      </c>
      <c r="Q90" s="9">
        <f t="shared" si="5"/>
        <v>3.0801397228056477E-5</v>
      </c>
    </row>
    <row r="91" spans="1:17" x14ac:dyDescent="0.25">
      <c r="A91" s="14">
        <v>40299</v>
      </c>
      <c r="B91" s="20">
        <v>136.52000000000001</v>
      </c>
      <c r="C91" s="7">
        <v>136.47</v>
      </c>
      <c r="E91" s="22">
        <v>136.465966906939</v>
      </c>
      <c r="F91" s="21">
        <v>137.58797767245099</v>
      </c>
      <c r="G91" s="20">
        <v>0.99184513949189201</v>
      </c>
      <c r="H91" s="66">
        <v>1.0057392062568</v>
      </c>
      <c r="I91" s="66">
        <v>0.99468723037925399</v>
      </c>
      <c r="J91" s="7" t="e">
        <v>#N/A</v>
      </c>
      <c r="K91" s="7" t="e">
        <v>#N/A</v>
      </c>
      <c r="L91" s="7" t="e">
        <v>#N/A</v>
      </c>
      <c r="N91" s="7">
        <f t="shared" si="3"/>
        <v>136.52000000000044</v>
      </c>
      <c r="O91" s="7">
        <f t="shared" si="4"/>
        <v>136.46596690693949</v>
      </c>
      <c r="Q91" s="9">
        <f t="shared" si="5"/>
        <v>-2.9552964468358335E-5</v>
      </c>
    </row>
    <row r="92" spans="1:17" x14ac:dyDescent="0.25">
      <c r="A92" s="14">
        <v>40330</v>
      </c>
      <c r="B92" s="20">
        <v>136.09</v>
      </c>
      <c r="C92" s="7">
        <v>136.18</v>
      </c>
      <c r="E92" s="22">
        <v>136.180842221191</v>
      </c>
      <c r="F92" s="21">
        <v>137.50980092416401</v>
      </c>
      <c r="G92" s="20">
        <v>0.99033553467431501</v>
      </c>
      <c r="H92" s="66">
        <v>0.99624624348165303</v>
      </c>
      <c r="I92" s="66">
        <v>1.0030983163532501</v>
      </c>
      <c r="J92" s="7" t="e">
        <v>#N/A</v>
      </c>
      <c r="K92" s="7" t="e">
        <v>#N/A</v>
      </c>
      <c r="L92" s="7" t="e">
        <v>#N/A</v>
      </c>
      <c r="N92" s="7">
        <f t="shared" si="3"/>
        <v>136.09000000000012</v>
      </c>
      <c r="O92" s="7">
        <f t="shared" si="4"/>
        <v>136.18084222119057</v>
      </c>
      <c r="Q92" s="9">
        <f t="shared" si="5"/>
        <v>6.1846173519833053E-6</v>
      </c>
    </row>
    <row r="93" spans="1:17" x14ac:dyDescent="0.25">
      <c r="A93" s="14">
        <v>40360</v>
      </c>
      <c r="B93" s="20">
        <v>141.63999999999999</v>
      </c>
      <c r="C93" s="7">
        <v>136.94</v>
      </c>
      <c r="E93" s="22">
        <v>136.93870646308301</v>
      </c>
      <c r="F93" s="21">
        <v>137.79872202220599</v>
      </c>
      <c r="G93" s="20">
        <v>0.99375890032576197</v>
      </c>
      <c r="H93" s="66">
        <v>1.03202386676626</v>
      </c>
      <c r="I93" s="66">
        <v>1.0022359020134</v>
      </c>
      <c r="J93" s="7" t="e">
        <v>#N/A</v>
      </c>
      <c r="K93" s="7" t="e">
        <v>#N/A</v>
      </c>
      <c r="L93" s="7" t="e">
        <v>#N/A</v>
      </c>
      <c r="N93" s="7">
        <f t="shared" si="3"/>
        <v>141.6400000000005</v>
      </c>
      <c r="O93" s="7">
        <f t="shared" si="4"/>
        <v>136.93870646308278</v>
      </c>
      <c r="Q93" s="9">
        <f t="shared" si="5"/>
        <v>-9.4460122461627282E-6</v>
      </c>
    </row>
    <row r="94" spans="1:17" x14ac:dyDescent="0.25">
      <c r="A94" s="14">
        <v>40391</v>
      </c>
      <c r="B94" s="20">
        <v>141.55000000000001</v>
      </c>
      <c r="C94" s="7">
        <v>137.71</v>
      </c>
      <c r="E94" s="22">
        <v>137.70905093278799</v>
      </c>
      <c r="F94" s="21">
        <v>138.45649860610001</v>
      </c>
      <c r="G94" s="20">
        <v>0.99460157030665097</v>
      </c>
      <c r="H94" s="66">
        <v>1.0326224088012199</v>
      </c>
      <c r="I94" s="66">
        <v>0.99541880986940701</v>
      </c>
      <c r="J94" s="7" t="e">
        <v>#N/A</v>
      </c>
      <c r="K94" s="7" t="e">
        <v>#N/A</v>
      </c>
      <c r="L94" s="7" t="e">
        <v>#N/A</v>
      </c>
      <c r="N94" s="7">
        <f t="shared" si="3"/>
        <v>141.55000000000007</v>
      </c>
      <c r="O94" s="7">
        <f t="shared" si="4"/>
        <v>137.7090509327877</v>
      </c>
      <c r="Q94" s="9">
        <f t="shared" si="5"/>
        <v>-6.8917813667807138E-6</v>
      </c>
    </row>
    <row r="95" spans="1:17" x14ac:dyDescent="0.25">
      <c r="A95" s="14">
        <v>40422</v>
      </c>
      <c r="B95" s="20">
        <v>139.46</v>
      </c>
      <c r="C95" s="7">
        <v>139.24</v>
      </c>
      <c r="E95" s="22">
        <v>139.23756315451001</v>
      </c>
      <c r="F95" s="21">
        <v>139.14910084476799</v>
      </c>
      <c r="G95" s="20">
        <v>1.0006357375592401</v>
      </c>
      <c r="H95" s="66">
        <v>1.00055603495607</v>
      </c>
      <c r="I95" s="66">
        <v>1.00104092100436</v>
      </c>
      <c r="J95" s="7" t="e">
        <v>#N/A</v>
      </c>
      <c r="K95" s="7" t="e">
        <v>#N/A</v>
      </c>
      <c r="L95" s="7" t="e">
        <v>#N/A</v>
      </c>
      <c r="N95" s="7">
        <f t="shared" si="3"/>
        <v>139.46000000000029</v>
      </c>
      <c r="O95" s="7">
        <f t="shared" si="4"/>
        <v>139.2375631545095</v>
      </c>
      <c r="Q95" s="9">
        <f t="shared" si="5"/>
        <v>-1.7501044886495803E-5</v>
      </c>
    </row>
    <row r="96" spans="1:17" x14ac:dyDescent="0.25">
      <c r="A96" s="14">
        <v>40452</v>
      </c>
      <c r="B96" s="20">
        <v>139.33000000000001</v>
      </c>
      <c r="C96" s="7">
        <v>138.61000000000001</v>
      </c>
      <c r="E96" s="22">
        <v>138.61427440307</v>
      </c>
      <c r="F96" s="21">
        <v>139.60290493268101</v>
      </c>
      <c r="G96" s="20">
        <v>0.99291826677898598</v>
      </c>
      <c r="H96" s="66">
        <v>1.0183662523255199</v>
      </c>
      <c r="I96" s="66">
        <v>0.98703529429498704</v>
      </c>
      <c r="J96" s="7" t="e">
        <v>#N/A</v>
      </c>
      <c r="K96" s="7" t="e">
        <v>#N/A</v>
      </c>
      <c r="L96" s="7" t="e">
        <v>#N/A</v>
      </c>
      <c r="N96" s="7">
        <f t="shared" si="3"/>
        <v>139.32999999999956</v>
      </c>
      <c r="O96" s="7">
        <f t="shared" si="4"/>
        <v>138.61427440306917</v>
      </c>
      <c r="Q96" s="9">
        <f t="shared" si="5"/>
        <v>3.0837624052990805E-5</v>
      </c>
    </row>
    <row r="97" spans="1:17" x14ac:dyDescent="0.25">
      <c r="A97" s="14">
        <v>40483</v>
      </c>
      <c r="B97" s="20">
        <v>139.68</v>
      </c>
      <c r="C97" s="7">
        <v>140.29</v>
      </c>
      <c r="E97" s="22">
        <v>140.28566005862999</v>
      </c>
      <c r="F97" s="21">
        <v>139.877700015572</v>
      </c>
      <c r="G97" s="20">
        <v>1.0029165481203399</v>
      </c>
      <c r="H97" s="66">
        <v>0.99568266593765298</v>
      </c>
      <c r="I97" s="66">
        <v>1</v>
      </c>
      <c r="J97" s="7" t="e">
        <v>#N/A</v>
      </c>
      <c r="K97" s="7" t="e">
        <v>#N/A</v>
      </c>
      <c r="L97" s="7" t="e">
        <v>#N/A</v>
      </c>
      <c r="N97" s="7">
        <f t="shared" si="3"/>
        <v>139.67999999999995</v>
      </c>
      <c r="O97" s="7">
        <f t="shared" si="4"/>
        <v>140.2856600586299</v>
      </c>
      <c r="Q97" s="9">
        <f t="shared" si="5"/>
        <v>-3.0935500534648357E-5</v>
      </c>
    </row>
    <row r="98" spans="1:17" x14ac:dyDescent="0.25">
      <c r="A98" s="14">
        <v>40513</v>
      </c>
      <c r="B98" s="20">
        <v>136.69</v>
      </c>
      <c r="C98" s="7">
        <v>138.24</v>
      </c>
      <c r="E98" s="22">
        <v>138.23992663044899</v>
      </c>
      <c r="F98" s="21">
        <v>140.18510954243999</v>
      </c>
      <c r="G98" s="20">
        <v>0.9861241831009</v>
      </c>
      <c r="H98" s="66">
        <v>0.97816492899931595</v>
      </c>
      <c r="I98" s="66">
        <v>1.01086034800092</v>
      </c>
      <c r="J98" s="7" t="e">
        <v>#N/A</v>
      </c>
      <c r="K98" s="7" t="e">
        <v>#N/A</v>
      </c>
      <c r="L98" s="7" t="e">
        <v>#N/A</v>
      </c>
      <c r="N98" s="7">
        <f t="shared" si="3"/>
        <v>136.69000000000028</v>
      </c>
      <c r="O98" s="7">
        <f t="shared" si="4"/>
        <v>138.23992663044882</v>
      </c>
      <c r="Q98" s="9">
        <f t="shared" si="5"/>
        <v>-5.3074038641331568E-7</v>
      </c>
    </row>
    <row r="99" spans="1:17" x14ac:dyDescent="0.25">
      <c r="A99" s="14">
        <v>40544</v>
      </c>
      <c r="B99" s="20">
        <v>132.66</v>
      </c>
      <c r="C99" s="7">
        <v>140.12</v>
      </c>
      <c r="E99" s="22">
        <v>140.118540526022</v>
      </c>
      <c r="F99" s="21">
        <v>140.568139224839</v>
      </c>
      <c r="G99" s="20">
        <v>0.99680156042972201</v>
      </c>
      <c r="H99" s="66">
        <v>0.95478278727280597</v>
      </c>
      <c r="I99" s="66">
        <v>0.991607509200227</v>
      </c>
      <c r="J99" s="7" t="e">
        <v>#N/A</v>
      </c>
      <c r="K99" s="7" t="e">
        <v>#N/A</v>
      </c>
      <c r="L99" s="7" t="e">
        <v>#N/A</v>
      </c>
      <c r="N99" s="7">
        <f t="shared" si="3"/>
        <v>132.65999999999966</v>
      </c>
      <c r="O99" s="7">
        <f t="shared" si="4"/>
        <v>140.11854052602192</v>
      </c>
      <c r="Q99" s="9">
        <f t="shared" si="5"/>
        <v>-1.0415886226108188E-5</v>
      </c>
    </row>
    <row r="100" spans="1:17" x14ac:dyDescent="0.25">
      <c r="A100" s="14">
        <v>40575</v>
      </c>
      <c r="B100" s="20">
        <v>136.18</v>
      </c>
      <c r="C100" s="7">
        <v>140.81</v>
      </c>
      <c r="E100" s="22">
        <v>140.80680390150701</v>
      </c>
      <c r="F100" s="21">
        <v>140.92676157180699</v>
      </c>
      <c r="G100" s="20">
        <v>0.99914879424630398</v>
      </c>
      <c r="H100" s="66">
        <v>0.95376497749364397</v>
      </c>
      <c r="I100" s="66">
        <v>1.0140241962329299</v>
      </c>
      <c r="J100" s="7" t="e">
        <v>#N/A</v>
      </c>
      <c r="K100" s="7" t="e">
        <v>#N/A</v>
      </c>
      <c r="L100" s="7" t="e">
        <v>#N/A</v>
      </c>
      <c r="N100" s="7">
        <f t="shared" si="3"/>
        <v>136.18000000000075</v>
      </c>
      <c r="O100" s="7">
        <f t="shared" si="4"/>
        <v>140.80680390150732</v>
      </c>
      <c r="Q100" s="9">
        <f t="shared" si="5"/>
        <v>-2.2697951090067505E-5</v>
      </c>
    </row>
    <row r="101" spans="1:17" x14ac:dyDescent="0.25">
      <c r="A101" s="14">
        <v>40603</v>
      </c>
      <c r="B101" s="20">
        <v>144.93</v>
      </c>
      <c r="C101" s="7">
        <v>141.04</v>
      </c>
      <c r="E101" s="22">
        <v>141.035978430413</v>
      </c>
      <c r="F101" s="21">
        <v>141.19286263979299</v>
      </c>
      <c r="G101" s="20">
        <v>0.99888886586441505</v>
      </c>
      <c r="H101" s="66">
        <v>1.03346790058927</v>
      </c>
      <c r="I101" s="66">
        <v>0.99433192699597495</v>
      </c>
      <c r="J101" s="7" t="e">
        <v>#N/A</v>
      </c>
      <c r="K101" s="7" t="e">
        <v>#N/A</v>
      </c>
      <c r="L101" s="7" t="e">
        <v>#N/A</v>
      </c>
      <c r="N101" s="7">
        <f t="shared" si="3"/>
        <v>144.93000000000012</v>
      </c>
      <c r="O101" s="7">
        <f t="shared" si="4"/>
        <v>141.03597843041297</v>
      </c>
      <c r="Q101" s="9">
        <f t="shared" si="5"/>
        <v>-2.8513681132984016E-5</v>
      </c>
    </row>
    <row r="102" spans="1:17" x14ac:dyDescent="0.25">
      <c r="A102" s="14">
        <v>40634</v>
      </c>
      <c r="B102" s="20">
        <v>139.88999999999999</v>
      </c>
      <c r="C102" s="7">
        <v>140.81</v>
      </c>
      <c r="E102" s="22">
        <v>140.80633607843899</v>
      </c>
      <c r="F102" s="21">
        <v>141.47590673440999</v>
      </c>
      <c r="G102" s="20">
        <v>0.99526724605322603</v>
      </c>
      <c r="H102" s="66">
        <v>0.999854693602658</v>
      </c>
      <c r="I102" s="66">
        <v>0.99363660587009195</v>
      </c>
      <c r="J102" s="7" t="e">
        <v>#N/A</v>
      </c>
      <c r="K102" s="7" t="e">
        <v>#N/A</v>
      </c>
      <c r="L102" s="7" t="e">
        <v>#N/A</v>
      </c>
      <c r="N102" s="7">
        <f t="shared" si="3"/>
        <v>139.89000000000013</v>
      </c>
      <c r="O102" s="7">
        <f t="shared" si="4"/>
        <v>140.80633607843927</v>
      </c>
      <c r="Q102" s="9">
        <f t="shared" si="5"/>
        <v>-2.6020322143410937E-5</v>
      </c>
    </row>
    <row r="103" spans="1:17" x14ac:dyDescent="0.25">
      <c r="A103" s="14">
        <v>40664</v>
      </c>
      <c r="B103" s="20">
        <v>143.22999999999999</v>
      </c>
      <c r="C103" s="7">
        <v>141.33000000000001</v>
      </c>
      <c r="E103" s="22">
        <v>141.326419377642</v>
      </c>
      <c r="F103" s="21">
        <v>141.77410990259099</v>
      </c>
      <c r="G103" s="20">
        <v>0.99684222651613696</v>
      </c>
      <c r="H103" s="66">
        <v>1.00595947668556</v>
      </c>
      <c r="I103" s="66">
        <v>1.0074654230342699</v>
      </c>
      <c r="J103" s="7" t="e">
        <v>#N/A</v>
      </c>
      <c r="K103" s="7" t="e">
        <v>#N/A</v>
      </c>
      <c r="L103" s="7" t="e">
        <v>#N/A</v>
      </c>
      <c r="N103" s="7">
        <f t="shared" si="3"/>
        <v>143.23000000000005</v>
      </c>
      <c r="O103" s="7">
        <f t="shared" si="4"/>
        <v>141.32641937764231</v>
      </c>
      <c r="Q103" s="9">
        <f t="shared" si="5"/>
        <v>-2.5335189683826941E-5</v>
      </c>
    </row>
    <row r="104" spans="1:17" x14ac:dyDescent="0.25">
      <c r="A104" s="14">
        <v>40695</v>
      </c>
      <c r="B104" s="20">
        <v>141.75</v>
      </c>
      <c r="C104" s="7">
        <v>142.13</v>
      </c>
      <c r="E104" s="22">
        <v>142.13403828654299</v>
      </c>
      <c r="F104" s="21">
        <v>142.092176417659</v>
      </c>
      <c r="G104" s="20">
        <v>1.0002946106530199</v>
      </c>
      <c r="H104" s="66">
        <v>0.99552882797268905</v>
      </c>
      <c r="I104" s="66">
        <v>1.0017771735511301</v>
      </c>
      <c r="J104" s="7" t="e">
        <v>#N/A</v>
      </c>
      <c r="K104" s="7" t="e">
        <v>#N/A</v>
      </c>
      <c r="L104" s="7" t="e">
        <v>#N/A</v>
      </c>
      <c r="N104" s="7">
        <f t="shared" si="3"/>
        <v>141.74999999999926</v>
      </c>
      <c r="O104" s="7">
        <f t="shared" si="4"/>
        <v>142.13403828654245</v>
      </c>
      <c r="Q104" s="9">
        <f t="shared" si="5"/>
        <v>2.8412626067637509E-5</v>
      </c>
    </row>
    <row r="105" spans="1:17" x14ac:dyDescent="0.25">
      <c r="A105" s="14">
        <v>40725</v>
      </c>
      <c r="B105" s="20">
        <v>145.19</v>
      </c>
      <c r="C105" s="7">
        <v>142.16999999999999</v>
      </c>
      <c r="E105" s="22">
        <v>142.17193379948</v>
      </c>
      <c r="F105" s="21">
        <v>142.29561122217001</v>
      </c>
      <c r="G105" s="20">
        <v>0.99913084162169796</v>
      </c>
      <c r="H105" s="66">
        <v>1.0306806341383601</v>
      </c>
      <c r="I105" s="66">
        <v>0.99082902139240003</v>
      </c>
      <c r="J105" s="7" t="e">
        <v>#N/A</v>
      </c>
      <c r="K105" s="7" t="e">
        <v>#N/A</v>
      </c>
      <c r="L105" s="7" t="e">
        <v>#N/A</v>
      </c>
      <c r="N105" s="7">
        <f t="shared" si="3"/>
        <v>145.19000000000113</v>
      </c>
      <c r="O105" s="7">
        <f t="shared" si="4"/>
        <v>142.17193379948066</v>
      </c>
      <c r="Q105" s="9">
        <f t="shared" si="5"/>
        <v>1.3602022086332781E-5</v>
      </c>
    </row>
    <row r="106" spans="1:17" x14ac:dyDescent="0.25">
      <c r="A106" s="14">
        <v>40756</v>
      </c>
      <c r="B106" s="20">
        <v>147.51</v>
      </c>
      <c r="C106" s="7">
        <v>141.97999999999999</v>
      </c>
      <c r="E106" s="22">
        <v>141.97666638342801</v>
      </c>
      <c r="F106" s="21">
        <v>142.279597965916</v>
      </c>
      <c r="G106" s="20">
        <v>0.99787087125056395</v>
      </c>
      <c r="H106" s="66">
        <v>1.03204081550952</v>
      </c>
      <c r="I106" s="66">
        <v>1.00671749286666</v>
      </c>
      <c r="J106" t="e">
        <v>#N/A</v>
      </c>
      <c r="K106" t="e">
        <v>#N/A</v>
      </c>
      <c r="L106" t="e">
        <v>#N/A</v>
      </c>
      <c r="N106" s="7">
        <f t="shared" si="3"/>
        <v>147.5100000000001</v>
      </c>
      <c r="O106" s="7">
        <f t="shared" si="4"/>
        <v>141.97666638342855</v>
      </c>
    </row>
    <row r="107" spans="1:17" x14ac:dyDescent="0.25">
      <c r="A107" s="14">
        <v>40787</v>
      </c>
      <c r="B107" s="20">
        <v>142.30000000000001</v>
      </c>
      <c r="C107" s="7">
        <v>141.79</v>
      </c>
      <c r="E107" s="22">
        <v>141.79242761119301</v>
      </c>
      <c r="F107" s="21">
        <v>142.019757632752</v>
      </c>
      <c r="G107" s="20">
        <v>0.99839930707285096</v>
      </c>
      <c r="H107" s="66">
        <v>1.0005933329977399</v>
      </c>
      <c r="I107" s="66">
        <v>1.00298458229766</v>
      </c>
      <c r="J107" t="e">
        <v>#N/A</v>
      </c>
      <c r="K107" t="e">
        <v>#N/A</v>
      </c>
      <c r="L107" t="e">
        <v>#N/A</v>
      </c>
      <c r="N107" s="7">
        <f t="shared" si="3"/>
        <v>142.30000000000095</v>
      </c>
      <c r="O107" s="7">
        <f t="shared" si="4"/>
        <v>141.79242761119383</v>
      </c>
    </row>
    <row r="108" spans="1:17" x14ac:dyDescent="0.25">
      <c r="A108" s="14">
        <v>40817</v>
      </c>
      <c r="B108" s="20">
        <v>142.02000000000001</v>
      </c>
      <c r="C108" s="7">
        <v>141.6</v>
      </c>
      <c r="E108" s="22">
        <v>141.60150192640299</v>
      </c>
      <c r="F108" s="21">
        <v>141.639641770694</v>
      </c>
      <c r="G108" s="20">
        <v>0.99973072620197601</v>
      </c>
      <c r="H108" s="66">
        <v>1.01698499380972</v>
      </c>
      <c r="I108" s="66">
        <v>0.98620478141450996</v>
      </c>
      <c r="J108" t="e">
        <v>#N/A</v>
      </c>
      <c r="K108" t="e">
        <v>#N/A</v>
      </c>
      <c r="L108" t="e">
        <v>#N/A</v>
      </c>
      <c r="N108" s="7">
        <f t="shared" si="3"/>
        <v>142.02000000000069</v>
      </c>
      <c r="O108" s="7">
        <f t="shared" si="4"/>
        <v>141.60150192640364</v>
      </c>
    </row>
    <row r="109" spans="1:17" x14ac:dyDescent="0.25">
      <c r="A109" s="14">
        <v>40848</v>
      </c>
      <c r="B109" s="20">
        <v>141.87</v>
      </c>
      <c r="C109" s="7">
        <v>142.44</v>
      </c>
      <c r="E109" s="22">
        <v>142.440664731449</v>
      </c>
      <c r="F109" s="21">
        <v>141.25682894267501</v>
      </c>
      <c r="G109" s="20">
        <v>1.0083807331485199</v>
      </c>
      <c r="H109" s="66">
        <v>0.99599366702953096</v>
      </c>
      <c r="I109" s="66">
        <v>1</v>
      </c>
      <c r="J109" t="e">
        <v>#N/A</v>
      </c>
      <c r="K109" t="e">
        <v>#N/A</v>
      </c>
      <c r="L109" t="e">
        <v>#N/A</v>
      </c>
      <c r="N109" s="7">
        <f t="shared" si="3"/>
        <v>141.87000000000057</v>
      </c>
      <c r="O109" s="7">
        <f t="shared" si="4"/>
        <v>142.44066473144971</v>
      </c>
    </row>
    <row r="110" spans="1:17" x14ac:dyDescent="0.25">
      <c r="A110" s="14">
        <v>40878</v>
      </c>
      <c r="B110" s="20">
        <v>139.22999999999999</v>
      </c>
      <c r="C110" s="7">
        <v>140.47</v>
      </c>
      <c r="E110" s="22">
        <v>140.468304958993</v>
      </c>
      <c r="F110" s="21">
        <v>140.86955703268401</v>
      </c>
      <c r="G110" s="20">
        <v>0.99715160548423398</v>
      </c>
      <c r="H110" s="66">
        <v>0.98018252253119897</v>
      </c>
      <c r="I110" s="66">
        <v>1.0112243690453999</v>
      </c>
      <c r="J110" t="e">
        <v>#N/A</v>
      </c>
      <c r="K110" t="e">
        <v>#N/A</v>
      </c>
      <c r="L110" t="e">
        <v>#N/A</v>
      </c>
      <c r="N110" s="7">
        <f t="shared" si="3"/>
        <v>139.2300000000003</v>
      </c>
      <c r="O110" s="7">
        <f t="shared" si="4"/>
        <v>140.46830495899374</v>
      </c>
    </row>
    <row r="111" spans="1:17" x14ac:dyDescent="0.25">
      <c r="A111" s="14">
        <v>40909</v>
      </c>
      <c r="B111" s="20">
        <v>133.34</v>
      </c>
      <c r="C111" s="7">
        <v>138.91999999999999</v>
      </c>
      <c r="E111" s="22">
        <v>138.92487776385599</v>
      </c>
      <c r="F111" s="21">
        <v>140.51314007721899</v>
      </c>
      <c r="G111" s="20">
        <v>0.98869669902408996</v>
      </c>
      <c r="H111" s="66">
        <v>0.95564592744687304</v>
      </c>
      <c r="I111" s="66">
        <v>1.00434613839313</v>
      </c>
      <c r="J111" t="e">
        <v>#N/A</v>
      </c>
      <c r="K111" t="e">
        <v>#N/A</v>
      </c>
      <c r="L111" t="e">
        <v>#N/A</v>
      </c>
      <c r="N111" s="7">
        <f t="shared" si="3"/>
        <v>133.33999999999921</v>
      </c>
      <c r="O111" s="7">
        <f t="shared" si="4"/>
        <v>138.92487776385599</v>
      </c>
    </row>
    <row r="112" spans="1:17" x14ac:dyDescent="0.25">
      <c r="A112" s="14">
        <v>40940</v>
      </c>
      <c r="B112" s="20">
        <v>135.35</v>
      </c>
      <c r="C112" s="7">
        <v>140.46</v>
      </c>
      <c r="E112" s="22">
        <v>140.455333551249</v>
      </c>
      <c r="F112" s="21">
        <v>140.36872518461399</v>
      </c>
      <c r="G112" s="20">
        <v>1.0006170061494899</v>
      </c>
      <c r="H112" s="66">
        <v>0.95466831095017002</v>
      </c>
      <c r="I112" s="66">
        <v>1.00940980211019</v>
      </c>
      <c r="J112" t="e">
        <v>#N/A</v>
      </c>
      <c r="K112" t="e">
        <v>#N/A</v>
      </c>
      <c r="L112" t="e">
        <v>#N/A</v>
      </c>
      <c r="N112" s="7">
        <f t="shared" si="3"/>
        <v>135.35000000000048</v>
      </c>
      <c r="O112" s="7">
        <f t="shared" si="4"/>
        <v>140.45533355124897</v>
      </c>
    </row>
    <row r="113" spans="1:15" x14ac:dyDescent="0.25">
      <c r="A113" s="14">
        <v>40969</v>
      </c>
      <c r="B113" s="20">
        <v>146.35</v>
      </c>
      <c r="C113" s="7">
        <v>140.07</v>
      </c>
      <c r="E113" s="22">
        <v>140.06884096024999</v>
      </c>
      <c r="F113" s="21">
        <v>140.64155506306301</v>
      </c>
      <c r="G113" s="20">
        <v>0.99592784577392102</v>
      </c>
      <c r="H113" s="66">
        <v>1.0334555154224301</v>
      </c>
      <c r="I113" s="66">
        <v>1.0110192027487199</v>
      </c>
      <c r="J113" t="e">
        <v>#N/A</v>
      </c>
      <c r="K113" t="e">
        <v>#N/A</v>
      </c>
      <c r="L113" t="e">
        <v>#N/A</v>
      </c>
      <c r="N113" s="7">
        <f t="shared" si="3"/>
        <v>146.35000000000173</v>
      </c>
      <c r="O113" s="7">
        <f t="shared" si="4"/>
        <v>140.06884096025064</v>
      </c>
    </row>
    <row r="114" spans="1:15" x14ac:dyDescent="0.25">
      <c r="A114" s="14">
        <v>41000</v>
      </c>
      <c r="B114" s="20">
        <v>139.85</v>
      </c>
      <c r="C114" s="7">
        <v>141</v>
      </c>
      <c r="E114" s="22">
        <v>140.99629946079401</v>
      </c>
      <c r="F114" s="21">
        <v>141.36681977410501</v>
      </c>
      <c r="G114" s="20">
        <v>0.99737901500576098</v>
      </c>
      <c r="H114" s="66">
        <v>1.0007405268260701</v>
      </c>
      <c r="I114" s="66">
        <v>0.99113604039248504</v>
      </c>
      <c r="J114" t="e">
        <v>#N/A</v>
      </c>
      <c r="K114" t="e">
        <v>#N/A</v>
      </c>
      <c r="L114" t="e">
        <v>#N/A</v>
      </c>
      <c r="N114" s="7">
        <f t="shared" si="3"/>
        <v>139.84999999999957</v>
      </c>
      <c r="O114" s="7">
        <f t="shared" si="4"/>
        <v>140.99629946079378</v>
      </c>
    </row>
    <row r="115" spans="1:15" x14ac:dyDescent="0.25">
      <c r="A115" s="14">
        <v>41030</v>
      </c>
      <c r="B115" s="20">
        <v>144.56</v>
      </c>
      <c r="C115" s="7">
        <v>142.62</v>
      </c>
      <c r="E115" s="22">
        <v>142.61863968457499</v>
      </c>
      <c r="F115" s="21">
        <v>142.41108586150199</v>
      </c>
      <c r="G115" s="20">
        <v>1.0014574274314201</v>
      </c>
      <c r="H115" s="66">
        <v>1.00555828082123</v>
      </c>
      <c r="I115" s="66">
        <v>1.0080094485729501</v>
      </c>
      <c r="J115" t="e">
        <v>#N/A</v>
      </c>
      <c r="K115" t="e">
        <v>#N/A</v>
      </c>
      <c r="L115" t="e">
        <v>#N/A</v>
      </c>
      <c r="N115" s="7">
        <f t="shared" si="3"/>
        <v>144.55999999999923</v>
      </c>
      <c r="O115" s="7">
        <f t="shared" si="4"/>
        <v>142.61863968457487</v>
      </c>
    </row>
    <row r="116" spans="1:15" x14ac:dyDescent="0.25">
      <c r="A116" s="14">
        <v>41061</v>
      </c>
      <c r="B116" s="20">
        <v>142.28</v>
      </c>
      <c r="C116" s="7">
        <v>143.55000000000001</v>
      </c>
      <c r="E116" s="22">
        <v>143.546078962389</v>
      </c>
      <c r="F116" s="21">
        <v>143.37215506829</v>
      </c>
      <c r="G116" s="20">
        <v>1.0012130939513</v>
      </c>
      <c r="H116" s="66">
        <v>0.99454163423049602</v>
      </c>
      <c r="I116" s="66">
        <v>0.99661989820149699</v>
      </c>
      <c r="J116" t="e">
        <v>#N/A</v>
      </c>
      <c r="K116" t="e">
        <v>#N/A</v>
      </c>
      <c r="L116" t="e">
        <v>#N/A</v>
      </c>
      <c r="N116" s="7">
        <f t="shared" si="3"/>
        <v>142.27999999999912</v>
      </c>
      <c r="O116" s="7">
        <f t="shared" si="4"/>
        <v>143.54607896238818</v>
      </c>
    </row>
    <row r="117" spans="1:15" x14ac:dyDescent="0.25">
      <c r="A117" s="14">
        <v>41091</v>
      </c>
      <c r="B117" s="20">
        <v>147.46</v>
      </c>
      <c r="C117" s="7">
        <v>143.94999999999999</v>
      </c>
      <c r="E117" s="22">
        <v>143.95418565182601</v>
      </c>
      <c r="F117" s="21">
        <v>143.959996098461</v>
      </c>
      <c r="G117" s="20">
        <v>0.99995963846351499</v>
      </c>
      <c r="H117" s="66">
        <v>1.0290680375610299</v>
      </c>
      <c r="I117" s="66">
        <v>0.99541880986940701</v>
      </c>
      <c r="J117" t="e">
        <v>#N/A</v>
      </c>
      <c r="K117" t="e">
        <v>#N/A</v>
      </c>
      <c r="L117" t="e">
        <v>#N/A</v>
      </c>
      <c r="N117" s="7">
        <f t="shared" si="3"/>
        <v>147.46000000000032</v>
      </c>
      <c r="O117" s="7">
        <f t="shared" si="4"/>
        <v>143.95418565182609</v>
      </c>
    </row>
    <row r="118" spans="1:15" x14ac:dyDescent="0.25">
      <c r="A118" s="14">
        <v>41122</v>
      </c>
      <c r="B118" s="20">
        <v>149.91</v>
      </c>
      <c r="C118" s="7">
        <v>144.31</v>
      </c>
      <c r="E118" s="22">
        <v>144.314867373596</v>
      </c>
      <c r="F118" s="21">
        <v>144.23851897207001</v>
      </c>
      <c r="G118" s="20">
        <v>1.0005293204760399</v>
      </c>
      <c r="H118" s="66">
        <v>1.0308058403281399</v>
      </c>
      <c r="I118" s="66">
        <v>1.00772645312174</v>
      </c>
      <c r="J118" t="e">
        <v>#N/A</v>
      </c>
      <c r="K118" t="e">
        <v>#N/A</v>
      </c>
      <c r="L118" t="e">
        <v>#N/A</v>
      </c>
      <c r="N118" s="7">
        <f t="shared" si="3"/>
        <v>149.909999999999</v>
      </c>
      <c r="O118" s="7">
        <f t="shared" si="4"/>
        <v>144.3148673735956</v>
      </c>
    </row>
    <row r="119" spans="1:15" x14ac:dyDescent="0.25">
      <c r="A119" s="14">
        <v>41153</v>
      </c>
      <c r="B119" s="20">
        <v>141.6</v>
      </c>
      <c r="C119" s="7">
        <v>143.66999999999999</v>
      </c>
      <c r="E119" s="22">
        <v>143.665352386498</v>
      </c>
      <c r="F119" s="21">
        <v>144.36548192923499</v>
      </c>
      <c r="G119" s="20">
        <v>0.99515029816421496</v>
      </c>
      <c r="H119" s="66">
        <v>1.0003732630218301</v>
      </c>
      <c r="I119" s="66">
        <v>0.98525610612368097</v>
      </c>
      <c r="J119" t="e">
        <v>#N/A</v>
      </c>
      <c r="K119" t="e">
        <v>#N/A</v>
      </c>
      <c r="L119" t="e">
        <v>#N/A</v>
      </c>
      <c r="N119" s="7">
        <f t="shared" si="3"/>
        <v>141.60000000000042</v>
      </c>
      <c r="O119" s="7">
        <f t="shared" si="4"/>
        <v>143.6653523864988</v>
      </c>
    </row>
    <row r="120" spans="1:15" x14ac:dyDescent="0.25">
      <c r="A120" s="14">
        <v>41183</v>
      </c>
      <c r="B120" s="20">
        <v>147.71</v>
      </c>
      <c r="C120" s="7">
        <v>144.88999999999999</v>
      </c>
      <c r="E120" s="22">
        <v>144.88703319062299</v>
      </c>
      <c r="F120" s="21">
        <v>144.47475836551899</v>
      </c>
      <c r="G120" s="20">
        <v>1.00285361145274</v>
      </c>
      <c r="H120" s="66">
        <v>1.01554121882709</v>
      </c>
      <c r="I120" s="66">
        <v>1.0038823607292</v>
      </c>
      <c r="J120" t="e">
        <v>#N/A</v>
      </c>
      <c r="K120" t="e">
        <v>#N/A</v>
      </c>
      <c r="L120" t="e">
        <v>#N/A</v>
      </c>
      <c r="N120" s="7">
        <f t="shared" si="3"/>
        <v>147.7100000000008</v>
      </c>
      <c r="O120" s="7">
        <f t="shared" si="4"/>
        <v>144.88703319062267</v>
      </c>
    </row>
    <row r="121" spans="1:15" x14ac:dyDescent="0.25">
      <c r="A121" s="14">
        <v>41214</v>
      </c>
      <c r="B121" s="20">
        <v>144.15</v>
      </c>
      <c r="C121" s="7">
        <v>144.72999999999999</v>
      </c>
      <c r="E121" s="22">
        <v>144.730406025896</v>
      </c>
      <c r="F121" s="21">
        <v>144.56090104947401</v>
      </c>
      <c r="G121" s="20">
        <v>1.0011725506357001</v>
      </c>
      <c r="H121" s="66">
        <v>0.995989743676995</v>
      </c>
      <c r="I121" s="66">
        <v>1</v>
      </c>
      <c r="J121" t="e">
        <v>#N/A</v>
      </c>
      <c r="K121" t="e">
        <v>#N/A</v>
      </c>
      <c r="L121" t="e">
        <v>#N/A</v>
      </c>
      <c r="N121" s="7">
        <f t="shared" si="3"/>
        <v>144.15000000000052</v>
      </c>
      <c r="O121" s="7">
        <f t="shared" si="4"/>
        <v>144.73040602589694</v>
      </c>
    </row>
    <row r="122" spans="1:15" x14ac:dyDescent="0.25">
      <c r="A122" s="14">
        <v>41244</v>
      </c>
      <c r="B122" s="20">
        <v>139.52000000000001</v>
      </c>
      <c r="C122" s="7">
        <v>144.06</v>
      </c>
      <c r="E122" s="22">
        <v>144.05786335753501</v>
      </c>
      <c r="F122" s="21">
        <v>144.562530210067</v>
      </c>
      <c r="G122" s="20">
        <v>0.99650900650536101</v>
      </c>
      <c r="H122" s="66">
        <v>0.98349969582222896</v>
      </c>
      <c r="I122" s="66">
        <v>0.98474836530611098</v>
      </c>
      <c r="J122" t="e">
        <v>#N/A</v>
      </c>
      <c r="K122" t="e">
        <v>#N/A</v>
      </c>
      <c r="L122" t="e">
        <v>#N/A</v>
      </c>
      <c r="N122" s="7">
        <f t="shared" si="3"/>
        <v>139.51999999999984</v>
      </c>
      <c r="O122" s="7">
        <f t="shared" si="4"/>
        <v>144.0578633575351</v>
      </c>
    </row>
    <row r="123" spans="1:15" x14ac:dyDescent="0.25">
      <c r="A123" s="14">
        <v>41275</v>
      </c>
      <c r="B123" s="20">
        <v>139.32</v>
      </c>
      <c r="C123" s="7">
        <v>144.91999999999999</v>
      </c>
      <c r="E123" s="22">
        <v>144.92204060328299</v>
      </c>
      <c r="F123" s="21">
        <v>144.584010702852</v>
      </c>
      <c r="G123" s="20">
        <v>1.00233794801229</v>
      </c>
      <c r="H123" s="66">
        <v>0.956667803047347</v>
      </c>
      <c r="I123" s="66">
        <v>1.00488847953604</v>
      </c>
      <c r="J123" t="e">
        <v>#N/A</v>
      </c>
      <c r="K123" t="e">
        <v>#N/A</v>
      </c>
      <c r="L123" t="e">
        <v>#N/A</v>
      </c>
      <c r="N123" s="7">
        <f t="shared" si="3"/>
        <v>139.32000000000076</v>
      </c>
      <c r="O123" s="7">
        <f t="shared" si="4"/>
        <v>144.92204060328365</v>
      </c>
    </row>
    <row r="124" spans="1:15" x14ac:dyDescent="0.25">
      <c r="A124" s="14">
        <v>41306</v>
      </c>
      <c r="B124" s="20">
        <v>136.13999999999999</v>
      </c>
      <c r="C124" s="7">
        <v>143.78</v>
      </c>
      <c r="E124" s="22">
        <v>143.78222055554201</v>
      </c>
      <c r="F124" s="21">
        <v>144.84717993695</v>
      </c>
      <c r="G124" s="20">
        <v>0.99264770372559896</v>
      </c>
      <c r="H124" s="66">
        <v>0.955595749329197</v>
      </c>
      <c r="I124" s="66">
        <v>0.99084643348383294</v>
      </c>
      <c r="J124" t="e">
        <v>#N/A</v>
      </c>
      <c r="K124" t="e">
        <v>#N/A</v>
      </c>
      <c r="L124" t="e">
        <v>#N/A</v>
      </c>
      <c r="N124" s="7">
        <f t="shared" si="3"/>
        <v>136.13999999999967</v>
      </c>
      <c r="O124" s="7">
        <f t="shared" si="4"/>
        <v>143.78222055554207</v>
      </c>
    </row>
    <row r="125" spans="1:15" x14ac:dyDescent="0.25">
      <c r="A125" s="14">
        <v>41334</v>
      </c>
      <c r="B125" s="20">
        <v>148.01</v>
      </c>
      <c r="C125" s="7">
        <v>144.91999999999999</v>
      </c>
      <c r="E125" s="22">
        <v>144.91706663965601</v>
      </c>
      <c r="F125" s="21">
        <v>145.39025254619099</v>
      </c>
      <c r="G125" s="20">
        <v>0.99674540831831704</v>
      </c>
      <c r="H125" s="66">
        <v>1.03391710352956</v>
      </c>
      <c r="I125" s="66">
        <v>0.98783817242822003</v>
      </c>
      <c r="J125" t="e">
        <v>#N/A</v>
      </c>
      <c r="K125" t="e">
        <v>#N/A</v>
      </c>
      <c r="L125" t="e">
        <v>#N/A</v>
      </c>
      <c r="N125" s="7">
        <f t="shared" si="3"/>
        <v>148.00999999999993</v>
      </c>
      <c r="O125" s="7">
        <f t="shared" si="4"/>
        <v>144.91706663965638</v>
      </c>
    </row>
    <row r="126" spans="1:15" x14ac:dyDescent="0.25">
      <c r="A126" s="14">
        <v>41365</v>
      </c>
      <c r="B126" s="20">
        <v>149.79</v>
      </c>
      <c r="C126" s="7">
        <v>146.35</v>
      </c>
      <c r="E126" s="22">
        <v>146.35328276427299</v>
      </c>
      <c r="F126" s="21">
        <v>145.980673590225</v>
      </c>
      <c r="G126" s="20">
        <v>1.0025524555058201</v>
      </c>
      <c r="H126" s="66">
        <v>1.0017792808508399</v>
      </c>
      <c r="I126" s="66">
        <v>1.02166450978183</v>
      </c>
      <c r="J126" t="e">
        <v>#N/A</v>
      </c>
      <c r="K126" t="e">
        <v>#N/A</v>
      </c>
      <c r="L126" t="e">
        <v>#N/A</v>
      </c>
      <c r="N126" s="7">
        <f t="shared" si="3"/>
        <v>149.79000000000144</v>
      </c>
      <c r="O126" s="7">
        <f t="shared" si="4"/>
        <v>146.3532827642737</v>
      </c>
    </row>
    <row r="127" spans="1:15" x14ac:dyDescent="0.25">
      <c r="A127" s="14">
        <v>41395</v>
      </c>
      <c r="B127" s="20">
        <v>147.03</v>
      </c>
      <c r="C127" s="7">
        <v>146.81</v>
      </c>
      <c r="E127" s="22">
        <v>146.81386259561799</v>
      </c>
      <c r="F127" s="21">
        <v>146.43679915862299</v>
      </c>
      <c r="G127" s="20">
        <v>1.0025749226913001</v>
      </c>
      <c r="H127" s="66">
        <v>1.0044884233983999</v>
      </c>
      <c r="I127" s="66">
        <v>0.99699724087753205</v>
      </c>
      <c r="J127" t="e">
        <v>#N/A</v>
      </c>
      <c r="K127" t="e">
        <v>#N/A</v>
      </c>
      <c r="L127" t="e">
        <v>#N/A</v>
      </c>
      <c r="N127" s="7">
        <f t="shared" si="3"/>
        <v>147.03000000000054</v>
      </c>
      <c r="O127" s="7">
        <f t="shared" si="4"/>
        <v>146.81386259561788</v>
      </c>
    </row>
    <row r="128" spans="1:15" x14ac:dyDescent="0.25">
      <c r="A128" s="14">
        <v>41426</v>
      </c>
      <c r="B128" s="20">
        <v>144.87</v>
      </c>
      <c r="C128" s="7">
        <v>146.35</v>
      </c>
      <c r="E128" s="22">
        <v>146.348230373831</v>
      </c>
      <c r="F128" s="21">
        <v>146.776953200338</v>
      </c>
      <c r="G128" s="20">
        <v>0.99707908621102204</v>
      </c>
      <c r="H128" s="66">
        <v>0.99355647096960698</v>
      </c>
      <c r="I128" s="66">
        <v>0.99631903681817602</v>
      </c>
      <c r="J128" t="e">
        <v>#N/A</v>
      </c>
      <c r="K128" t="e">
        <v>#N/A</v>
      </c>
      <c r="L128" t="e">
        <v>#N/A</v>
      </c>
      <c r="N128" s="7">
        <f t="shared" si="3"/>
        <v>144.87000000000006</v>
      </c>
      <c r="O128" s="7">
        <f t="shared" si="4"/>
        <v>146.34823037383097</v>
      </c>
    </row>
    <row r="129" spans="1:15" x14ac:dyDescent="0.25">
      <c r="A129" s="14">
        <v>41456</v>
      </c>
      <c r="B129" s="20">
        <v>152.13</v>
      </c>
      <c r="C129" s="7">
        <v>147.06</v>
      </c>
      <c r="E129" s="22">
        <v>147.05623610102199</v>
      </c>
      <c r="F129" s="21">
        <v>147.03781385362299</v>
      </c>
      <c r="G129" s="20">
        <v>1.00012528918185</v>
      </c>
      <c r="H129" s="66">
        <v>1.02759931052425</v>
      </c>
      <c r="I129" s="66">
        <v>1.00671749286666</v>
      </c>
      <c r="J129" t="e">
        <v>#N/A</v>
      </c>
      <c r="K129" t="e">
        <v>#N/A</v>
      </c>
      <c r="L129" t="e">
        <v>#N/A</v>
      </c>
      <c r="N129" s="7">
        <f t="shared" si="3"/>
        <v>152.12999999999903</v>
      </c>
      <c r="O129" s="7">
        <f t="shared" si="4"/>
        <v>147.05623610102171</v>
      </c>
    </row>
    <row r="130" spans="1:15" x14ac:dyDescent="0.25">
      <c r="A130" s="14">
        <v>41487</v>
      </c>
      <c r="B130" s="20">
        <v>151.81</v>
      </c>
      <c r="C130" s="7">
        <v>147.16999999999999</v>
      </c>
      <c r="E130" s="22">
        <v>147.16775271157101</v>
      </c>
      <c r="F130" s="21">
        <v>147.374500763779</v>
      </c>
      <c r="G130" s="20">
        <v>0.99859712466446904</v>
      </c>
      <c r="H130" s="66">
        <v>1.02924263073049</v>
      </c>
      <c r="I130" s="66">
        <v>1.0022359020134</v>
      </c>
      <c r="J130" t="e">
        <v>#N/A</v>
      </c>
      <c r="K130" t="e">
        <v>#N/A</v>
      </c>
      <c r="L130" t="e">
        <v>#N/A</v>
      </c>
      <c r="N130" s="7">
        <f t="shared" si="3"/>
        <v>151.81000000000128</v>
      </c>
      <c r="O130" s="7">
        <f t="shared" si="4"/>
        <v>147.1677527115713</v>
      </c>
    </row>
    <row r="131" spans="1:15" x14ac:dyDescent="0.25">
      <c r="A131" s="14">
        <v>41518</v>
      </c>
      <c r="B131" s="20">
        <v>147.27000000000001</v>
      </c>
      <c r="C131" s="7">
        <v>148.09</v>
      </c>
      <c r="E131" s="22">
        <v>148.09382750129899</v>
      </c>
      <c r="F131" s="21">
        <v>147.82730910017801</v>
      </c>
      <c r="G131" s="20">
        <v>1.0018029036904099</v>
      </c>
      <c r="H131" s="66">
        <v>0.99974449192286696</v>
      </c>
      <c r="I131" s="66">
        <v>0.99469127631342202</v>
      </c>
      <c r="J131" t="e">
        <v>#N/A</v>
      </c>
      <c r="K131" t="e">
        <v>#N/A</v>
      </c>
      <c r="L131" t="e">
        <v>#N/A</v>
      </c>
      <c r="N131" s="7">
        <f t="shared" si="3"/>
        <v>147.2699999999991</v>
      </c>
      <c r="O131" s="7">
        <f t="shared" si="4"/>
        <v>148.09382750129808</v>
      </c>
    </row>
    <row r="132" spans="1:15" x14ac:dyDescent="0.25">
      <c r="A132" s="14">
        <v>41548</v>
      </c>
      <c r="B132" s="20">
        <v>151.9</v>
      </c>
      <c r="C132" s="7">
        <v>148.05000000000001</v>
      </c>
      <c r="E132" s="22">
        <v>148.05306304499601</v>
      </c>
      <c r="F132" s="21">
        <v>148.224254575337</v>
      </c>
      <c r="G132" s="20">
        <v>0.99884505048899597</v>
      </c>
      <c r="H132" s="66">
        <v>1.0139299958739001</v>
      </c>
      <c r="I132" s="66">
        <v>1.0118879069243101</v>
      </c>
      <c r="J132" t="e">
        <v>#N/A</v>
      </c>
      <c r="K132" t="e">
        <v>#N/A</v>
      </c>
      <c r="L132" t="e">
        <v>#N/A</v>
      </c>
      <c r="N132" s="7">
        <f t="shared" ref="N132:N195" si="6">F132*G132*H132*I132</f>
        <v>151.90000000000157</v>
      </c>
      <c r="O132" s="7">
        <f t="shared" ref="O132:O195" si="7">G132*F132</f>
        <v>148.05306304499626</v>
      </c>
    </row>
    <row r="133" spans="1:15" x14ac:dyDescent="0.25">
      <c r="A133" s="14">
        <v>41579</v>
      </c>
      <c r="B133" s="20">
        <v>147.79</v>
      </c>
      <c r="C133" s="7">
        <v>148.44</v>
      </c>
      <c r="E133" s="22">
        <v>148.440903060609</v>
      </c>
      <c r="F133" s="21">
        <v>148.43333065108499</v>
      </c>
      <c r="G133" s="20">
        <v>1.00005101556025</v>
      </c>
      <c r="H133" s="66">
        <v>0.99561506938324895</v>
      </c>
      <c r="I133" s="66">
        <v>1</v>
      </c>
      <c r="J133" t="e">
        <v>#N/A</v>
      </c>
      <c r="K133" t="e">
        <v>#N/A</v>
      </c>
      <c r="L133" t="e">
        <v>#N/A</v>
      </c>
      <c r="N133" s="7">
        <f t="shared" si="6"/>
        <v>147.78999999999928</v>
      </c>
      <c r="O133" s="7">
        <f t="shared" si="7"/>
        <v>148.44090306060792</v>
      </c>
    </row>
    <row r="134" spans="1:15" x14ac:dyDescent="0.25">
      <c r="A134" s="14">
        <v>41609</v>
      </c>
      <c r="B134" s="20">
        <v>145.77000000000001</v>
      </c>
      <c r="C134" s="7">
        <v>148.62</v>
      </c>
      <c r="E134" s="22">
        <v>148.61618388307599</v>
      </c>
      <c r="F134" s="21">
        <v>148.47685277060501</v>
      </c>
      <c r="G134" s="20">
        <v>1.00093840292188</v>
      </c>
      <c r="H134" s="66">
        <v>0.98768943022569999</v>
      </c>
      <c r="I134" s="66">
        <v>0.99307406979630297</v>
      </c>
      <c r="J134" t="e">
        <v>#N/A</v>
      </c>
      <c r="K134" t="e">
        <v>#N/A</v>
      </c>
      <c r="L134" t="e">
        <v>#N/A</v>
      </c>
      <c r="N134" s="7">
        <f t="shared" si="6"/>
        <v>145.77000000000015</v>
      </c>
      <c r="O134" s="7">
        <f t="shared" si="7"/>
        <v>148.61618388307647</v>
      </c>
    </row>
    <row r="135" spans="1:15" x14ac:dyDescent="0.25">
      <c r="A135" s="14">
        <v>41640</v>
      </c>
      <c r="B135" s="20">
        <v>142.72</v>
      </c>
      <c r="C135" s="7">
        <v>148.25</v>
      </c>
      <c r="E135" s="22">
        <v>148.24834129421501</v>
      </c>
      <c r="F135" s="21">
        <v>148.34323744717699</v>
      </c>
      <c r="G135" s="20">
        <v>0.99936029336695698</v>
      </c>
      <c r="H135" s="66">
        <v>0.95758323948004898</v>
      </c>
      <c r="I135" s="66">
        <v>1.00535272201084</v>
      </c>
      <c r="J135" t="e">
        <v>#N/A</v>
      </c>
      <c r="K135" t="e">
        <v>#N/A</v>
      </c>
      <c r="L135" t="e">
        <v>#N/A</v>
      </c>
      <c r="N135" s="7">
        <f t="shared" si="6"/>
        <v>142.71999999999929</v>
      </c>
      <c r="O135" s="7">
        <f t="shared" si="7"/>
        <v>148.24834129421495</v>
      </c>
    </row>
    <row r="136" spans="1:15" x14ac:dyDescent="0.25">
      <c r="A136" s="14">
        <v>41671</v>
      </c>
      <c r="B136" s="20">
        <v>143.53</v>
      </c>
      <c r="C136" s="7">
        <v>147.94999999999999</v>
      </c>
      <c r="E136" s="22">
        <v>147.95118591749301</v>
      </c>
      <c r="F136" s="21">
        <v>148.049985380908</v>
      </c>
      <c r="G136" s="20">
        <v>0.999332661444302</v>
      </c>
      <c r="H136" s="66">
        <v>0.95670031318176496</v>
      </c>
      <c r="I136" s="66">
        <v>1.0140241962329299</v>
      </c>
      <c r="J136" t="e">
        <v>#N/A</v>
      </c>
      <c r="K136" t="e">
        <v>#N/A</v>
      </c>
      <c r="L136" t="e">
        <v>#N/A</v>
      </c>
      <c r="N136" s="7">
        <f t="shared" si="6"/>
        <v>143.53000000000031</v>
      </c>
      <c r="O136" s="7">
        <f t="shared" si="7"/>
        <v>147.95118591749278</v>
      </c>
    </row>
    <row r="137" spans="1:15" x14ac:dyDescent="0.25">
      <c r="A137" s="14">
        <v>41699</v>
      </c>
      <c r="B137" s="20">
        <v>149.03</v>
      </c>
      <c r="C137" s="7">
        <v>147.78</v>
      </c>
      <c r="E137" s="22">
        <v>147.77926260065601</v>
      </c>
      <c r="F137" s="21">
        <v>147.60741296770701</v>
      </c>
      <c r="G137" s="20">
        <v>1.0011642344343901</v>
      </c>
      <c r="H137" s="66">
        <v>1.03495488956502</v>
      </c>
      <c r="I137" s="66">
        <v>0.974403388655672</v>
      </c>
      <c r="J137" t="e">
        <v>#N/A</v>
      </c>
      <c r="K137" t="e">
        <v>#N/A</v>
      </c>
      <c r="L137" t="e">
        <v>#N/A</v>
      </c>
      <c r="N137" s="7">
        <f t="shared" si="6"/>
        <v>149.02999999999938</v>
      </c>
      <c r="O137" s="7">
        <f t="shared" si="7"/>
        <v>147.77926260065524</v>
      </c>
    </row>
    <row r="138" spans="1:15" x14ac:dyDescent="0.25">
      <c r="A138" s="14">
        <v>41730</v>
      </c>
      <c r="B138" s="20">
        <v>147.69</v>
      </c>
      <c r="C138" s="7">
        <v>146.96</v>
      </c>
      <c r="E138" s="22">
        <v>146.959271280173</v>
      </c>
      <c r="F138" s="21">
        <v>146.99292953505201</v>
      </c>
      <c r="G138" s="20">
        <v>0.99977102126622097</v>
      </c>
      <c r="H138" s="66">
        <v>1.0028507000573501</v>
      </c>
      <c r="I138" s="66">
        <v>1.00211559036316</v>
      </c>
      <c r="J138" t="e">
        <v>#N/A</v>
      </c>
      <c r="K138" t="e">
        <v>#N/A</v>
      </c>
      <c r="L138" t="e">
        <v>#N/A</v>
      </c>
      <c r="N138" s="7">
        <f t="shared" si="6"/>
        <v>147.6899999999998</v>
      </c>
      <c r="O138" s="7">
        <f t="shared" si="7"/>
        <v>146.9592712801726</v>
      </c>
    </row>
    <row r="139" spans="1:15" x14ac:dyDescent="0.25">
      <c r="A139" s="14">
        <v>41760</v>
      </c>
      <c r="B139" s="20">
        <v>147.13999999999999</v>
      </c>
      <c r="C139" s="7">
        <v>146.33000000000001</v>
      </c>
      <c r="E139" s="22">
        <v>146.33484512429499</v>
      </c>
      <c r="F139" s="21">
        <v>146.25739940218199</v>
      </c>
      <c r="G139" s="20">
        <v>1.0005295166085899</v>
      </c>
      <c r="H139" s="66">
        <v>1.0026745094462699</v>
      </c>
      <c r="I139" s="66">
        <v>1.00282008868477</v>
      </c>
      <c r="J139" t="e">
        <v>#N/A</v>
      </c>
      <c r="K139" t="e">
        <v>#N/A</v>
      </c>
      <c r="L139" t="e">
        <v>#N/A</v>
      </c>
      <c r="N139" s="7">
        <f t="shared" si="6"/>
        <v>147.1399999999997</v>
      </c>
      <c r="O139" s="7">
        <f t="shared" si="7"/>
        <v>146.33484512429462</v>
      </c>
    </row>
    <row r="140" spans="1:15" x14ac:dyDescent="0.25">
      <c r="A140" s="14">
        <v>41791</v>
      </c>
      <c r="B140" s="20">
        <v>140.88</v>
      </c>
      <c r="C140" s="7">
        <v>143.57</v>
      </c>
      <c r="E140" s="22">
        <v>143.57327462457499</v>
      </c>
      <c r="F140" s="21">
        <v>145.67804046468601</v>
      </c>
      <c r="G140" s="20">
        <v>0.985551934708917</v>
      </c>
      <c r="H140" s="66">
        <v>0.992619187232056</v>
      </c>
      <c r="I140" s="66">
        <v>0.98853732336281297</v>
      </c>
      <c r="J140" t="e">
        <v>#N/A</v>
      </c>
      <c r="K140" t="e">
        <v>#N/A</v>
      </c>
      <c r="L140" t="e">
        <v>#N/A</v>
      </c>
      <c r="N140" s="7">
        <f t="shared" si="6"/>
        <v>140.88000000000014</v>
      </c>
      <c r="O140" s="7">
        <f t="shared" si="7"/>
        <v>143.57327462457519</v>
      </c>
    </row>
    <row r="141" spans="1:15" x14ac:dyDescent="0.25">
      <c r="A141" s="14">
        <v>41821</v>
      </c>
      <c r="B141" s="20">
        <v>149.85</v>
      </c>
      <c r="C141" s="7">
        <v>144.72</v>
      </c>
      <c r="E141" s="22">
        <v>144.72423512008399</v>
      </c>
      <c r="F141" s="21">
        <v>145.44344848933699</v>
      </c>
      <c r="G141" s="20">
        <v>0.99505503082659297</v>
      </c>
      <c r="H141" s="66">
        <v>1.0264353033632201</v>
      </c>
      <c r="I141" s="66">
        <v>1.00875082638091</v>
      </c>
      <c r="J141" t="e">
        <v>#N/A</v>
      </c>
      <c r="K141" t="e">
        <v>#N/A</v>
      </c>
      <c r="L141" t="e">
        <v>#N/A</v>
      </c>
      <c r="N141" s="7">
        <f t="shared" si="6"/>
        <v>149.85000000000036</v>
      </c>
      <c r="O141" s="7">
        <f t="shared" si="7"/>
        <v>144.72423512008319</v>
      </c>
    </row>
    <row r="142" spans="1:15" x14ac:dyDescent="0.25">
      <c r="A142" s="14">
        <v>41852</v>
      </c>
      <c r="B142" s="20">
        <v>148.27000000000001</v>
      </c>
      <c r="C142" s="7">
        <v>145.63</v>
      </c>
      <c r="E142" s="22">
        <v>145.62629741178901</v>
      </c>
      <c r="F142" s="21">
        <v>145.49274254014199</v>
      </c>
      <c r="G142" s="20">
        <v>1.00091794868469</v>
      </c>
      <c r="H142" s="66">
        <v>1.0275779141929799</v>
      </c>
      <c r="I142" s="66">
        <v>0.99082902139240003</v>
      </c>
      <c r="J142" t="e">
        <v>#N/A</v>
      </c>
      <c r="K142" t="e">
        <v>#N/A</v>
      </c>
      <c r="L142" t="e">
        <v>#N/A</v>
      </c>
      <c r="N142" s="7">
        <f t="shared" si="6"/>
        <v>148.26999999999947</v>
      </c>
      <c r="O142" s="7">
        <f t="shared" si="7"/>
        <v>145.62629741178864</v>
      </c>
    </row>
    <row r="143" spans="1:15" x14ac:dyDescent="0.25">
      <c r="A143" s="14">
        <v>41883</v>
      </c>
      <c r="B143" s="20">
        <v>148.12</v>
      </c>
      <c r="C143" s="7">
        <v>146.29</v>
      </c>
      <c r="E143" s="22">
        <v>146.294489821756</v>
      </c>
      <c r="F143" s="21">
        <v>145.68735557827199</v>
      </c>
      <c r="G143" s="20">
        <v>1.00416737774582</v>
      </c>
      <c r="H143" s="66">
        <v>0.99913632710459499</v>
      </c>
      <c r="I143" s="66">
        <v>1.0133535308997601</v>
      </c>
      <c r="J143" t="e">
        <v>#N/A</v>
      </c>
      <c r="K143" t="e">
        <v>#N/A</v>
      </c>
      <c r="L143" t="e">
        <v>#N/A</v>
      </c>
      <c r="N143" s="7">
        <f t="shared" si="6"/>
        <v>148.12000000000046</v>
      </c>
      <c r="O143" s="7">
        <f t="shared" si="7"/>
        <v>146.29448982175626</v>
      </c>
    </row>
    <row r="144" spans="1:15" x14ac:dyDescent="0.25">
      <c r="A144" s="14">
        <v>41913</v>
      </c>
      <c r="B144" s="20">
        <v>149.69999999999999</v>
      </c>
      <c r="C144" s="7">
        <v>145.46</v>
      </c>
      <c r="E144" s="22">
        <v>145.459526829987</v>
      </c>
      <c r="F144" s="21">
        <v>145.869235520525</v>
      </c>
      <c r="G144" s="20">
        <v>0.99719126045272299</v>
      </c>
      <c r="H144" s="66">
        <v>1.0121838410936099</v>
      </c>
      <c r="I144" s="66">
        <v>1.0167641616921199</v>
      </c>
      <c r="J144" t="e">
        <v>#N/A</v>
      </c>
      <c r="K144" t="e">
        <v>#N/A</v>
      </c>
      <c r="L144" t="e">
        <v>#N/A</v>
      </c>
      <c r="N144" s="7">
        <f t="shared" si="6"/>
        <v>149.70000000000078</v>
      </c>
      <c r="O144" s="7">
        <f t="shared" si="7"/>
        <v>145.45952682998742</v>
      </c>
    </row>
    <row r="145" spans="1:15" x14ac:dyDescent="0.25">
      <c r="A145" s="14">
        <v>41944</v>
      </c>
      <c r="B145" s="20">
        <v>144.91999999999999</v>
      </c>
      <c r="C145" s="7">
        <v>145.61000000000001</v>
      </c>
      <c r="E145" s="22">
        <v>145.60542432145499</v>
      </c>
      <c r="F145" s="21">
        <v>145.823175501637</v>
      </c>
      <c r="G145" s="20">
        <v>0.99850674503944503</v>
      </c>
      <c r="H145" s="66">
        <v>0.99529259074894105</v>
      </c>
      <c r="I145" s="66">
        <v>1</v>
      </c>
      <c r="J145" t="e">
        <v>#N/A</v>
      </c>
      <c r="K145" t="e">
        <v>#N/A</v>
      </c>
      <c r="L145" t="e">
        <v>#N/A</v>
      </c>
      <c r="N145" s="7">
        <f t="shared" si="6"/>
        <v>144.92000000000013</v>
      </c>
      <c r="O145" s="7">
        <f t="shared" si="7"/>
        <v>145.6054243214553</v>
      </c>
    </row>
    <row r="146" spans="1:15" x14ac:dyDescent="0.25">
      <c r="A146" s="14">
        <v>41974</v>
      </c>
      <c r="B146" s="20">
        <v>145.47999999999999</v>
      </c>
      <c r="C146" s="7">
        <v>146.04</v>
      </c>
      <c r="E146" s="22">
        <v>146.039475113175</v>
      </c>
      <c r="F146" s="21">
        <v>145.547178266277</v>
      </c>
      <c r="G146" s="20">
        <v>1.0033823867474601</v>
      </c>
      <c r="H146" s="66">
        <v>0.99201692167994504</v>
      </c>
      <c r="I146" s="66">
        <v>1.00418550603163</v>
      </c>
      <c r="J146" t="e">
        <v>#N/A</v>
      </c>
      <c r="K146" t="e">
        <v>#N/A</v>
      </c>
      <c r="L146" t="e">
        <v>#N/A</v>
      </c>
      <c r="N146" s="7">
        <f t="shared" si="6"/>
        <v>145.47999999999931</v>
      </c>
      <c r="O146" s="7">
        <f t="shared" si="7"/>
        <v>146.03947511317506</v>
      </c>
    </row>
    <row r="147" spans="1:15" x14ac:dyDescent="0.25">
      <c r="A147" s="14">
        <v>42005</v>
      </c>
      <c r="B147" s="20">
        <v>138.97999999999999</v>
      </c>
      <c r="C147" s="7">
        <v>145.07</v>
      </c>
      <c r="E147" s="22">
        <v>145.07333348177499</v>
      </c>
      <c r="F147" s="21">
        <v>145.11610888173499</v>
      </c>
      <c r="G147" s="20">
        <v>0.99970523327637695</v>
      </c>
      <c r="H147" s="66">
        <v>0.958271181067195</v>
      </c>
      <c r="I147" s="66">
        <v>0.99971518679043303</v>
      </c>
      <c r="J147" t="e">
        <v>#N/A</v>
      </c>
      <c r="K147" t="e">
        <v>#N/A</v>
      </c>
      <c r="L147" t="e">
        <v>#N/A</v>
      </c>
      <c r="N147" s="7">
        <f t="shared" si="6"/>
        <v>138.98000000000002</v>
      </c>
      <c r="O147" s="7">
        <f t="shared" si="7"/>
        <v>145.07333348177499</v>
      </c>
    </row>
    <row r="148" spans="1:15" x14ac:dyDescent="0.25">
      <c r="A148" s="14">
        <v>42036</v>
      </c>
      <c r="B148" s="20">
        <v>136.69</v>
      </c>
      <c r="C148" s="7">
        <v>144.03</v>
      </c>
      <c r="E148" s="22">
        <v>144.02865530776199</v>
      </c>
      <c r="F148" s="21">
        <v>144.453806010926</v>
      </c>
      <c r="G148" s="20">
        <v>0.99705683972680303</v>
      </c>
      <c r="H148" s="66">
        <v>0.95781467561296496</v>
      </c>
      <c r="I148" s="66">
        <v>0.99084643348383294</v>
      </c>
      <c r="J148" t="e">
        <v>#N/A</v>
      </c>
      <c r="K148" t="e">
        <v>#N/A</v>
      </c>
      <c r="L148" t="e">
        <v>#N/A</v>
      </c>
      <c r="N148" s="7">
        <f t="shared" si="6"/>
        <v>136.69000000000057</v>
      </c>
      <c r="O148" s="7">
        <f t="shared" si="7"/>
        <v>144.02865530776253</v>
      </c>
    </row>
    <row r="149" spans="1:15" x14ac:dyDescent="0.25">
      <c r="A149" s="14">
        <v>42064</v>
      </c>
      <c r="B149" s="20">
        <v>149.75</v>
      </c>
      <c r="C149" s="7">
        <v>143.93</v>
      </c>
      <c r="E149" s="22">
        <v>143.931731225394</v>
      </c>
      <c r="F149" s="21">
        <v>143.51517281803001</v>
      </c>
      <c r="G149" s="20">
        <v>1.0029025391474999</v>
      </c>
      <c r="H149" s="66">
        <v>1.0361317700516901</v>
      </c>
      <c r="I149" s="66">
        <v>1.00414236761376</v>
      </c>
      <c r="J149" t="e">
        <v>#N/A</v>
      </c>
      <c r="K149" t="e">
        <v>#N/A</v>
      </c>
      <c r="L149" t="e">
        <v>#N/A</v>
      </c>
      <c r="N149" s="7">
        <f t="shared" si="6"/>
        <v>149.75000000000082</v>
      </c>
      <c r="O149" s="7">
        <f t="shared" si="7"/>
        <v>143.93173122539457</v>
      </c>
    </row>
    <row r="150" spans="1:15" x14ac:dyDescent="0.25">
      <c r="A150" s="14">
        <v>42095</v>
      </c>
      <c r="B150" s="20">
        <v>142.47999999999999</v>
      </c>
      <c r="C150" s="7">
        <v>142.36000000000001</v>
      </c>
      <c r="E150" s="22">
        <v>142.36389982095099</v>
      </c>
      <c r="F150" s="21">
        <v>142.347636581507</v>
      </c>
      <c r="G150" s="20">
        <v>1.0001142501543001</v>
      </c>
      <c r="H150" s="66">
        <v>1.0033610538996101</v>
      </c>
      <c r="I150" s="66">
        <v>0.99746299011722706</v>
      </c>
      <c r="J150" t="e">
        <v>#N/A</v>
      </c>
      <c r="K150" t="e">
        <v>#N/A</v>
      </c>
      <c r="L150" t="e">
        <v>#N/A</v>
      </c>
      <c r="N150" s="7">
        <f t="shared" si="6"/>
        <v>142.47999999999988</v>
      </c>
      <c r="O150" s="7">
        <f t="shared" si="7"/>
        <v>142.36389982095071</v>
      </c>
    </row>
    <row r="151" spans="1:15" x14ac:dyDescent="0.25">
      <c r="A151" s="14">
        <v>42125</v>
      </c>
      <c r="B151" s="20">
        <v>139.94999999999999</v>
      </c>
      <c r="C151" s="7">
        <v>141.15</v>
      </c>
      <c r="E151" s="22">
        <v>141.14527650667</v>
      </c>
      <c r="F151" s="21">
        <v>141.10602633392</v>
      </c>
      <c r="G151" s="20">
        <v>1.0002781608537199</v>
      </c>
      <c r="H151" s="66">
        <v>1.0004281224792899</v>
      </c>
      <c r="I151" s="66">
        <v>0.99110727161111301</v>
      </c>
      <c r="J151" t="e">
        <v>#N/A</v>
      </c>
      <c r="K151" t="e">
        <v>#N/A</v>
      </c>
      <c r="L151" t="e">
        <v>#N/A</v>
      </c>
      <c r="N151" s="7">
        <f t="shared" si="6"/>
        <v>139.95000000000013</v>
      </c>
      <c r="O151" s="7">
        <f t="shared" si="7"/>
        <v>141.14527650667006</v>
      </c>
    </row>
    <row r="152" spans="1:15" x14ac:dyDescent="0.25">
      <c r="A152" s="14">
        <v>42156</v>
      </c>
      <c r="B152" s="20">
        <v>138.75</v>
      </c>
      <c r="C152" s="7">
        <v>139.75</v>
      </c>
      <c r="E152" s="22">
        <v>139.74536976405099</v>
      </c>
      <c r="F152" s="21">
        <v>139.90162446380199</v>
      </c>
      <c r="G152" s="20">
        <v>0.99888311018296305</v>
      </c>
      <c r="H152" s="66">
        <v>0.99165107317946</v>
      </c>
      <c r="I152" s="66">
        <v>1.00123651158883</v>
      </c>
      <c r="J152" t="e">
        <v>#N/A</v>
      </c>
      <c r="K152" t="e">
        <v>#N/A</v>
      </c>
      <c r="L152" t="e">
        <v>#N/A</v>
      </c>
      <c r="N152" s="7">
        <f t="shared" si="6"/>
        <v>138.74999999999977</v>
      </c>
      <c r="O152" s="7">
        <f t="shared" si="7"/>
        <v>139.74536976405145</v>
      </c>
    </row>
    <row r="153" spans="1:15" x14ac:dyDescent="0.25">
      <c r="A153" s="14">
        <v>42186</v>
      </c>
      <c r="B153" s="20">
        <v>143.32</v>
      </c>
      <c r="C153" s="7">
        <v>138.63</v>
      </c>
      <c r="E153" s="22">
        <v>138.63201501690801</v>
      </c>
      <c r="F153" s="21">
        <v>139.01581662344699</v>
      </c>
      <c r="G153" s="20">
        <v>0.99723915151626996</v>
      </c>
      <c r="H153" s="66">
        <v>1.02588954686721</v>
      </c>
      <c r="I153" s="66">
        <v>1.00772645312174</v>
      </c>
      <c r="J153" t="e">
        <v>#N/A</v>
      </c>
      <c r="K153" t="e">
        <v>#N/A</v>
      </c>
      <c r="L153" t="e">
        <v>#N/A</v>
      </c>
      <c r="N153" s="7">
        <f t="shared" si="6"/>
        <v>143.31999999999934</v>
      </c>
      <c r="O153" s="7">
        <f t="shared" si="7"/>
        <v>138.63201501690764</v>
      </c>
    </row>
    <row r="154" spans="1:15" x14ac:dyDescent="0.25">
      <c r="A154" s="14">
        <v>42217</v>
      </c>
      <c r="B154" s="20">
        <v>140.93</v>
      </c>
      <c r="C154" s="7">
        <v>138.88999999999999</v>
      </c>
      <c r="E154" s="22">
        <v>138.89489267906299</v>
      </c>
      <c r="F154" s="21">
        <v>138.48424407207401</v>
      </c>
      <c r="G154" s="20">
        <v>1.00296530922879</v>
      </c>
      <c r="H154" s="66">
        <v>1.02642180775647</v>
      </c>
      <c r="I154" s="66">
        <v>0.98853330246001803</v>
      </c>
      <c r="J154" t="e">
        <v>#N/A</v>
      </c>
      <c r="K154" t="e">
        <v>#N/A</v>
      </c>
      <c r="L154" t="e">
        <v>#N/A</v>
      </c>
      <c r="N154" s="7">
        <f t="shared" si="6"/>
        <v>140.93000000000049</v>
      </c>
      <c r="O154" s="7">
        <f t="shared" si="7"/>
        <v>138.89489267906293</v>
      </c>
    </row>
    <row r="155" spans="1:15" x14ac:dyDescent="0.25">
      <c r="A155" s="14">
        <v>42248</v>
      </c>
      <c r="B155" s="20">
        <v>138.30000000000001</v>
      </c>
      <c r="C155" s="7">
        <v>137.68</v>
      </c>
      <c r="E155" s="22">
        <v>137.67878104444699</v>
      </c>
      <c r="F155" s="21">
        <v>138.068547713664</v>
      </c>
      <c r="G155" s="20">
        <v>0.997177006091026</v>
      </c>
      <c r="H155" s="66">
        <v>0.99880868171085702</v>
      </c>
      <c r="I155" s="66">
        <v>1.0057102102726301</v>
      </c>
      <c r="J155" t="e">
        <v>#N/A</v>
      </c>
      <c r="K155" t="e">
        <v>#N/A</v>
      </c>
      <c r="L155" t="e">
        <v>#N/A</v>
      </c>
      <c r="N155" s="7">
        <f t="shared" si="6"/>
        <v>138.29999999999987</v>
      </c>
      <c r="O155" s="7">
        <f t="shared" si="7"/>
        <v>137.67878104444745</v>
      </c>
    </row>
    <row r="156" spans="1:15" x14ac:dyDescent="0.25">
      <c r="A156" s="14">
        <v>42278</v>
      </c>
      <c r="B156" s="20">
        <v>140.22</v>
      </c>
      <c r="C156" s="7">
        <v>138.52000000000001</v>
      </c>
      <c r="E156" s="22">
        <v>138.520861727024</v>
      </c>
      <c r="F156" s="21">
        <v>137.56462055217099</v>
      </c>
      <c r="G156" s="20">
        <v>1.00695121442573</v>
      </c>
      <c r="H156" s="66">
        <v>1.01051368676326</v>
      </c>
      <c r="I156" s="66">
        <v>1.00173437728668</v>
      </c>
      <c r="J156" t="e">
        <v>#N/A</v>
      </c>
      <c r="K156" t="e">
        <v>#N/A</v>
      </c>
      <c r="L156" t="e">
        <v>#N/A</v>
      </c>
      <c r="N156" s="7">
        <f t="shared" si="6"/>
        <v>140.21999999999986</v>
      </c>
      <c r="O156" s="7">
        <f t="shared" si="7"/>
        <v>138.52086172702332</v>
      </c>
    </row>
    <row r="157" spans="1:15" x14ac:dyDescent="0.25">
      <c r="A157" s="14">
        <v>42309</v>
      </c>
      <c r="B157" s="20">
        <v>136.06</v>
      </c>
      <c r="C157" s="7">
        <v>136.69999999999999</v>
      </c>
      <c r="E157" s="22">
        <v>136.696105713462</v>
      </c>
      <c r="F157" s="21">
        <v>136.935021335328</v>
      </c>
      <c r="G157" s="20">
        <v>0.998255262828047</v>
      </c>
      <c r="H157" s="66">
        <v>0.995346570334671</v>
      </c>
      <c r="I157" s="66">
        <v>1</v>
      </c>
      <c r="J157" t="e">
        <v>#N/A</v>
      </c>
      <c r="K157" t="e">
        <v>#N/A</v>
      </c>
      <c r="L157" t="e">
        <v>#N/A</v>
      </c>
      <c r="N157" s="7">
        <f t="shared" si="6"/>
        <v>136.06000000000012</v>
      </c>
      <c r="O157" s="7">
        <f t="shared" si="7"/>
        <v>136.69610571346209</v>
      </c>
    </row>
    <row r="158" spans="1:15" x14ac:dyDescent="0.25">
      <c r="A158" s="14">
        <v>42339</v>
      </c>
      <c r="B158" s="20">
        <v>136.47999999999999</v>
      </c>
      <c r="C158" s="7">
        <v>136.21</v>
      </c>
      <c r="E158" s="22">
        <v>136.208805090053</v>
      </c>
      <c r="F158" s="21">
        <v>136.270447777345</v>
      </c>
      <c r="G158" s="20">
        <v>0.99954764449447597</v>
      </c>
      <c r="H158" s="66">
        <v>0.99610408015996799</v>
      </c>
      <c r="I158" s="66">
        <v>1.00590996794065</v>
      </c>
      <c r="J158" t="e">
        <v>#N/A</v>
      </c>
      <c r="K158" t="e">
        <v>#N/A</v>
      </c>
      <c r="L158" t="e">
        <v>#N/A</v>
      </c>
      <c r="N158" s="7">
        <f t="shared" si="6"/>
        <v>136.48000000000027</v>
      </c>
      <c r="O158" s="7">
        <f t="shared" si="7"/>
        <v>136.20880509005269</v>
      </c>
    </row>
    <row r="159" spans="1:15" x14ac:dyDescent="0.25">
      <c r="A159" s="14">
        <v>42370</v>
      </c>
      <c r="B159" s="20">
        <v>128.47999999999999</v>
      </c>
      <c r="C159" s="7">
        <v>135.61000000000001</v>
      </c>
      <c r="E159" s="22">
        <v>135.60555298438999</v>
      </c>
      <c r="F159" s="21">
        <v>135.71986663055699</v>
      </c>
      <c r="G159" s="20">
        <v>0.99915772355952603</v>
      </c>
      <c r="H159" s="66">
        <v>0.95892386472798696</v>
      </c>
      <c r="I159" s="66">
        <v>0.98803863459452501</v>
      </c>
      <c r="J159" t="e">
        <v>#N/A</v>
      </c>
      <c r="K159" t="e">
        <v>#N/A</v>
      </c>
      <c r="L159" t="e">
        <v>#N/A</v>
      </c>
      <c r="N159" s="7">
        <f t="shared" si="6"/>
        <v>128.47999999999993</v>
      </c>
      <c r="O159" s="7">
        <f t="shared" si="7"/>
        <v>135.60555298438982</v>
      </c>
    </row>
    <row r="160" spans="1:15" x14ac:dyDescent="0.25">
      <c r="A160" s="14">
        <v>42401</v>
      </c>
      <c r="B160" s="20">
        <v>130.91999999999999</v>
      </c>
      <c r="C160" s="7">
        <v>135.53</v>
      </c>
      <c r="E160" s="22">
        <v>135.52502169444199</v>
      </c>
      <c r="F160" s="21">
        <v>135.28306024464001</v>
      </c>
      <c r="G160" s="20">
        <v>1.00178855689223</v>
      </c>
      <c r="H160" s="66">
        <v>0.95879512341226203</v>
      </c>
      <c r="I160" s="66">
        <v>1.0075362828866199</v>
      </c>
      <c r="J160" t="e">
        <v>#N/A</v>
      </c>
      <c r="K160" t="e">
        <v>#N/A</v>
      </c>
      <c r="L160" t="e">
        <v>#N/A</v>
      </c>
      <c r="N160" s="7">
        <f t="shared" si="6"/>
        <v>130.9200000000001</v>
      </c>
      <c r="O160" s="7">
        <f t="shared" si="7"/>
        <v>135.52502169444253</v>
      </c>
    </row>
    <row r="161" spans="1:15" x14ac:dyDescent="0.25">
      <c r="A161" s="14">
        <v>42430</v>
      </c>
      <c r="B161" s="20">
        <v>140.54</v>
      </c>
      <c r="C161" s="7">
        <v>134.80000000000001</v>
      </c>
      <c r="E161" s="22">
        <v>134.802041606659</v>
      </c>
      <c r="F161" s="21">
        <v>135.02066559352099</v>
      </c>
      <c r="G161" s="20">
        <v>0.99838081092326703</v>
      </c>
      <c r="H161" s="66">
        <v>1.0366508072643901</v>
      </c>
      <c r="I161" s="66">
        <v>1.0057058798774701</v>
      </c>
      <c r="J161" t="e">
        <v>#N/A</v>
      </c>
      <c r="K161" t="e">
        <v>#N/A</v>
      </c>
      <c r="L161" t="e">
        <v>#N/A</v>
      </c>
      <c r="N161" s="7">
        <f t="shared" si="6"/>
        <v>140.54000000000099</v>
      </c>
      <c r="O161" s="7">
        <f t="shared" si="7"/>
        <v>134.80204160665875</v>
      </c>
    </row>
    <row r="162" spans="1:15" x14ac:dyDescent="0.25">
      <c r="A162" s="14">
        <v>42461</v>
      </c>
      <c r="B162" s="20">
        <v>136.08000000000001</v>
      </c>
      <c r="C162" s="7">
        <v>134.97</v>
      </c>
      <c r="E162" s="22">
        <v>134.967024765258</v>
      </c>
      <c r="F162" s="21">
        <v>134.86603532392999</v>
      </c>
      <c r="G162" s="20">
        <v>1.00074881300607</v>
      </c>
      <c r="H162" s="66">
        <v>1.0028516210854199</v>
      </c>
      <c r="I162" s="66">
        <v>1.00537931438975</v>
      </c>
      <c r="J162" t="e">
        <v>#N/A</v>
      </c>
      <c r="K162" t="e">
        <v>#N/A</v>
      </c>
      <c r="L162" t="e">
        <v>#N/A</v>
      </c>
      <c r="N162" s="7">
        <f t="shared" si="6"/>
        <v>136.0799999999995</v>
      </c>
      <c r="O162" s="7">
        <f t="shared" si="7"/>
        <v>134.96702476525763</v>
      </c>
    </row>
    <row r="163" spans="1:15" x14ac:dyDescent="0.25">
      <c r="A163" s="14">
        <v>42491</v>
      </c>
      <c r="B163" s="20">
        <v>133.72999999999999</v>
      </c>
      <c r="C163" s="7">
        <v>134.53</v>
      </c>
      <c r="E163" s="22">
        <v>134.53299960783599</v>
      </c>
      <c r="F163" s="21">
        <v>134.77663151794101</v>
      </c>
      <c r="G163" s="20">
        <v>0.99819232824443305</v>
      </c>
      <c r="H163" s="66">
        <v>0.99802427935360805</v>
      </c>
      <c r="I163" s="66">
        <v>0.99599902297092502</v>
      </c>
      <c r="J163" t="e">
        <v>#N/A</v>
      </c>
      <c r="K163" t="e">
        <v>#N/A</v>
      </c>
      <c r="L163" t="e">
        <v>#N/A</v>
      </c>
      <c r="N163" s="7">
        <f t="shared" si="6"/>
        <v>133.72999999999956</v>
      </c>
      <c r="O163" s="7">
        <f t="shared" si="7"/>
        <v>134.53299960783556</v>
      </c>
    </row>
    <row r="164" spans="1:15" x14ac:dyDescent="0.25">
      <c r="A164" s="14">
        <v>42522</v>
      </c>
      <c r="B164" s="20">
        <v>135.46</v>
      </c>
      <c r="C164" s="7">
        <v>134.96</v>
      </c>
      <c r="E164" s="22">
        <v>134.95619683527099</v>
      </c>
      <c r="F164" s="21">
        <v>134.658470796518</v>
      </c>
      <c r="G164" s="20">
        <v>1.0022109714820899</v>
      </c>
      <c r="H164" s="66">
        <v>0.99054878872617103</v>
      </c>
      <c r="I164" s="66">
        <v>1.01331009434859</v>
      </c>
      <c r="J164" t="e">
        <v>#N/A</v>
      </c>
      <c r="K164" t="e">
        <v>#N/A</v>
      </c>
      <c r="L164" t="e">
        <v>#N/A</v>
      </c>
      <c r="N164" s="7">
        <f t="shared" si="6"/>
        <v>135.46000000000006</v>
      </c>
      <c r="O164" s="7">
        <f t="shared" si="7"/>
        <v>134.95619683527093</v>
      </c>
    </row>
    <row r="165" spans="1:15" x14ac:dyDescent="0.25">
      <c r="A165" s="14">
        <v>42552</v>
      </c>
      <c r="B165" s="20">
        <v>136.72999999999999</v>
      </c>
      <c r="C165" s="7">
        <v>134.54</v>
      </c>
      <c r="E165" s="22">
        <v>134.542437444065</v>
      </c>
      <c r="F165" s="21">
        <v>134.43880086610099</v>
      </c>
      <c r="G165" s="20">
        <v>1.0007708829392801</v>
      </c>
      <c r="H165" s="66">
        <v>1.0256656330727001</v>
      </c>
      <c r="I165" s="66">
        <v>0.99082902139240003</v>
      </c>
      <c r="J165" t="e">
        <v>#N/A</v>
      </c>
      <c r="K165" t="e">
        <v>#N/A</v>
      </c>
      <c r="L165" t="e">
        <v>#N/A</v>
      </c>
      <c r="N165" s="7">
        <f t="shared" si="6"/>
        <v>136.73000000000098</v>
      </c>
      <c r="O165" s="7">
        <f t="shared" si="7"/>
        <v>134.54243744406594</v>
      </c>
    </row>
    <row r="166" spans="1:15" x14ac:dyDescent="0.25">
      <c r="A166" s="14">
        <v>42583</v>
      </c>
      <c r="B166" s="20">
        <v>138.22</v>
      </c>
      <c r="C166" s="7">
        <v>133.84</v>
      </c>
      <c r="E166" s="22">
        <v>133.837117138846</v>
      </c>
      <c r="F166" s="21">
        <v>134.10895896866899</v>
      </c>
      <c r="G166" s="20">
        <v>0.99797297785387695</v>
      </c>
      <c r="H166" s="66">
        <v>1.0258567024620799</v>
      </c>
      <c r="I166" s="66">
        <v>1.00671749286666</v>
      </c>
      <c r="J166" t="e">
        <v>#N/A</v>
      </c>
      <c r="K166" t="e">
        <v>#N/A</v>
      </c>
      <c r="L166" t="e">
        <v>#N/A</v>
      </c>
      <c r="N166" s="7">
        <f t="shared" si="6"/>
        <v>138.21999999999952</v>
      </c>
      <c r="O166" s="7">
        <f t="shared" si="7"/>
        <v>133.837117138846</v>
      </c>
    </row>
    <row r="167" spans="1:15" x14ac:dyDescent="0.25">
      <c r="A167" s="14">
        <v>42614</v>
      </c>
      <c r="B167" s="20">
        <v>134.09</v>
      </c>
      <c r="C167" s="7">
        <v>133.84</v>
      </c>
      <c r="E167" s="22">
        <v>133.83877541284099</v>
      </c>
      <c r="F167" s="21">
        <v>133.67736834280299</v>
      </c>
      <c r="G167" s="20">
        <v>1.00120743751945</v>
      </c>
      <c r="H167" s="66">
        <v>0.99889578211357999</v>
      </c>
      <c r="I167" s="66">
        <v>1.00298458229766</v>
      </c>
      <c r="J167" t="e">
        <v>#N/A</v>
      </c>
      <c r="K167" t="e">
        <v>#N/A</v>
      </c>
      <c r="L167" t="e">
        <v>#N/A</v>
      </c>
      <c r="N167" s="7">
        <f t="shared" si="6"/>
        <v>134.09000000000111</v>
      </c>
      <c r="O167" s="7">
        <f t="shared" si="7"/>
        <v>133.83877541284141</v>
      </c>
    </row>
    <row r="168" spans="1:15" x14ac:dyDescent="0.25">
      <c r="A168" s="14">
        <v>42644</v>
      </c>
      <c r="B168" s="20">
        <v>132.83000000000001</v>
      </c>
      <c r="C168" s="7">
        <v>133.31</v>
      </c>
      <c r="E168" s="22">
        <v>133.31463045849799</v>
      </c>
      <c r="F168" s="21">
        <v>133.17849270964101</v>
      </c>
      <c r="G168" s="20">
        <v>1.0010222202255601</v>
      </c>
      <c r="H168" s="66">
        <v>1.0103020999468499</v>
      </c>
      <c r="I168" s="66">
        <v>0.98620478141450996</v>
      </c>
      <c r="J168" t="e">
        <v>#N/A</v>
      </c>
      <c r="K168" t="e">
        <v>#N/A</v>
      </c>
      <c r="L168" t="e">
        <v>#N/A</v>
      </c>
      <c r="N168" s="7">
        <f t="shared" si="6"/>
        <v>132.83000000000024</v>
      </c>
      <c r="O168" s="7">
        <f t="shared" si="7"/>
        <v>133.31463045849841</v>
      </c>
    </row>
    <row r="169" spans="1:15" x14ac:dyDescent="0.25">
      <c r="A169" s="14">
        <v>42675</v>
      </c>
      <c r="B169" s="20">
        <v>132.55000000000001</v>
      </c>
      <c r="C169" s="7">
        <v>133.05000000000001</v>
      </c>
      <c r="E169" s="22">
        <v>133.04891484236501</v>
      </c>
      <c r="F169" s="21">
        <v>132.89964213966201</v>
      </c>
      <c r="G169" s="20">
        <v>1.00112319868059</v>
      </c>
      <c r="H169" s="66">
        <v>0.99625013971022602</v>
      </c>
      <c r="I169" s="66">
        <v>1</v>
      </c>
      <c r="J169" t="e">
        <v>#N/A</v>
      </c>
      <c r="K169" t="e">
        <v>#N/A</v>
      </c>
      <c r="L169" t="e">
        <v>#N/A</v>
      </c>
      <c r="N169" s="7">
        <f t="shared" si="6"/>
        <v>132.54999999999924</v>
      </c>
      <c r="O169" s="7">
        <f t="shared" si="7"/>
        <v>133.04891484236416</v>
      </c>
    </row>
    <row r="170" spans="1:15" x14ac:dyDescent="0.25">
      <c r="A170" s="14">
        <v>42705</v>
      </c>
      <c r="B170" s="20">
        <v>133.56</v>
      </c>
      <c r="C170" s="7">
        <v>132.18</v>
      </c>
      <c r="E170" s="22">
        <v>132.18489168592299</v>
      </c>
      <c r="F170" s="21">
        <v>133.07127948438</v>
      </c>
      <c r="G170" s="20">
        <v>0.99333899995632302</v>
      </c>
      <c r="H170" s="66">
        <v>0.99918766482420895</v>
      </c>
      <c r="I170" s="66">
        <v>1.0112243690453999</v>
      </c>
      <c r="J170" t="e">
        <v>#N/A</v>
      </c>
      <c r="K170" t="e">
        <v>#N/A</v>
      </c>
      <c r="L170" t="e">
        <v>#N/A</v>
      </c>
      <c r="N170" s="7">
        <f t="shared" si="6"/>
        <v>133.55999999999986</v>
      </c>
      <c r="O170" s="7">
        <f t="shared" si="7"/>
        <v>132.18489168592239</v>
      </c>
    </row>
    <row r="171" spans="1:15" x14ac:dyDescent="0.25">
      <c r="A171" s="14">
        <v>42736</v>
      </c>
      <c r="B171" s="20">
        <v>128.62</v>
      </c>
      <c r="C171" s="7">
        <v>133.47999999999999</v>
      </c>
      <c r="E171" s="22">
        <v>133.476374592334</v>
      </c>
      <c r="F171" s="21">
        <v>133.79576714177401</v>
      </c>
      <c r="G171" s="20">
        <v>0.99761283517212196</v>
      </c>
      <c r="H171" s="66">
        <v>0.95944633685580705</v>
      </c>
      <c r="I171" s="66">
        <v>1.00434613839313</v>
      </c>
      <c r="J171" t="e">
        <v>#N/A</v>
      </c>
      <c r="K171" t="e">
        <v>#N/A</v>
      </c>
      <c r="L171" t="e">
        <v>#N/A</v>
      </c>
      <c r="N171" s="7">
        <f t="shared" si="6"/>
        <v>128.61999999999972</v>
      </c>
      <c r="O171" s="7">
        <f t="shared" si="7"/>
        <v>133.4763745923342</v>
      </c>
    </row>
    <row r="172" spans="1:15" x14ac:dyDescent="0.25">
      <c r="A172" s="14">
        <v>42767</v>
      </c>
      <c r="B172" s="20">
        <v>129.54</v>
      </c>
      <c r="C172" s="7">
        <v>135.43</v>
      </c>
      <c r="E172" s="22">
        <v>135.433053108698</v>
      </c>
      <c r="F172" s="21">
        <v>134.75823814734699</v>
      </c>
      <c r="G172" s="20">
        <v>1.0050075970911201</v>
      </c>
      <c r="H172" s="66">
        <v>0.95989114925680097</v>
      </c>
      <c r="I172" s="66">
        <v>0.99645395777811896</v>
      </c>
      <c r="J172" t="e">
        <v>#N/A</v>
      </c>
      <c r="K172" t="e">
        <v>#N/A</v>
      </c>
      <c r="L172" t="e">
        <v>#N/A</v>
      </c>
      <c r="N172" s="7">
        <f t="shared" si="6"/>
        <v>129.54</v>
      </c>
      <c r="O172" s="7">
        <f t="shared" si="7"/>
        <v>135.43305310869812</v>
      </c>
    </row>
    <row r="173" spans="1:15" x14ac:dyDescent="0.25">
      <c r="A173" s="14">
        <v>42795</v>
      </c>
      <c r="B173" s="20">
        <v>142.03</v>
      </c>
      <c r="C173" s="7">
        <v>135.74</v>
      </c>
      <c r="E173" s="22">
        <v>135.74411073898801</v>
      </c>
      <c r="F173" s="21">
        <v>135.504562507679</v>
      </c>
      <c r="G173" s="20">
        <v>1.00176782410036</v>
      </c>
      <c r="H173" s="66">
        <v>1.0350894179427499</v>
      </c>
      <c r="I173" s="66">
        <v>1.0108372127747201</v>
      </c>
      <c r="J173" t="e">
        <v>#N/A</v>
      </c>
      <c r="K173" t="e">
        <v>#N/A</v>
      </c>
      <c r="L173" t="e">
        <v>#N/A</v>
      </c>
      <c r="N173" s="7">
        <f t="shared" si="6"/>
        <v>142.03000000000014</v>
      </c>
      <c r="O173" s="7">
        <f t="shared" si="7"/>
        <v>135.74411073898881</v>
      </c>
    </row>
    <row r="174" spans="1:15" x14ac:dyDescent="0.25">
      <c r="A174" s="14">
        <v>42826</v>
      </c>
      <c r="B174" s="20">
        <v>133.74</v>
      </c>
      <c r="C174" s="7">
        <v>136.07</v>
      </c>
      <c r="E174" s="22">
        <v>136.067085465004</v>
      </c>
      <c r="F174" s="21">
        <v>135.89499144416001</v>
      </c>
      <c r="G174" s="20">
        <v>1.0012663750077599</v>
      </c>
      <c r="H174" s="66">
        <v>1.0011845566222299</v>
      </c>
      <c r="I174" s="66">
        <v>0.98173459348631698</v>
      </c>
      <c r="J174" t="e">
        <v>#N/A</v>
      </c>
      <c r="K174" t="e">
        <v>#N/A</v>
      </c>
      <c r="L174" t="e">
        <v>#N/A</v>
      </c>
      <c r="N174" s="7">
        <f t="shared" si="6"/>
        <v>133.73999999999975</v>
      </c>
      <c r="O174" s="7">
        <f t="shared" si="7"/>
        <v>136.06708546500465</v>
      </c>
    </row>
    <row r="175" spans="1:15" x14ac:dyDescent="0.25">
      <c r="A175" s="14">
        <v>42856</v>
      </c>
      <c r="B175" s="20">
        <v>135.97999999999999</v>
      </c>
      <c r="C175" s="7">
        <v>135.30000000000001</v>
      </c>
      <c r="E175" s="22">
        <v>135.29870890638699</v>
      </c>
      <c r="F175" s="21">
        <v>135.99154731848299</v>
      </c>
      <c r="G175" s="20">
        <v>0.99490528326386496</v>
      </c>
      <c r="H175" s="66">
        <v>0.99573646479581901</v>
      </c>
      <c r="I175" s="66">
        <v>1.0093388104935499</v>
      </c>
      <c r="J175" t="e">
        <v>#N/A</v>
      </c>
      <c r="K175" t="e">
        <v>#N/A</v>
      </c>
      <c r="L175" t="e">
        <v>#N/A</v>
      </c>
      <c r="N175" s="7">
        <f t="shared" si="6"/>
        <v>135.97999999999905</v>
      </c>
      <c r="O175" s="7">
        <f t="shared" si="7"/>
        <v>135.29870890638662</v>
      </c>
    </row>
    <row r="176" spans="1:15" x14ac:dyDescent="0.25">
      <c r="A176" s="14">
        <v>42887</v>
      </c>
      <c r="B176" s="20">
        <v>135.03</v>
      </c>
      <c r="C176" s="7">
        <v>136.16</v>
      </c>
      <c r="E176" s="22">
        <v>136.16009506778099</v>
      </c>
      <c r="F176" s="21">
        <v>135.984605556189</v>
      </c>
      <c r="G176" s="20">
        <v>1.0012905101343901</v>
      </c>
      <c r="H176" s="66">
        <v>0.98948382501441701</v>
      </c>
      <c r="I176" s="66">
        <v>1.0022399786521199</v>
      </c>
      <c r="J176" t="e">
        <v>#N/A</v>
      </c>
      <c r="K176" t="e">
        <v>#N/A</v>
      </c>
      <c r="L176" t="e">
        <v>#N/A</v>
      </c>
      <c r="N176" s="7">
        <f t="shared" si="6"/>
        <v>135.02999999999986</v>
      </c>
      <c r="O176" s="7">
        <f t="shared" si="7"/>
        <v>136.1600950677803</v>
      </c>
    </row>
    <row r="177" spans="1:15" x14ac:dyDescent="0.25">
      <c r="A177" s="14">
        <v>42917</v>
      </c>
      <c r="B177" s="20">
        <v>138.35</v>
      </c>
      <c r="C177" s="7">
        <v>136.44999999999999</v>
      </c>
      <c r="E177" s="22">
        <v>136.445111196997</v>
      </c>
      <c r="F177" s="21">
        <v>135.898597315589</v>
      </c>
      <c r="G177" s="20">
        <v>1.0040214828718099</v>
      </c>
      <c r="H177" s="66">
        <v>1.02572249278602</v>
      </c>
      <c r="I177" s="66">
        <v>0.98853330246001803</v>
      </c>
      <c r="J177" t="e">
        <v>#N/A</v>
      </c>
      <c r="K177" t="e">
        <v>#N/A</v>
      </c>
      <c r="L177" t="e">
        <v>#N/A</v>
      </c>
      <c r="N177" s="7">
        <f t="shared" si="6"/>
        <v>138.35</v>
      </c>
      <c r="O177" s="7">
        <f t="shared" si="7"/>
        <v>136.44511119699663</v>
      </c>
    </row>
    <row r="178" spans="1:15" x14ac:dyDescent="0.25">
      <c r="A178" s="14">
        <v>42948</v>
      </c>
      <c r="B178" s="20">
        <v>140.12</v>
      </c>
      <c r="C178" s="7">
        <v>135.38999999999999</v>
      </c>
      <c r="E178" s="22">
        <v>135.386792044879</v>
      </c>
      <c r="F178" s="21">
        <v>135.651304464443</v>
      </c>
      <c r="G178" s="20">
        <v>0.99805005620396703</v>
      </c>
      <c r="H178" s="66">
        <v>1.02598243884761</v>
      </c>
      <c r="I178" s="66">
        <v>1.00875082638091</v>
      </c>
      <c r="J178" t="e">
        <v>#N/A</v>
      </c>
      <c r="K178" t="e">
        <v>#N/A</v>
      </c>
      <c r="L178" t="e">
        <v>#N/A</v>
      </c>
      <c r="N178" s="7">
        <f t="shared" si="6"/>
        <v>140.11999999999927</v>
      </c>
      <c r="O178" s="7">
        <f t="shared" si="7"/>
        <v>135.38679204487877</v>
      </c>
    </row>
    <row r="179" spans="1:15" x14ac:dyDescent="0.25">
      <c r="A179" s="14">
        <v>42979</v>
      </c>
      <c r="B179" s="20">
        <v>134.99</v>
      </c>
      <c r="C179" s="7">
        <v>135.37</v>
      </c>
      <c r="E179" s="22">
        <v>135.36768354482899</v>
      </c>
      <c r="F179" s="21">
        <v>135.45140478760001</v>
      </c>
      <c r="G179" s="20">
        <v>0.99938190937995197</v>
      </c>
      <c r="H179" s="66">
        <v>1.00000915729625</v>
      </c>
      <c r="I179" s="66">
        <v>0.99720081139746697</v>
      </c>
      <c r="J179" t="e">
        <v>#N/A</v>
      </c>
      <c r="K179" t="e">
        <v>#N/A</v>
      </c>
      <c r="L179" t="e">
        <v>#N/A</v>
      </c>
      <c r="N179" s="7">
        <f t="shared" si="6"/>
        <v>134.98999999999967</v>
      </c>
      <c r="O179" s="7">
        <f t="shared" si="7"/>
        <v>135.36768354482848</v>
      </c>
    </row>
    <row r="180" spans="1:15" x14ac:dyDescent="0.25">
      <c r="A180" s="14">
        <v>43009</v>
      </c>
      <c r="B180" s="20">
        <v>135.94</v>
      </c>
      <c r="C180" s="7">
        <v>135.33000000000001</v>
      </c>
      <c r="E180" s="22">
        <v>135.32524422870199</v>
      </c>
      <c r="F180" s="21">
        <v>135.53687102647999</v>
      </c>
      <c r="G180" s="20">
        <v>0.99843860348718905</v>
      </c>
      <c r="H180" s="66">
        <v>1.0117105278788101</v>
      </c>
      <c r="I180" s="66">
        <v>0.99291524025847899</v>
      </c>
      <c r="J180" t="e">
        <v>#N/A</v>
      </c>
      <c r="K180" t="e">
        <v>#N/A</v>
      </c>
      <c r="L180" t="e">
        <v>#N/A</v>
      </c>
      <c r="N180" s="7">
        <f t="shared" si="6"/>
        <v>135.9400000000002</v>
      </c>
      <c r="O180" s="7">
        <f t="shared" si="7"/>
        <v>135.32524422870193</v>
      </c>
    </row>
    <row r="181" spans="1:15" x14ac:dyDescent="0.25">
      <c r="A181" s="14">
        <v>43040</v>
      </c>
      <c r="B181" s="20">
        <v>135.11000000000001</v>
      </c>
      <c r="C181" s="7">
        <v>135.38</v>
      </c>
      <c r="E181" s="22">
        <v>135.38165882789201</v>
      </c>
      <c r="F181" s="21">
        <v>135.917152143398</v>
      </c>
      <c r="G181" s="20">
        <v>0.99606014909037299</v>
      </c>
      <c r="H181" s="66">
        <v>0.99799338529130199</v>
      </c>
      <c r="I181" s="66">
        <v>1</v>
      </c>
      <c r="J181" t="e">
        <v>#N/A</v>
      </c>
      <c r="K181" t="e">
        <v>#N/A</v>
      </c>
      <c r="L181" t="e">
        <v>#N/A</v>
      </c>
      <c r="N181" s="7">
        <f t="shared" si="6"/>
        <v>135.10999999999993</v>
      </c>
      <c r="O181" s="7">
        <f t="shared" si="7"/>
        <v>135.38165882789193</v>
      </c>
    </row>
    <row r="182" spans="1:15" x14ac:dyDescent="0.25">
      <c r="A182" s="14">
        <v>43070</v>
      </c>
      <c r="B182" s="20">
        <v>135.88</v>
      </c>
      <c r="C182" s="7">
        <v>137.04</v>
      </c>
      <c r="E182" s="22">
        <v>137.03906697707299</v>
      </c>
      <c r="F182" s="21">
        <v>136.35586640135699</v>
      </c>
      <c r="G182" s="20">
        <v>1.0050104230477701</v>
      </c>
      <c r="H182" s="66">
        <v>1.00122066414347</v>
      </c>
      <c r="I182" s="66">
        <v>0.99033320473568098</v>
      </c>
      <c r="J182" t="e">
        <v>#N/A</v>
      </c>
      <c r="K182" t="e">
        <v>#N/A</v>
      </c>
      <c r="L182" t="e">
        <v>#N/A</v>
      </c>
      <c r="N182" s="7">
        <f t="shared" si="6"/>
        <v>135.87999999999951</v>
      </c>
      <c r="O182" s="7">
        <f t="shared" si="7"/>
        <v>137.03906697707302</v>
      </c>
    </row>
    <row r="183" spans="1:15" x14ac:dyDescent="0.25">
      <c r="A183" s="14">
        <v>43101</v>
      </c>
      <c r="B183" s="20">
        <v>132.03</v>
      </c>
      <c r="C183" s="7">
        <v>136.65</v>
      </c>
      <c r="E183" s="22">
        <v>136.646233150347</v>
      </c>
      <c r="F183" s="21">
        <v>136.663436412404</v>
      </c>
      <c r="G183" s="20">
        <v>0.99987411949744398</v>
      </c>
      <c r="H183" s="66">
        <v>0.96025089782991802</v>
      </c>
      <c r="I183" s="66">
        <v>1.0062137255255801</v>
      </c>
      <c r="J183" t="e">
        <v>#N/A</v>
      </c>
      <c r="K183" t="e">
        <v>#N/A</v>
      </c>
      <c r="L183" t="e">
        <v>#N/A</v>
      </c>
      <c r="N183" s="7">
        <f t="shared" si="6"/>
        <v>132.03000000000014</v>
      </c>
      <c r="O183" s="7">
        <f t="shared" si="7"/>
        <v>136.64623315034737</v>
      </c>
    </row>
    <row r="184" spans="1:15" x14ac:dyDescent="0.25">
      <c r="A184" s="14">
        <v>43132</v>
      </c>
      <c r="B184" s="20">
        <v>129.85</v>
      </c>
      <c r="C184" s="7">
        <v>136.4</v>
      </c>
      <c r="E184" s="22">
        <v>136.40179766518699</v>
      </c>
      <c r="F184" s="21">
        <v>136.90721053540801</v>
      </c>
      <c r="G184" s="20">
        <v>0.99630835462760103</v>
      </c>
      <c r="H184" s="66">
        <v>0.96076131845723001</v>
      </c>
      <c r="I184" s="66">
        <v>0.99084643348383294</v>
      </c>
      <c r="J184" t="e">
        <v>#N/A</v>
      </c>
      <c r="K184" t="e">
        <v>#N/A</v>
      </c>
      <c r="L184" t="e">
        <v>#N/A</v>
      </c>
      <c r="N184" s="7">
        <f t="shared" si="6"/>
        <v>129.85000000000039</v>
      </c>
      <c r="O184" s="7">
        <f t="shared" si="7"/>
        <v>136.40179766518693</v>
      </c>
    </row>
    <row r="185" spans="1:15" x14ac:dyDescent="0.25">
      <c r="A185" s="14">
        <v>43160</v>
      </c>
      <c r="B185" s="20">
        <v>141.63</v>
      </c>
      <c r="C185" s="7">
        <v>137.38</v>
      </c>
      <c r="E185" s="22">
        <v>137.382405372276</v>
      </c>
      <c r="F185" s="21">
        <v>137.147891868556</v>
      </c>
      <c r="G185" s="20">
        <v>1.0017099315237401</v>
      </c>
      <c r="H185" s="66">
        <v>1.03173246736659</v>
      </c>
      <c r="I185" s="66">
        <v>0.999210621016693</v>
      </c>
      <c r="J185" t="e">
        <v>#N/A</v>
      </c>
      <c r="K185" t="e">
        <v>#N/A</v>
      </c>
      <c r="L185" t="e">
        <v>#N/A</v>
      </c>
      <c r="N185" s="7">
        <f t="shared" si="6"/>
        <v>141.63000000000122</v>
      </c>
      <c r="O185" s="7">
        <f t="shared" si="7"/>
        <v>137.38240537227654</v>
      </c>
    </row>
    <row r="186" spans="1:15" x14ac:dyDescent="0.25">
      <c r="A186" s="14">
        <v>43191</v>
      </c>
      <c r="B186" s="20">
        <v>139.02000000000001</v>
      </c>
      <c r="C186" s="7">
        <v>138.82</v>
      </c>
      <c r="E186" s="22">
        <v>138.81930989179301</v>
      </c>
      <c r="F186" s="21">
        <v>137.424543144127</v>
      </c>
      <c r="G186" s="20">
        <v>1.01014932788391</v>
      </c>
      <c r="H186" s="66">
        <v>0.99860048307319904</v>
      </c>
      <c r="I186" s="66">
        <v>1.00284919745303</v>
      </c>
      <c r="J186" t="e">
        <v>#N/A</v>
      </c>
      <c r="K186" t="e">
        <v>#N/A</v>
      </c>
      <c r="L186" t="e">
        <v>#N/A</v>
      </c>
      <c r="N186" s="7">
        <f t="shared" si="6"/>
        <v>139.02000000000098</v>
      </c>
      <c r="O186" s="7">
        <f t="shared" si="7"/>
        <v>138.81930989179327</v>
      </c>
    </row>
    <row r="187" spans="1:15" x14ac:dyDescent="0.25">
      <c r="A187" s="14">
        <v>43221</v>
      </c>
      <c r="B187" s="20">
        <v>132.29</v>
      </c>
      <c r="C187" s="7">
        <v>133.59</v>
      </c>
      <c r="E187" s="22">
        <v>133.59212874570301</v>
      </c>
      <c r="F187" s="21">
        <v>137.75400122974301</v>
      </c>
      <c r="G187" s="20">
        <v>0.969787647205265</v>
      </c>
      <c r="H187" s="66">
        <v>0.99369425868477401</v>
      </c>
      <c r="I187" s="66">
        <v>0.99653685671947101</v>
      </c>
      <c r="J187" t="e">
        <v>#N/A</v>
      </c>
      <c r="K187" t="e">
        <v>#N/A</v>
      </c>
      <c r="L187" t="e">
        <v>#N/A</v>
      </c>
      <c r="N187" s="7">
        <f t="shared" si="6"/>
        <v>132.29000000000045</v>
      </c>
      <c r="O187" s="7">
        <f t="shared" si="7"/>
        <v>133.59212874570366</v>
      </c>
    </row>
    <row r="188" spans="1:15" x14ac:dyDescent="0.25">
      <c r="A188" s="14">
        <v>43252</v>
      </c>
      <c r="B188" s="20">
        <v>137.06</v>
      </c>
      <c r="C188" s="7">
        <v>137.71</v>
      </c>
      <c r="E188" s="22">
        <v>137.709438533134</v>
      </c>
      <c r="F188" s="21">
        <v>137.998987736522</v>
      </c>
      <c r="G188" s="20">
        <v>0.99790180197596201</v>
      </c>
      <c r="H188" s="66">
        <v>0.98729338824817803</v>
      </c>
      <c r="I188" s="66">
        <v>1.0080934460668201</v>
      </c>
      <c r="J188" t="e">
        <v>#N/A</v>
      </c>
      <c r="K188" t="e">
        <v>#N/A</v>
      </c>
      <c r="L188" t="e">
        <v>#N/A</v>
      </c>
      <c r="N188" s="7">
        <f t="shared" si="6"/>
        <v>137.06000000000083</v>
      </c>
      <c r="O188" s="7">
        <f t="shared" si="7"/>
        <v>137.70943853313398</v>
      </c>
    </row>
    <row r="189" spans="1:15" x14ac:dyDescent="0.25">
      <c r="A189" s="14">
        <v>43282</v>
      </c>
      <c r="B189" s="20">
        <v>140.97</v>
      </c>
      <c r="C189" s="7">
        <v>138.06</v>
      </c>
      <c r="E189" s="22">
        <v>138.06433406425799</v>
      </c>
      <c r="F189" s="21">
        <v>138.08643564037601</v>
      </c>
      <c r="G189" s="20">
        <v>0.99983994390169395</v>
      </c>
      <c r="H189" s="66">
        <v>1.0257448712503801</v>
      </c>
      <c r="I189" s="66">
        <v>0.99541880986940701</v>
      </c>
      <c r="J189" t="e">
        <v>#N/A</v>
      </c>
      <c r="K189" t="e">
        <v>#N/A</v>
      </c>
      <c r="L189" t="e">
        <v>#N/A</v>
      </c>
      <c r="N189" s="7">
        <f t="shared" si="6"/>
        <v>140.97000000000045</v>
      </c>
      <c r="O189" s="7">
        <f t="shared" si="7"/>
        <v>138.06433406425842</v>
      </c>
    </row>
    <row r="190" spans="1:15" x14ac:dyDescent="0.25">
      <c r="A190" s="14">
        <v>43313</v>
      </c>
      <c r="B190" s="20">
        <v>143.33000000000001</v>
      </c>
      <c r="C190" s="7">
        <v>138.54</v>
      </c>
      <c r="E190" s="22">
        <v>138.542143455191</v>
      </c>
      <c r="F190" s="21">
        <v>137.987530253318</v>
      </c>
      <c r="G190" s="20">
        <v>1.00401929943129</v>
      </c>
      <c r="H190" s="66">
        <v>1.0266266628165699</v>
      </c>
      <c r="I190" s="66">
        <v>1.00772645312174</v>
      </c>
      <c r="J190" t="e">
        <v>#N/A</v>
      </c>
      <c r="K190" t="e">
        <v>#N/A</v>
      </c>
      <c r="L190" t="e">
        <v>#N/A</v>
      </c>
      <c r="N190" s="7">
        <f t="shared" si="6"/>
        <v>143.32999999999979</v>
      </c>
      <c r="O190" s="7">
        <f t="shared" si="7"/>
        <v>138.54214345519026</v>
      </c>
    </row>
    <row r="191" spans="1:15" x14ac:dyDescent="0.25">
      <c r="A191" s="14">
        <v>43344</v>
      </c>
      <c r="B191" s="20">
        <v>135.87</v>
      </c>
      <c r="C191" s="7">
        <v>137.59</v>
      </c>
      <c r="E191" s="22">
        <v>137.59317088048999</v>
      </c>
      <c r="F191" s="21">
        <v>137.75457198073499</v>
      </c>
      <c r="G191" s="20">
        <v>0.99882834306023804</v>
      </c>
      <c r="H191" s="66">
        <v>1.0022534528033</v>
      </c>
      <c r="I191" s="66">
        <v>0.98525610612368097</v>
      </c>
      <c r="J191" t="e">
        <v>#N/A</v>
      </c>
      <c r="K191" t="e">
        <v>#N/A</v>
      </c>
      <c r="L191" t="e">
        <v>#N/A</v>
      </c>
      <c r="N191" s="7">
        <f t="shared" si="6"/>
        <v>135.86999999999983</v>
      </c>
      <c r="O191" s="7">
        <f t="shared" si="7"/>
        <v>137.59317088048982</v>
      </c>
    </row>
    <row r="192" spans="1:15" x14ac:dyDescent="0.25">
      <c r="A192" s="14">
        <v>43374</v>
      </c>
      <c r="B192" s="20">
        <v>139.75</v>
      </c>
      <c r="C192" s="7">
        <v>137.22</v>
      </c>
      <c r="E192" s="22">
        <v>137.221230660499</v>
      </c>
      <c r="F192" s="21">
        <v>137.59355720884699</v>
      </c>
      <c r="G192" s="20">
        <v>0.99729401175534604</v>
      </c>
      <c r="H192" s="66">
        <v>1.01448979640461</v>
      </c>
      <c r="I192" s="66">
        <v>1.0038823607292</v>
      </c>
      <c r="J192" t="e">
        <v>#N/A</v>
      </c>
      <c r="K192" t="e">
        <v>#N/A</v>
      </c>
      <c r="L192" t="e">
        <v>#N/A</v>
      </c>
      <c r="N192" s="7">
        <f t="shared" si="6"/>
        <v>139.75000000000054</v>
      </c>
      <c r="O192" s="7">
        <f t="shared" si="7"/>
        <v>137.22123066049971</v>
      </c>
    </row>
    <row r="193" spans="1:15" x14ac:dyDescent="0.25">
      <c r="A193" s="14">
        <v>43405</v>
      </c>
      <c r="B193" s="20">
        <v>137.62</v>
      </c>
      <c r="C193" s="7">
        <v>137.55000000000001</v>
      </c>
      <c r="E193" s="22">
        <v>137.548349655447</v>
      </c>
      <c r="F193" s="21">
        <v>137.606909908392</v>
      </c>
      <c r="G193" s="20">
        <v>0.99957443813698099</v>
      </c>
      <c r="H193" s="66">
        <v>1.0005209102452499</v>
      </c>
      <c r="I193" s="66">
        <v>1</v>
      </c>
      <c r="J193" t="e">
        <v>#N/A</v>
      </c>
      <c r="K193" t="e">
        <v>#N/A</v>
      </c>
      <c r="L193" t="e">
        <v>#N/A</v>
      </c>
      <c r="N193" s="7">
        <f t="shared" si="6"/>
        <v>137.61999999999983</v>
      </c>
      <c r="O193" s="7">
        <f t="shared" si="7"/>
        <v>137.54834965544708</v>
      </c>
    </row>
    <row r="194" spans="1:15" x14ac:dyDescent="0.25">
      <c r="A194" s="14">
        <v>43435</v>
      </c>
      <c r="B194" s="20">
        <v>136.33000000000001</v>
      </c>
      <c r="C194" s="7">
        <v>138.08000000000001</v>
      </c>
      <c r="E194" s="22">
        <v>138.07615759886701</v>
      </c>
      <c r="F194" s="21">
        <v>137.81324320243499</v>
      </c>
      <c r="G194" s="20">
        <v>1.00190775857474</v>
      </c>
      <c r="H194" s="66">
        <v>1.0026456483133299</v>
      </c>
      <c r="I194" s="66">
        <v>0.98474836530611098</v>
      </c>
      <c r="J194" t="e">
        <v>#N/A</v>
      </c>
      <c r="K194" t="e">
        <v>#N/A</v>
      </c>
      <c r="L194" t="e">
        <v>#N/A</v>
      </c>
      <c r="N194" s="7">
        <f t="shared" si="6"/>
        <v>136.33000000000035</v>
      </c>
      <c r="O194" s="7">
        <f t="shared" si="7"/>
        <v>138.07615759886716</v>
      </c>
    </row>
    <row r="195" spans="1:15" x14ac:dyDescent="0.25">
      <c r="A195" s="14">
        <v>43466</v>
      </c>
      <c r="B195" s="20">
        <v>133.43</v>
      </c>
      <c r="C195" s="7">
        <v>138.19</v>
      </c>
      <c r="E195" s="22">
        <v>138.18627043504699</v>
      </c>
      <c r="F195" s="21">
        <v>138.07545436442001</v>
      </c>
      <c r="G195" s="20">
        <v>1.00080257617935</v>
      </c>
      <c r="H195" s="66">
        <v>0.96088347166148302</v>
      </c>
      <c r="I195" s="66">
        <v>1.00488847953604</v>
      </c>
      <c r="J195" t="e">
        <v>#N/A</v>
      </c>
      <c r="K195" t="e">
        <v>#N/A</v>
      </c>
      <c r="L195" t="e">
        <v>#N/A</v>
      </c>
      <c r="N195" s="7">
        <f t="shared" si="6"/>
        <v>133.42999999999941</v>
      </c>
      <c r="O195" s="7">
        <f t="shared" si="7"/>
        <v>138.18627043504583</v>
      </c>
    </row>
    <row r="196" spans="1:15" x14ac:dyDescent="0.25">
      <c r="A196" s="14">
        <v>43497</v>
      </c>
      <c r="B196" s="20">
        <v>133.75</v>
      </c>
      <c r="C196" s="7">
        <v>137.16</v>
      </c>
      <c r="E196" s="22">
        <v>137.15531150242001</v>
      </c>
      <c r="F196" s="21">
        <v>138.29120278871099</v>
      </c>
      <c r="G196" s="20">
        <v>0.99178623612070005</v>
      </c>
      <c r="H196" s="66">
        <v>0.96168499920407002</v>
      </c>
      <c r="I196" s="66">
        <v>1.0140241962329299</v>
      </c>
      <c r="J196" t="e">
        <v>#N/A</v>
      </c>
      <c r="K196" t="e">
        <v>#N/A</v>
      </c>
      <c r="L196" t="e">
        <v>#N/A</v>
      </c>
      <c r="N196" s="7">
        <f t="shared" ref="N196:N222" si="8">F196*G196*H196*I196</f>
        <v>133.75000000000043</v>
      </c>
      <c r="O196" s="7">
        <f t="shared" ref="O196:O222" si="9">G196*F196</f>
        <v>137.15531150242012</v>
      </c>
    </row>
    <row r="197" spans="1:15" x14ac:dyDescent="0.25">
      <c r="A197" s="14">
        <v>43525</v>
      </c>
      <c r="B197" s="20">
        <v>138.99</v>
      </c>
      <c r="C197" s="7">
        <v>138.53</v>
      </c>
      <c r="E197" s="22">
        <v>138.53019158757999</v>
      </c>
      <c r="F197" s="21">
        <v>138.55364548190201</v>
      </c>
      <c r="G197" s="20">
        <v>0.99983072336898704</v>
      </c>
      <c r="H197" s="66">
        <v>1.0272896689211599</v>
      </c>
      <c r="I197" s="66">
        <v>0.97666629300249297</v>
      </c>
      <c r="J197" t="e">
        <v>#N/A</v>
      </c>
      <c r="K197" t="e">
        <v>#N/A</v>
      </c>
      <c r="L197" t="e">
        <v>#N/A</v>
      </c>
      <c r="N197" s="7">
        <f t="shared" si="8"/>
        <v>138.99000000000072</v>
      </c>
      <c r="O197" s="7">
        <f t="shared" si="9"/>
        <v>138.53019158758028</v>
      </c>
    </row>
    <row r="198" spans="1:15" x14ac:dyDescent="0.25">
      <c r="A198" s="14">
        <v>43556</v>
      </c>
      <c r="B198" s="20">
        <v>139.46</v>
      </c>
      <c r="C198" s="7">
        <v>138.80000000000001</v>
      </c>
      <c r="E198" s="22">
        <v>138.799573433707</v>
      </c>
      <c r="F198" s="21">
        <v>138.85033639716099</v>
      </c>
      <c r="G198" s="20">
        <v>0.99963440518207503</v>
      </c>
      <c r="H198" s="66">
        <v>0.99507447216866296</v>
      </c>
      <c r="I198" s="66">
        <v>1.0097315921540899</v>
      </c>
      <c r="J198" t="e">
        <v>#N/A</v>
      </c>
      <c r="K198" t="e">
        <v>#N/A</v>
      </c>
      <c r="L198" t="e">
        <v>#N/A</v>
      </c>
      <c r="N198" s="7">
        <f t="shared" si="8"/>
        <v>139.46000000000066</v>
      </c>
      <c r="O198" s="7">
        <f t="shared" si="9"/>
        <v>138.79957343370705</v>
      </c>
    </row>
    <row r="199" spans="1:15" x14ac:dyDescent="0.25">
      <c r="A199" s="14">
        <v>43586</v>
      </c>
      <c r="B199" s="20">
        <v>139.26</v>
      </c>
      <c r="C199" s="7">
        <v>139.16999999999999</v>
      </c>
      <c r="E199" s="22">
        <v>139.17016690308799</v>
      </c>
      <c r="F199" s="21">
        <v>139.001263224783</v>
      </c>
      <c r="G199" s="20">
        <v>1.00121512333332</v>
      </c>
      <c r="H199" s="66">
        <v>0.99223615775715401</v>
      </c>
      <c r="I199" s="66">
        <v>1.00847513288575</v>
      </c>
      <c r="J199" t="e">
        <v>#N/A</v>
      </c>
      <c r="K199" t="e">
        <v>#N/A</v>
      </c>
      <c r="L199" t="e">
        <v>#N/A</v>
      </c>
      <c r="N199" s="7">
        <f t="shared" si="8"/>
        <v>139.25999999999971</v>
      </c>
      <c r="O199" s="7">
        <f t="shared" si="9"/>
        <v>139.17016690308839</v>
      </c>
    </row>
    <row r="200" spans="1:15" x14ac:dyDescent="0.25">
      <c r="A200" s="14">
        <v>43617</v>
      </c>
      <c r="B200" s="20">
        <v>135.01</v>
      </c>
      <c r="C200" s="7">
        <v>139.16</v>
      </c>
      <c r="E200" s="22">
        <v>139.16253487465099</v>
      </c>
      <c r="F200" s="21">
        <v>138.876150425611</v>
      </c>
      <c r="G200" s="20">
        <v>1.0020621571678301</v>
      </c>
      <c r="H200" s="66">
        <v>0.98495505897221503</v>
      </c>
      <c r="I200" s="66">
        <v>0.98497949860109502</v>
      </c>
      <c r="J200" t="e">
        <v>#N/A</v>
      </c>
      <c r="K200" t="e">
        <v>#N/A</v>
      </c>
      <c r="L200" t="e">
        <v>#N/A</v>
      </c>
      <c r="N200" s="7">
        <f t="shared" si="8"/>
        <v>135.01000000000028</v>
      </c>
      <c r="O200" s="7">
        <f t="shared" si="9"/>
        <v>139.16253487465181</v>
      </c>
    </row>
    <row r="201" spans="1:15" x14ac:dyDescent="0.25">
      <c r="A201" s="14">
        <v>43647</v>
      </c>
      <c r="B201" s="20">
        <v>142.91999999999999</v>
      </c>
      <c r="C201" s="7">
        <v>138.43</v>
      </c>
      <c r="E201" s="22">
        <v>138.42654936777799</v>
      </c>
      <c r="F201" s="21">
        <v>138.59556848952499</v>
      </c>
      <c r="G201" s="20">
        <v>0.99878048682515796</v>
      </c>
      <c r="H201" s="66">
        <v>1.02557163172789</v>
      </c>
      <c r="I201" s="66">
        <v>1.00671749286666</v>
      </c>
      <c r="J201" t="e">
        <v>#N/A</v>
      </c>
      <c r="K201" t="e">
        <v>#N/A</v>
      </c>
      <c r="L201" t="e">
        <v>#N/A</v>
      </c>
      <c r="N201" s="7">
        <f t="shared" si="8"/>
        <v>142.91999999999956</v>
      </c>
      <c r="O201" s="7">
        <f t="shared" si="9"/>
        <v>138.42654936777728</v>
      </c>
    </row>
    <row r="202" spans="1:15" x14ac:dyDescent="0.25">
      <c r="A202" s="14">
        <v>43678</v>
      </c>
      <c r="B202" s="20">
        <v>141.77000000000001</v>
      </c>
      <c r="C202" s="7">
        <v>137.62</v>
      </c>
      <c r="E202" s="22">
        <v>137.61994396778701</v>
      </c>
      <c r="F202" s="21">
        <v>138.397282636272</v>
      </c>
      <c r="G202" s="20">
        <v>0.99438328084426197</v>
      </c>
      <c r="H202" s="66">
        <v>1.0278577309136401</v>
      </c>
      <c r="I202" s="66">
        <v>1.0022359020134</v>
      </c>
      <c r="J202" t="e">
        <v>#N/A</v>
      </c>
      <c r="K202" t="e">
        <v>#N/A</v>
      </c>
      <c r="L202" t="e">
        <v>#N/A</v>
      </c>
      <c r="N202" s="7">
        <f t="shared" si="8"/>
        <v>141.76999999999964</v>
      </c>
      <c r="O202" s="7">
        <f t="shared" si="9"/>
        <v>137.61994396778675</v>
      </c>
    </row>
    <row r="203" spans="1:15" x14ac:dyDescent="0.25">
      <c r="A203" s="14">
        <v>43709</v>
      </c>
      <c r="B203" s="20">
        <v>138.30000000000001</v>
      </c>
      <c r="C203" s="7">
        <v>138.34</v>
      </c>
      <c r="E203" s="22">
        <v>138.33590392966801</v>
      </c>
      <c r="F203" s="21">
        <v>138.347313824715</v>
      </c>
      <c r="G203" s="20">
        <v>0.99991752716599902</v>
      </c>
      <c r="H203" s="66">
        <v>1.00507612980052</v>
      </c>
      <c r="I203" s="66">
        <v>0.99469127631342202</v>
      </c>
      <c r="J203" t="e">
        <v>#N/A</v>
      </c>
      <c r="K203" t="e">
        <v>#N/A</v>
      </c>
      <c r="L203" t="e">
        <v>#N/A</v>
      </c>
      <c r="N203" s="7">
        <f t="shared" si="8"/>
        <v>138.29999999999896</v>
      </c>
      <c r="O203" s="7">
        <f t="shared" si="9"/>
        <v>138.33590392966747</v>
      </c>
    </row>
    <row r="204" spans="1:15" x14ac:dyDescent="0.25">
      <c r="A204" s="14">
        <v>43739</v>
      </c>
      <c r="B204" s="20">
        <v>142.76</v>
      </c>
      <c r="C204" s="7">
        <v>138.66999999999999</v>
      </c>
      <c r="E204" s="22">
        <v>138.67146614261699</v>
      </c>
      <c r="F204" s="21">
        <v>138.332807312245</v>
      </c>
      <c r="G204" s="20">
        <v>1.0024481454323999</v>
      </c>
      <c r="H204" s="66">
        <v>1.0173889732690899</v>
      </c>
      <c r="I204" s="66">
        <v>1.0118879069243101</v>
      </c>
      <c r="J204" t="e">
        <v>#N/A</v>
      </c>
      <c r="K204" t="e">
        <v>#N/A</v>
      </c>
      <c r="L204" t="e">
        <v>#N/A</v>
      </c>
      <c r="N204" s="7">
        <f t="shared" si="8"/>
        <v>142.76000000000008</v>
      </c>
      <c r="O204" s="7">
        <f t="shared" si="9"/>
        <v>138.67146614261753</v>
      </c>
    </row>
    <row r="205" spans="1:15" x14ac:dyDescent="0.25">
      <c r="A205" s="14">
        <v>43770</v>
      </c>
      <c r="B205" s="20">
        <v>138.84</v>
      </c>
      <c r="C205" s="7">
        <v>138.44999999999999</v>
      </c>
      <c r="E205" s="22">
        <v>138.45029768281699</v>
      </c>
      <c r="F205" s="21">
        <v>138.310137340528</v>
      </c>
      <c r="G205" s="20">
        <v>1.00101337721865</v>
      </c>
      <c r="H205" s="66">
        <v>1.0028147452458001</v>
      </c>
      <c r="I205" s="66">
        <v>1</v>
      </c>
      <c r="J205" t="e">
        <v>#N/A</v>
      </c>
      <c r="K205" t="e">
        <v>#N/A</v>
      </c>
      <c r="L205" t="e">
        <v>#N/A</v>
      </c>
      <c r="N205" s="7">
        <f t="shared" si="8"/>
        <v>138.83999999999955</v>
      </c>
      <c r="O205" s="7">
        <f t="shared" si="9"/>
        <v>138.45029768281725</v>
      </c>
    </row>
    <row r="206" spans="1:15" x14ac:dyDescent="0.25">
      <c r="A206" s="14">
        <v>43800</v>
      </c>
      <c r="B206" s="20">
        <v>137.54</v>
      </c>
      <c r="C206" s="7">
        <v>138</v>
      </c>
      <c r="E206" s="22">
        <v>138.00226370515799</v>
      </c>
      <c r="F206" s="21">
        <v>138.32640623400499</v>
      </c>
      <c r="G206" s="20">
        <v>0.99765668365374804</v>
      </c>
      <c r="H206" s="66">
        <v>1.00360118974567</v>
      </c>
      <c r="I206" s="66">
        <v>0.99307406979630297</v>
      </c>
      <c r="J206" t="e">
        <v>#N/A</v>
      </c>
      <c r="K206" t="e">
        <v>#N/A</v>
      </c>
      <c r="L206" t="e">
        <v>#N/A</v>
      </c>
      <c r="N206" s="7">
        <f t="shared" si="8"/>
        <v>137.53999999999994</v>
      </c>
      <c r="O206" s="7">
        <f t="shared" si="9"/>
        <v>138.00226370515855</v>
      </c>
    </row>
    <row r="207" spans="1:15" x14ac:dyDescent="0.25">
      <c r="A207" s="14">
        <v>43831</v>
      </c>
      <c r="B207" s="20">
        <v>133.6</v>
      </c>
      <c r="C207" s="7">
        <v>138.19999999999999</v>
      </c>
      <c r="E207" s="22">
        <v>138.19874830255401</v>
      </c>
      <c r="F207" s="21">
        <v>138.45953375744301</v>
      </c>
      <c r="G207" s="20">
        <v>0.99811652222268299</v>
      </c>
      <c r="H207" s="66">
        <v>0.96157660940757395</v>
      </c>
      <c r="I207" s="66">
        <v>1.00535272201084</v>
      </c>
      <c r="J207" t="e">
        <v>#N/A</v>
      </c>
      <c r="K207" t="e">
        <v>#N/A</v>
      </c>
      <c r="L207" t="e">
        <v>#N/A</v>
      </c>
      <c r="N207" s="7">
        <f t="shared" si="8"/>
        <v>133.59999999999937</v>
      </c>
      <c r="O207" s="7">
        <f t="shared" si="9"/>
        <v>138.19874830255318</v>
      </c>
    </row>
    <row r="208" spans="1:15" x14ac:dyDescent="0.25">
      <c r="A208" s="14">
        <v>43862</v>
      </c>
      <c r="B208" s="20">
        <v>134.63</v>
      </c>
      <c r="C208" s="7">
        <v>139.35</v>
      </c>
      <c r="E208" s="22">
        <v>139.34958134024399</v>
      </c>
      <c r="F208" s="21">
        <v>138.811249407449</v>
      </c>
      <c r="G208" s="20">
        <v>1.0038781578228999</v>
      </c>
      <c r="H208" s="66">
        <v>0.96236841927016104</v>
      </c>
      <c r="I208" s="66">
        <v>1.0039100793525</v>
      </c>
      <c r="J208" t="e">
        <v>#N/A</v>
      </c>
      <c r="K208" t="e">
        <v>#N/A</v>
      </c>
      <c r="L208" t="e">
        <v>#N/A</v>
      </c>
      <c r="N208" s="7">
        <f t="shared" si="8"/>
        <v>134.63000000000045</v>
      </c>
      <c r="O208" s="7">
        <f t="shared" si="9"/>
        <v>139.34958134024501</v>
      </c>
    </row>
    <row r="209" spans="1:15" x14ac:dyDescent="0.25">
      <c r="A209" s="14">
        <v>43891</v>
      </c>
      <c r="B209" s="20">
        <v>136.72</v>
      </c>
      <c r="C209" s="7">
        <v>133.07</v>
      </c>
      <c r="E209" s="22">
        <v>133.06887940142499</v>
      </c>
      <c r="F209" s="21">
        <v>139.26331071205499</v>
      </c>
      <c r="G209" s="20">
        <v>0.955520005384351</v>
      </c>
      <c r="H209" s="66">
        <v>1.0231993569156801</v>
      </c>
      <c r="I209" s="66">
        <v>1.00414236761376</v>
      </c>
      <c r="J209" t="e">
        <v>#N/A</v>
      </c>
      <c r="K209" t="e">
        <v>#N/A</v>
      </c>
      <c r="L209" t="e">
        <v>#N/A</v>
      </c>
      <c r="N209" s="7">
        <f t="shared" si="8"/>
        <v>136.72000000000051</v>
      </c>
      <c r="O209" s="7">
        <f t="shared" si="9"/>
        <v>133.06887940142533</v>
      </c>
    </row>
    <row r="210" spans="1:15" x14ac:dyDescent="0.25">
      <c r="A210" s="14">
        <v>43922</v>
      </c>
      <c r="B210" s="20">
        <v>119.13</v>
      </c>
      <c r="C210" s="7">
        <v>120.43</v>
      </c>
      <c r="E210" s="22">
        <v>120.429200208701</v>
      </c>
      <c r="F210" s="21">
        <v>120.796872101186</v>
      </c>
      <c r="G210" s="20">
        <v>0.99695627969425205</v>
      </c>
      <c r="H210" s="66">
        <v>0.99172794057608504</v>
      </c>
      <c r="I210" s="66">
        <v>0.99746299011722706</v>
      </c>
      <c r="J210" t="e">
        <v>#N/A</v>
      </c>
      <c r="K210" t="e">
        <v>#N/A</v>
      </c>
      <c r="L210" t="e">
        <v>#N/A</v>
      </c>
      <c r="N210" s="7">
        <f t="shared" si="8"/>
        <v>119.1299999999999</v>
      </c>
      <c r="O210" s="7">
        <f t="shared" si="9"/>
        <v>120.42920020870078</v>
      </c>
    </row>
    <row r="211" spans="1:15" x14ac:dyDescent="0.25">
      <c r="A211" s="14">
        <v>43952</v>
      </c>
      <c r="B211" s="20">
        <v>119.79</v>
      </c>
      <c r="C211" s="7">
        <v>121.92</v>
      </c>
      <c r="E211" s="22">
        <v>121.91797589413601</v>
      </c>
      <c r="F211" s="21">
        <v>121.701290455988</v>
      </c>
      <c r="G211" s="20">
        <v>1.00178046951956</v>
      </c>
      <c r="H211" s="66">
        <v>0.991361750486906</v>
      </c>
      <c r="I211" s="66">
        <v>0.99110727161111301</v>
      </c>
      <c r="J211" t="e">
        <v>#N/A</v>
      </c>
      <c r="K211" t="e">
        <v>#N/A</v>
      </c>
      <c r="L211" t="e">
        <v>#N/A</v>
      </c>
      <c r="N211" s="7">
        <f t="shared" si="8"/>
        <v>119.79000000000055</v>
      </c>
      <c r="O211" s="7">
        <f t="shared" si="9"/>
        <v>121.91797589413601</v>
      </c>
    </row>
    <row r="212" spans="1:15" x14ac:dyDescent="0.25">
      <c r="A212" s="14">
        <v>43983</v>
      </c>
      <c r="B212" s="20">
        <v>126.18</v>
      </c>
      <c r="C212" s="7">
        <v>128.25</v>
      </c>
      <c r="E212" s="22">
        <v>128.246806138322</v>
      </c>
      <c r="F212" s="21">
        <v>129.04283425926701</v>
      </c>
      <c r="G212" s="20">
        <v>0.99383128768432605</v>
      </c>
      <c r="H212" s="66">
        <v>0.98266906949577304</v>
      </c>
      <c r="I212" s="66">
        <v>1.00123651158883</v>
      </c>
      <c r="J212" t="e">
        <v>#N/A</v>
      </c>
      <c r="K212" t="e">
        <v>#N/A</v>
      </c>
      <c r="L212" t="e">
        <v>#N/A</v>
      </c>
      <c r="N212" s="7">
        <f t="shared" si="8"/>
        <v>126.17999999999961</v>
      </c>
      <c r="O212" s="7">
        <f t="shared" si="9"/>
        <v>128.2468061383224</v>
      </c>
    </row>
    <row r="213" spans="1:15" x14ac:dyDescent="0.25">
      <c r="A213" s="14">
        <v>44013</v>
      </c>
      <c r="B213" s="20">
        <v>135.82</v>
      </c>
      <c r="C213" s="7">
        <v>131.47999999999999</v>
      </c>
      <c r="E213" s="22">
        <v>131.47770898028401</v>
      </c>
      <c r="F213" s="21">
        <v>131.07875108496501</v>
      </c>
      <c r="G213" s="20">
        <v>1.00304365041639</v>
      </c>
      <c r="H213" s="66">
        <v>1.02510638653513</v>
      </c>
      <c r="I213" s="66">
        <v>1.00772645312174</v>
      </c>
      <c r="J213" t="e">
        <v>#N/A</v>
      </c>
      <c r="K213" t="e">
        <v>#N/A</v>
      </c>
      <c r="L213" t="e">
        <v>#N/A</v>
      </c>
      <c r="N213" s="7">
        <f t="shared" si="8"/>
        <v>135.81999999999948</v>
      </c>
      <c r="O213" s="7">
        <f t="shared" si="9"/>
        <v>131.47770898028463</v>
      </c>
    </row>
    <row r="214" spans="1:15" x14ac:dyDescent="0.25">
      <c r="A214" s="14">
        <v>44044</v>
      </c>
      <c r="B214" s="20">
        <v>135.5</v>
      </c>
      <c r="C214" s="7">
        <v>133.19999999999999</v>
      </c>
      <c r="E214" s="22">
        <v>133.200231246546</v>
      </c>
      <c r="F214" s="21">
        <v>133.226539969268</v>
      </c>
      <c r="G214" s="20">
        <v>0.99980252641306699</v>
      </c>
      <c r="H214" s="66">
        <v>1.02906548385997</v>
      </c>
      <c r="I214" s="66">
        <v>0.98853330246001803</v>
      </c>
      <c r="J214" t="e">
        <v>#N/A</v>
      </c>
      <c r="K214" t="e">
        <v>#N/A</v>
      </c>
      <c r="L214" t="e">
        <v>#N/A</v>
      </c>
      <c r="N214" s="7">
        <f t="shared" si="8"/>
        <v>135.5000000000004</v>
      </c>
      <c r="O214" s="7">
        <f t="shared" si="9"/>
        <v>133.2002312465456</v>
      </c>
    </row>
    <row r="215" spans="1:15" x14ac:dyDescent="0.25">
      <c r="A215" s="14">
        <v>44075</v>
      </c>
      <c r="B215" s="20">
        <v>137.13999999999999</v>
      </c>
      <c r="C215" s="7">
        <v>135.36000000000001</v>
      </c>
      <c r="E215" s="22">
        <v>135.35974885017001</v>
      </c>
      <c r="F215" s="21">
        <v>135.11540656438299</v>
      </c>
      <c r="G215" s="20">
        <v>1.00180839692527</v>
      </c>
      <c r="H215" s="66">
        <v>1.0073995348545499</v>
      </c>
      <c r="I215" s="66">
        <v>1.0057102102726301</v>
      </c>
      <c r="J215" t="e">
        <v>#N/A</v>
      </c>
      <c r="K215" t="e">
        <v>#N/A</v>
      </c>
      <c r="L215" t="e">
        <v>#N/A</v>
      </c>
      <c r="N215" s="7">
        <f t="shared" si="8"/>
        <v>137.13999999999942</v>
      </c>
      <c r="O215" s="7">
        <f t="shared" si="9"/>
        <v>135.35974885017063</v>
      </c>
    </row>
    <row r="216" spans="1:15" x14ac:dyDescent="0.25">
      <c r="A216" s="14">
        <v>44105</v>
      </c>
      <c r="B216" s="20">
        <v>139.62</v>
      </c>
      <c r="C216" s="7">
        <v>136.63</v>
      </c>
      <c r="E216" s="22">
        <v>136.62712578475899</v>
      </c>
      <c r="F216" s="21">
        <v>136.53954558821101</v>
      </c>
      <c r="G216" s="20">
        <v>1.0006414273327999</v>
      </c>
      <c r="H216" s="66">
        <v>1.0201361164665901</v>
      </c>
      <c r="I216" s="66">
        <v>1.00173437728668</v>
      </c>
      <c r="J216" t="e">
        <v>#N/A</v>
      </c>
      <c r="K216" t="e">
        <v>#N/A</v>
      </c>
      <c r="L216" t="e">
        <v>#N/A</v>
      </c>
      <c r="N216" s="7">
        <f t="shared" si="8"/>
        <v>139.62000000000037</v>
      </c>
      <c r="O216" s="7">
        <f t="shared" si="9"/>
        <v>136.62712578475939</v>
      </c>
    </row>
    <row r="217" spans="1:15" x14ac:dyDescent="0.25">
      <c r="A217" s="14">
        <v>44136</v>
      </c>
      <c r="B217" s="20">
        <v>138.1</v>
      </c>
      <c r="C217" s="7">
        <v>137.46</v>
      </c>
      <c r="E217" s="22">
        <v>137.46380126685801</v>
      </c>
      <c r="F217" s="21">
        <v>137.56488916134299</v>
      </c>
      <c r="G217" s="20">
        <v>0.99926516209840199</v>
      </c>
      <c r="H217" s="66">
        <v>1.00462811829208</v>
      </c>
      <c r="I217" s="66">
        <v>1</v>
      </c>
      <c r="J217" t="e">
        <v>#N/A</v>
      </c>
      <c r="K217" t="e">
        <v>#N/A</v>
      </c>
      <c r="L217" t="e">
        <v>#N/A</v>
      </c>
      <c r="N217" s="7">
        <f t="shared" si="8"/>
        <v>138.10000000000008</v>
      </c>
      <c r="O217" s="7">
        <f t="shared" si="9"/>
        <v>137.4638012668581</v>
      </c>
    </row>
    <row r="218" spans="1:15" x14ac:dyDescent="0.25">
      <c r="A218" s="14">
        <v>44166</v>
      </c>
      <c r="B218" s="20">
        <v>139.53</v>
      </c>
      <c r="C218" s="7">
        <v>138.16999999999999</v>
      </c>
      <c r="E218" s="22">
        <v>138.17224008997101</v>
      </c>
      <c r="F218" s="21">
        <v>138.34345641490501</v>
      </c>
      <c r="G218" s="20">
        <v>0.99876238219449698</v>
      </c>
      <c r="H218" s="66">
        <v>1.0038935962465201</v>
      </c>
      <c r="I218" s="66">
        <v>1.00590996794065</v>
      </c>
      <c r="J218" t="e">
        <v>#N/A</v>
      </c>
      <c r="K218" t="e">
        <v>#N/A</v>
      </c>
      <c r="L218" t="e">
        <v>#N/A</v>
      </c>
      <c r="N218" s="7">
        <f t="shared" si="8"/>
        <v>139.53000000000065</v>
      </c>
      <c r="O218" s="7">
        <f t="shared" si="9"/>
        <v>138.1722400899711</v>
      </c>
    </row>
    <row r="219" spans="1:15" x14ac:dyDescent="0.25">
      <c r="A219" s="14">
        <v>44197</v>
      </c>
      <c r="B219" s="20">
        <v>132.1</v>
      </c>
      <c r="C219" s="7">
        <v>139.01</v>
      </c>
      <c r="E219" s="22">
        <v>139.00892576662901</v>
      </c>
      <c r="F219" s="21">
        <v>138.830323508135</v>
      </c>
      <c r="G219" s="20">
        <v>1.00128647873159</v>
      </c>
      <c r="H219" s="66">
        <v>0.96180316875879801</v>
      </c>
      <c r="I219" s="66">
        <v>0.98803863459452501</v>
      </c>
      <c r="J219" t="e">
        <v>#N/A</v>
      </c>
      <c r="K219" t="e">
        <v>#N/A</v>
      </c>
      <c r="L219" t="e">
        <v>#N/A</v>
      </c>
      <c r="N219" s="7">
        <f t="shared" si="8"/>
        <v>132.09999999999943</v>
      </c>
      <c r="O219" s="7">
        <f t="shared" si="9"/>
        <v>139.00892576662798</v>
      </c>
    </row>
    <row r="220" spans="1:15" x14ac:dyDescent="0.25">
      <c r="A220" s="14">
        <v>44228</v>
      </c>
      <c r="B220" s="20">
        <v>134.87</v>
      </c>
      <c r="C220" s="7">
        <v>141.31</v>
      </c>
      <c r="E220" s="22">
        <v>141.31308919591501</v>
      </c>
      <c r="F220" s="21">
        <v>139.20087308752801</v>
      </c>
      <c r="G220" s="20">
        <v>1.0151738711226299</v>
      </c>
      <c r="H220" s="66">
        <v>0.96322249512421398</v>
      </c>
      <c r="I220" s="66">
        <v>0.99084643348383294</v>
      </c>
      <c r="J220" t="e">
        <v>#N/A</v>
      </c>
      <c r="K220" t="e">
        <v>#N/A</v>
      </c>
      <c r="L220" t="e">
        <v>#N/A</v>
      </c>
      <c r="N220" s="7">
        <f t="shared" si="8"/>
        <v>134.87000000000086</v>
      </c>
      <c r="O220" s="7">
        <f t="shared" si="9"/>
        <v>141.31308919591572</v>
      </c>
    </row>
    <row r="221" spans="1:15" x14ac:dyDescent="0.25">
      <c r="A221" s="14">
        <v>44256</v>
      </c>
      <c r="B221" s="20">
        <v>144.02000000000001</v>
      </c>
      <c r="C221" s="7">
        <v>139.04</v>
      </c>
      <c r="E221" s="22">
        <v>139.039440492431</v>
      </c>
      <c r="F221" s="21">
        <v>139.466392549414</v>
      </c>
      <c r="G221" s="20">
        <v>0.99693867426282001</v>
      </c>
      <c r="H221" s="66">
        <v>1.0199707830025599</v>
      </c>
      <c r="I221" s="66">
        <v>1.0155400689464</v>
      </c>
      <c r="J221" t="e">
        <v>#N/A</v>
      </c>
      <c r="K221" t="e">
        <v>#N/A</v>
      </c>
      <c r="L221" t="e">
        <v>#N/A</v>
      </c>
      <c r="N221" s="7">
        <f t="shared" si="8"/>
        <v>144.01999999999938</v>
      </c>
      <c r="O221" s="7">
        <f t="shared" si="9"/>
        <v>139.03944049243083</v>
      </c>
    </row>
    <row r="222" spans="1:15" x14ac:dyDescent="0.25">
      <c r="A222" s="14">
        <v>44287</v>
      </c>
      <c r="B222" s="20">
        <v>138.09</v>
      </c>
      <c r="C222" s="7">
        <v>139.65</v>
      </c>
      <c r="E222" s="22">
        <v>139.65292720972101</v>
      </c>
      <c r="F222" s="21">
        <v>139.75517793539899</v>
      </c>
      <c r="G222" s="20">
        <v>0.99926835823052096</v>
      </c>
      <c r="H222" s="66">
        <v>0.98940242340400297</v>
      </c>
      <c r="I222" s="66">
        <v>0.99939970435608405</v>
      </c>
      <c r="J222" t="e">
        <v>#N/A</v>
      </c>
      <c r="K222" t="e">
        <v>#N/A</v>
      </c>
      <c r="L222" t="e">
        <v>#N/A</v>
      </c>
      <c r="N222" s="7">
        <f t="shared" si="8"/>
        <v>138.0899999999998</v>
      </c>
      <c r="O222" s="7">
        <f t="shared" si="9"/>
        <v>139.65292720972047</v>
      </c>
    </row>
    <row r="223" spans="1:15" x14ac:dyDescent="0.25">
      <c r="E223" s="22"/>
      <c r="F223" s="18"/>
      <c r="G223" s="18"/>
    </row>
    <row r="224" spans="1:15" x14ac:dyDescent="0.25">
      <c r="A224" s="14"/>
      <c r="B224" s="21"/>
      <c r="C224" s="7"/>
      <c r="E224" s="22"/>
      <c r="F224" s="18"/>
      <c r="G224" s="18"/>
    </row>
    <row r="225" spans="1:7" x14ac:dyDescent="0.25">
      <c r="A225" s="1"/>
      <c r="B225" s="18"/>
      <c r="C225" s="18"/>
      <c r="E225" s="22"/>
      <c r="F225" s="18"/>
      <c r="G225" s="18"/>
    </row>
    <row r="226" spans="1:7" x14ac:dyDescent="0.25">
      <c r="A226" s="1"/>
      <c r="B226" s="18"/>
      <c r="C226" s="18"/>
      <c r="E226" s="22"/>
      <c r="F226" s="18"/>
      <c r="G226" s="18"/>
    </row>
    <row r="227" spans="1:7" x14ac:dyDescent="0.25">
      <c r="A227" s="1"/>
      <c r="E227" s="22"/>
    </row>
    <row r="228" spans="1:7" x14ac:dyDescent="0.25">
      <c r="A228" s="1"/>
    </row>
    <row r="229" spans="1:7" x14ac:dyDescent="0.25">
      <c r="A229" s="1"/>
    </row>
    <row r="230" spans="1:7" x14ac:dyDescent="0.25">
      <c r="A230" s="1"/>
    </row>
    <row r="231" spans="1:7" x14ac:dyDescent="0.25">
      <c r="A231" s="1"/>
    </row>
    <row r="232" spans="1:7" x14ac:dyDescent="0.25">
      <c r="A232" s="1"/>
    </row>
    <row r="233" spans="1:7" x14ac:dyDescent="0.25">
      <c r="A233" s="1"/>
    </row>
    <row r="234" spans="1:7" x14ac:dyDescent="0.25">
      <c r="A234" s="1"/>
    </row>
    <row r="235" spans="1:7" x14ac:dyDescent="0.25">
      <c r="A235" s="1"/>
    </row>
    <row r="236" spans="1:7" x14ac:dyDescent="0.25">
      <c r="A236" s="1"/>
    </row>
    <row r="237" spans="1:7" x14ac:dyDescent="0.25">
      <c r="A237" s="1"/>
    </row>
    <row r="238" spans="1:7" x14ac:dyDescent="0.25">
      <c r="A238" s="1"/>
    </row>
    <row r="239" spans="1:7" x14ac:dyDescent="0.25">
      <c r="A239" s="1"/>
    </row>
    <row r="240" spans="1:7" x14ac:dyDescent="0.25">
      <c r="A240" s="1"/>
    </row>
    <row r="241" spans="1:1" x14ac:dyDescent="0.25">
      <c r="A241" s="1"/>
    </row>
    <row r="242" spans="1:1" x14ac:dyDescent="0.25">
      <c r="A242" s="1"/>
    </row>
    <row r="243" spans="1:1" x14ac:dyDescent="0.25">
      <c r="A243" s="1"/>
    </row>
    <row r="244" spans="1:1" x14ac:dyDescent="0.25">
      <c r="A244" s="1"/>
    </row>
    <row r="245" spans="1:1" x14ac:dyDescent="0.25">
      <c r="A245" s="1"/>
    </row>
    <row r="246" spans="1:1" x14ac:dyDescent="0.25">
      <c r="A246" s="1"/>
    </row>
  </sheetData>
  <pageMargins left="0.511811024" right="0.511811024" top="0.78740157499999996" bottom="0.78740157499999996" header="0.31496062000000002" footer="0.31496062000000002"/>
  <drawing r:id="rId1"/>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FE50DFA-1C06-49EF-BEC9-B4F927666138}">
  <sheetPr codeName="Planilha6"/>
  <dimension ref="A1:AN246"/>
  <sheetViews>
    <sheetView zoomScale="115" zoomScaleNormal="115" workbookViewId="0">
      <selection activeCell="G1" sqref="G1"/>
    </sheetView>
  </sheetViews>
  <sheetFormatPr defaultRowHeight="15" x14ac:dyDescent="0.25"/>
  <cols>
    <col min="1" max="1" width="11.85546875" bestFit="1" customWidth="1"/>
    <col min="2" max="2" width="19.85546875" bestFit="1" customWidth="1"/>
    <col min="3" max="3" width="15.140625" bestFit="1" customWidth="1"/>
    <col min="4" max="4" width="5.140625" customWidth="1"/>
    <col min="5" max="5" width="9.7109375" customWidth="1"/>
    <col min="6" max="6" width="12.28515625" bestFit="1" customWidth="1"/>
    <col min="7" max="7" width="7.28515625" bestFit="1" customWidth="1"/>
    <col min="13" max="13" width="5" customWidth="1"/>
    <col min="14" max="14" width="12.42578125" bestFit="1" customWidth="1"/>
    <col min="15" max="15" width="11.140625" bestFit="1" customWidth="1"/>
    <col min="16" max="16" width="5" customWidth="1"/>
    <col min="17" max="17" width="10.42578125" bestFit="1" customWidth="1"/>
  </cols>
  <sheetData>
    <row r="1" spans="1:40" x14ac:dyDescent="0.25">
      <c r="A1" s="12" t="s">
        <v>17</v>
      </c>
      <c r="E1" s="12" t="s">
        <v>18</v>
      </c>
      <c r="F1" s="67" t="s">
        <v>140</v>
      </c>
      <c r="AB1" s="12" t="s">
        <v>24</v>
      </c>
    </row>
    <row r="2" spans="1:40" x14ac:dyDescent="0.25">
      <c r="A2" s="13" t="s">
        <v>9</v>
      </c>
      <c r="B2" s="13" t="s">
        <v>28</v>
      </c>
      <c r="C2" s="13" t="s">
        <v>19</v>
      </c>
      <c r="E2" s="13" t="s">
        <v>7</v>
      </c>
      <c r="F2" s="13" t="s">
        <v>25</v>
      </c>
      <c r="G2" s="13" t="s">
        <v>26</v>
      </c>
      <c r="H2" s="13" t="s">
        <v>125</v>
      </c>
      <c r="I2" s="13" t="s">
        <v>126</v>
      </c>
      <c r="J2" s="13" t="s">
        <v>87</v>
      </c>
      <c r="K2" s="13" t="s">
        <v>8</v>
      </c>
      <c r="L2" s="13" t="s">
        <v>88</v>
      </c>
      <c r="N2" s="13" t="s">
        <v>127</v>
      </c>
      <c r="O2" s="13" t="s">
        <v>128</v>
      </c>
      <c r="Q2" s="13" t="s">
        <v>21</v>
      </c>
      <c r="AB2" t="str" cm="1">
        <f t="array" ref="AB2:AN21">xlDESSAZ_SeasonalPlot(A3:A222,G3:G222, 12)</f>
        <v/>
      </c>
      <c r="AC2">
        <v>1</v>
      </c>
      <c r="AD2">
        <v>2</v>
      </c>
      <c r="AE2">
        <v>3</v>
      </c>
      <c r="AF2">
        <v>4</v>
      </c>
      <c r="AG2">
        <v>5</v>
      </c>
      <c r="AH2">
        <v>6</v>
      </c>
      <c r="AI2">
        <v>7</v>
      </c>
      <c r="AJ2">
        <v>8</v>
      </c>
      <c r="AK2">
        <v>9</v>
      </c>
      <c r="AL2">
        <v>10</v>
      </c>
      <c r="AM2">
        <v>11</v>
      </c>
      <c r="AN2">
        <v>12</v>
      </c>
    </row>
    <row r="3" spans="1:40" x14ac:dyDescent="0.25">
      <c r="A3" s="14">
        <v>37257</v>
      </c>
      <c r="B3" s="21">
        <v>72.400000000000006</v>
      </c>
      <c r="C3" s="7">
        <v>77.7</v>
      </c>
      <c r="E3" s="22" cm="1">
        <f t="array" ref="E3:L242">ROUND(xlDESSAZ($A$3:$A$242,$B$3:$B$242,$E$2:$L$2,,,Specs!$B$5),1)</f>
        <v>77.7</v>
      </c>
      <c r="F3" s="21">
        <v>79.7</v>
      </c>
      <c r="G3" s="20">
        <v>-2</v>
      </c>
      <c r="H3" s="7">
        <v>-6.5</v>
      </c>
      <c r="I3" s="7">
        <v>1.2</v>
      </c>
      <c r="J3" s="7">
        <v>74.400000000000006</v>
      </c>
      <c r="K3" s="7">
        <v>77.7</v>
      </c>
      <c r="L3" s="7">
        <v>80.900000000000006</v>
      </c>
      <c r="M3" s="7"/>
      <c r="N3" s="7">
        <f>F3+G3+H3+I3</f>
        <v>72.400000000000006</v>
      </c>
      <c r="O3" s="7">
        <f>G3+F3</f>
        <v>77.7</v>
      </c>
      <c r="P3" s="7"/>
      <c r="Q3" s="9">
        <f t="shared" ref="Q3:Q67" si="0">(E3-C3)/C3</f>
        <v>0</v>
      </c>
      <c r="AB3">
        <v>2002</v>
      </c>
      <c r="AC3">
        <v>-2</v>
      </c>
      <c r="AD3">
        <v>0.4</v>
      </c>
      <c r="AE3">
        <v>0.2</v>
      </c>
      <c r="AF3">
        <v>0</v>
      </c>
      <c r="AG3">
        <v>-0.4</v>
      </c>
      <c r="AH3">
        <v>0.1</v>
      </c>
      <c r="AI3">
        <v>0.4</v>
      </c>
      <c r="AJ3">
        <v>-0.9</v>
      </c>
      <c r="AK3">
        <v>0</v>
      </c>
      <c r="AL3">
        <v>0.4</v>
      </c>
      <c r="AM3">
        <v>0.4</v>
      </c>
      <c r="AN3">
        <v>-0.4</v>
      </c>
    </row>
    <row r="4" spans="1:40" x14ac:dyDescent="0.25">
      <c r="A4" s="14">
        <v>37288</v>
      </c>
      <c r="B4" s="21">
        <v>69.7</v>
      </c>
      <c r="C4" s="7">
        <v>80.2</v>
      </c>
      <c r="E4" s="22">
        <v>80.2</v>
      </c>
      <c r="F4" s="21">
        <v>79.7</v>
      </c>
      <c r="G4" s="20">
        <v>0.4</v>
      </c>
      <c r="H4" s="7">
        <v>-9.4</v>
      </c>
      <c r="I4" s="7">
        <v>-1.1000000000000001</v>
      </c>
      <c r="J4" s="7">
        <v>71.8</v>
      </c>
      <c r="K4" s="7">
        <v>76</v>
      </c>
      <c r="L4" s="7">
        <v>80.2</v>
      </c>
      <c r="N4" s="7">
        <f t="shared" ref="N4:N67" si="1">F4+G4+H4+I4</f>
        <v>69.600000000000009</v>
      </c>
      <c r="O4" s="7">
        <f t="shared" ref="O4:O67" si="2">G4+F4</f>
        <v>80.100000000000009</v>
      </c>
      <c r="Q4" s="9">
        <f t="shared" si="0"/>
        <v>0</v>
      </c>
      <c r="AB4">
        <v>2003</v>
      </c>
      <c r="AC4">
        <v>-0.1</v>
      </c>
      <c r="AD4">
        <v>0</v>
      </c>
      <c r="AE4">
        <v>0.5</v>
      </c>
      <c r="AF4">
        <v>0.6</v>
      </c>
      <c r="AG4">
        <v>-0.6</v>
      </c>
      <c r="AH4">
        <v>-0.2</v>
      </c>
      <c r="AI4">
        <v>-1.2</v>
      </c>
      <c r="AJ4">
        <v>-0.7</v>
      </c>
      <c r="AK4">
        <v>1.2</v>
      </c>
      <c r="AL4">
        <v>0.6</v>
      </c>
      <c r="AM4">
        <v>0.8</v>
      </c>
      <c r="AN4">
        <v>-1.3</v>
      </c>
    </row>
    <row r="5" spans="1:40" x14ac:dyDescent="0.25">
      <c r="A5" s="14">
        <v>37316</v>
      </c>
      <c r="B5" s="21">
        <v>77.400000000000006</v>
      </c>
      <c r="C5" s="7">
        <v>79.8</v>
      </c>
      <c r="E5" s="22">
        <v>79.8</v>
      </c>
      <c r="F5" s="21">
        <v>79.7</v>
      </c>
      <c r="G5" s="20">
        <v>0.2</v>
      </c>
      <c r="H5" s="7">
        <v>0.6</v>
      </c>
      <c r="I5" s="7">
        <v>-3</v>
      </c>
      <c r="J5" s="7">
        <v>78.599999999999994</v>
      </c>
      <c r="K5" s="7">
        <v>83.7</v>
      </c>
      <c r="L5" s="7">
        <v>88.8</v>
      </c>
      <c r="N5" s="7">
        <f t="shared" si="1"/>
        <v>77.5</v>
      </c>
      <c r="O5" s="7">
        <f t="shared" si="2"/>
        <v>79.900000000000006</v>
      </c>
      <c r="Q5" s="9">
        <f t="shared" si="0"/>
        <v>0</v>
      </c>
      <c r="AB5">
        <v>2004</v>
      </c>
      <c r="AC5">
        <v>-0.5</v>
      </c>
      <c r="AD5">
        <v>0.3</v>
      </c>
      <c r="AE5">
        <v>0.1</v>
      </c>
      <c r="AF5">
        <v>0</v>
      </c>
      <c r="AG5">
        <v>0.1</v>
      </c>
      <c r="AH5">
        <v>-0.3</v>
      </c>
      <c r="AI5">
        <v>-0.2</v>
      </c>
      <c r="AJ5">
        <v>0.3</v>
      </c>
      <c r="AK5">
        <v>0.5</v>
      </c>
      <c r="AL5">
        <v>-0.3</v>
      </c>
      <c r="AM5">
        <v>-0.5</v>
      </c>
      <c r="AN5">
        <v>0.3</v>
      </c>
    </row>
    <row r="6" spans="1:40" x14ac:dyDescent="0.25">
      <c r="A6" s="14">
        <v>37347</v>
      </c>
      <c r="B6" s="21">
        <v>79.599999999999994</v>
      </c>
      <c r="C6" s="7">
        <v>79.599999999999994</v>
      </c>
      <c r="E6" s="22">
        <v>79.599999999999994</v>
      </c>
      <c r="F6" s="21">
        <v>79.599999999999994</v>
      </c>
      <c r="G6" s="20">
        <v>0</v>
      </c>
      <c r="H6" s="7">
        <v>-2.8</v>
      </c>
      <c r="I6" s="7">
        <v>2.8</v>
      </c>
      <c r="J6" s="7">
        <v>73.5</v>
      </c>
      <c r="K6" s="7">
        <v>79.3</v>
      </c>
      <c r="L6" s="7">
        <v>85.1</v>
      </c>
      <c r="N6" s="7">
        <f t="shared" si="1"/>
        <v>79.599999999999994</v>
      </c>
      <c r="O6" s="7">
        <f t="shared" si="2"/>
        <v>79.599999999999994</v>
      </c>
      <c r="Q6" s="9">
        <f t="shared" si="0"/>
        <v>0</v>
      </c>
      <c r="AB6">
        <v>2005</v>
      </c>
      <c r="AC6">
        <v>0.7</v>
      </c>
      <c r="AD6">
        <v>-0.7</v>
      </c>
      <c r="AE6">
        <v>-0.1</v>
      </c>
      <c r="AF6">
        <v>-0.2</v>
      </c>
      <c r="AG6">
        <v>2.6</v>
      </c>
      <c r="AH6">
        <v>0.6</v>
      </c>
      <c r="AI6">
        <v>0</v>
      </c>
      <c r="AJ6">
        <v>0.3</v>
      </c>
      <c r="AK6">
        <v>-0.5</v>
      </c>
      <c r="AL6">
        <v>-1.4</v>
      </c>
      <c r="AM6">
        <v>-0.7</v>
      </c>
      <c r="AN6">
        <v>0.6</v>
      </c>
    </row>
    <row r="7" spans="1:40" x14ac:dyDescent="0.25">
      <c r="A7" s="14">
        <v>37377</v>
      </c>
      <c r="B7" s="21">
        <v>80.400000000000006</v>
      </c>
      <c r="C7" s="7">
        <v>79.099999999999994</v>
      </c>
      <c r="E7" s="22">
        <v>79.099999999999994</v>
      </c>
      <c r="F7" s="21">
        <v>79.400000000000006</v>
      </c>
      <c r="G7" s="20">
        <v>-0.4</v>
      </c>
      <c r="H7" s="7">
        <v>0.9</v>
      </c>
      <c r="I7" s="7">
        <v>0.4</v>
      </c>
      <c r="J7" s="7">
        <v>80.3</v>
      </c>
      <c r="K7" s="7">
        <v>86.7</v>
      </c>
      <c r="L7" s="7">
        <v>93.1</v>
      </c>
      <c r="N7" s="7">
        <f t="shared" si="1"/>
        <v>80.300000000000011</v>
      </c>
      <c r="O7" s="7">
        <f t="shared" si="2"/>
        <v>79</v>
      </c>
      <c r="Q7" s="9">
        <f t="shared" si="0"/>
        <v>0</v>
      </c>
      <c r="AB7">
        <v>2006</v>
      </c>
      <c r="AC7">
        <v>0.3</v>
      </c>
      <c r="AD7">
        <v>0.4</v>
      </c>
      <c r="AE7">
        <v>-0.6</v>
      </c>
      <c r="AF7">
        <v>0</v>
      </c>
      <c r="AG7">
        <v>0.8</v>
      </c>
      <c r="AH7">
        <v>-0.7</v>
      </c>
      <c r="AI7">
        <v>0.4</v>
      </c>
      <c r="AJ7">
        <v>0.3</v>
      </c>
      <c r="AK7">
        <v>-0.8</v>
      </c>
      <c r="AL7">
        <v>-0.7</v>
      </c>
      <c r="AM7">
        <v>0.2</v>
      </c>
      <c r="AN7">
        <v>0.8</v>
      </c>
    </row>
    <row r="8" spans="1:40" x14ac:dyDescent="0.25">
      <c r="A8" s="14">
        <v>37408</v>
      </c>
      <c r="B8" s="21">
        <v>77.5</v>
      </c>
      <c r="C8" s="7">
        <v>79.400000000000006</v>
      </c>
      <c r="E8" s="22">
        <v>79.400000000000006</v>
      </c>
      <c r="F8" s="21">
        <v>79.400000000000006</v>
      </c>
      <c r="G8" s="20">
        <v>0.1</v>
      </c>
      <c r="H8" s="7">
        <v>-0.6</v>
      </c>
      <c r="I8" s="7">
        <v>-1.4</v>
      </c>
      <c r="J8" s="7" t="e">
        <v>#N/A</v>
      </c>
      <c r="K8" s="7" t="e">
        <v>#N/A</v>
      </c>
      <c r="L8" s="7" t="e">
        <v>#N/A</v>
      </c>
      <c r="N8" s="7">
        <f t="shared" si="1"/>
        <v>77.5</v>
      </c>
      <c r="O8" s="7">
        <f t="shared" si="2"/>
        <v>79.5</v>
      </c>
      <c r="Q8" s="9">
        <f t="shared" si="0"/>
        <v>0</v>
      </c>
      <c r="AB8">
        <v>2007</v>
      </c>
      <c r="AC8">
        <v>-0.6</v>
      </c>
      <c r="AD8">
        <v>-0.2</v>
      </c>
      <c r="AE8">
        <v>0</v>
      </c>
      <c r="AF8">
        <v>0.4</v>
      </c>
      <c r="AG8">
        <v>0.1</v>
      </c>
      <c r="AH8">
        <v>0.3</v>
      </c>
      <c r="AI8">
        <v>-0.6</v>
      </c>
      <c r="AJ8">
        <v>0.4</v>
      </c>
      <c r="AK8">
        <v>-0.8</v>
      </c>
      <c r="AL8">
        <v>1</v>
      </c>
      <c r="AM8">
        <v>-0.4</v>
      </c>
      <c r="AN8">
        <v>-0.5</v>
      </c>
    </row>
    <row r="9" spans="1:40" x14ac:dyDescent="0.25">
      <c r="A9" s="14">
        <v>37438</v>
      </c>
      <c r="B9" s="21">
        <v>83.3</v>
      </c>
      <c r="C9" s="7">
        <v>79.7</v>
      </c>
      <c r="E9" s="22">
        <v>79.7</v>
      </c>
      <c r="F9" s="21">
        <v>79.400000000000006</v>
      </c>
      <c r="G9" s="20">
        <v>0.4</v>
      </c>
      <c r="H9" s="7">
        <v>2.6</v>
      </c>
      <c r="I9" s="7">
        <v>1</v>
      </c>
      <c r="J9" s="7" t="e">
        <v>#N/A</v>
      </c>
      <c r="K9" s="7" t="e">
        <v>#N/A</v>
      </c>
      <c r="L9" s="7" t="e">
        <v>#N/A</v>
      </c>
      <c r="N9" s="7">
        <f t="shared" si="1"/>
        <v>83.4</v>
      </c>
      <c r="O9" s="7">
        <f t="shared" si="2"/>
        <v>79.800000000000011</v>
      </c>
      <c r="Q9" s="9">
        <f t="shared" si="0"/>
        <v>0</v>
      </c>
      <c r="AB9">
        <v>2008</v>
      </c>
      <c r="AC9">
        <v>0.9</v>
      </c>
      <c r="AD9">
        <v>0.1</v>
      </c>
      <c r="AE9">
        <v>-0.1</v>
      </c>
      <c r="AF9">
        <v>-0.7</v>
      </c>
      <c r="AG9">
        <v>-0.6</v>
      </c>
      <c r="AH9">
        <v>0.8</v>
      </c>
      <c r="AI9">
        <v>0.7</v>
      </c>
      <c r="AJ9">
        <v>-0.6</v>
      </c>
      <c r="AK9">
        <v>1.1000000000000001</v>
      </c>
      <c r="AL9">
        <v>-1.7</v>
      </c>
      <c r="AM9">
        <v>-0.1</v>
      </c>
      <c r="AN9">
        <v>-10</v>
      </c>
    </row>
    <row r="10" spans="1:40" x14ac:dyDescent="0.25">
      <c r="A10" s="14">
        <v>37469</v>
      </c>
      <c r="B10" s="21">
        <v>83.6</v>
      </c>
      <c r="C10" s="7">
        <v>78.599999999999994</v>
      </c>
      <c r="E10" s="22">
        <v>78.599999999999994</v>
      </c>
      <c r="F10" s="21">
        <v>79.5</v>
      </c>
      <c r="G10" s="20">
        <v>-0.9</v>
      </c>
      <c r="H10" s="7">
        <v>4.5</v>
      </c>
      <c r="I10" s="7">
        <v>0.5</v>
      </c>
      <c r="J10" s="7" t="e">
        <v>#N/A</v>
      </c>
      <c r="K10" s="7" t="e">
        <v>#N/A</v>
      </c>
      <c r="L10" s="7" t="e">
        <v>#N/A</v>
      </c>
      <c r="N10" s="7">
        <f t="shared" si="1"/>
        <v>83.6</v>
      </c>
      <c r="O10" s="7">
        <f t="shared" si="2"/>
        <v>78.599999999999994</v>
      </c>
      <c r="Q10" s="9">
        <f t="shared" si="0"/>
        <v>0</v>
      </c>
      <c r="AB10">
        <v>2009</v>
      </c>
      <c r="AC10">
        <v>-7.3</v>
      </c>
      <c r="AD10">
        <v>-4.8</v>
      </c>
      <c r="AE10">
        <v>-3.9</v>
      </c>
      <c r="AF10">
        <v>-2.8</v>
      </c>
      <c r="AG10">
        <v>-1.7</v>
      </c>
      <c r="AH10">
        <v>-1.1000000000000001</v>
      </c>
      <c r="AI10">
        <v>-1</v>
      </c>
      <c r="AJ10">
        <v>-0.8</v>
      </c>
      <c r="AK10">
        <v>-0.5</v>
      </c>
      <c r="AL10">
        <v>0</v>
      </c>
      <c r="AM10">
        <v>0.4</v>
      </c>
      <c r="AN10">
        <v>-0.6</v>
      </c>
    </row>
    <row r="11" spans="1:40" x14ac:dyDescent="0.25">
      <c r="A11" s="14">
        <v>37500</v>
      </c>
      <c r="B11" s="21">
        <v>82.1</v>
      </c>
      <c r="C11" s="7">
        <v>79.599999999999994</v>
      </c>
      <c r="E11" s="22">
        <v>79.599999999999994</v>
      </c>
      <c r="F11" s="21">
        <v>79.599999999999994</v>
      </c>
      <c r="G11" s="20">
        <v>0</v>
      </c>
      <c r="H11" s="7">
        <v>3.6</v>
      </c>
      <c r="I11" s="7">
        <v>-1.1000000000000001</v>
      </c>
      <c r="J11" s="7" t="e">
        <v>#N/A</v>
      </c>
      <c r="K11" s="7" t="e">
        <v>#N/A</v>
      </c>
      <c r="L11" s="7" t="e">
        <v>#N/A</v>
      </c>
      <c r="N11" s="7">
        <f t="shared" si="1"/>
        <v>82.1</v>
      </c>
      <c r="O11" s="7">
        <f t="shared" si="2"/>
        <v>79.599999999999994</v>
      </c>
      <c r="Q11" s="9">
        <f t="shared" si="0"/>
        <v>0</v>
      </c>
      <c r="AB11">
        <v>2010</v>
      </c>
      <c r="AC11">
        <v>0</v>
      </c>
      <c r="AD11">
        <v>-1.1000000000000001</v>
      </c>
      <c r="AE11">
        <v>0.7</v>
      </c>
      <c r="AF11">
        <v>0.5</v>
      </c>
      <c r="AG11">
        <v>0.3</v>
      </c>
      <c r="AH11">
        <v>-0.1</v>
      </c>
      <c r="AI11">
        <v>-0.2</v>
      </c>
      <c r="AJ11">
        <v>-0.3</v>
      </c>
      <c r="AK11">
        <v>0.1</v>
      </c>
      <c r="AL11">
        <v>-0.4</v>
      </c>
      <c r="AM11">
        <v>0.1</v>
      </c>
      <c r="AN11">
        <v>0</v>
      </c>
    </row>
    <row r="12" spans="1:40" x14ac:dyDescent="0.25">
      <c r="A12" s="14">
        <v>37530</v>
      </c>
      <c r="B12" s="21">
        <v>89.2</v>
      </c>
      <c r="C12" s="7">
        <v>80.099999999999994</v>
      </c>
      <c r="E12" s="22">
        <v>80.099999999999994</v>
      </c>
      <c r="F12" s="21">
        <v>79.8</v>
      </c>
      <c r="G12" s="20">
        <v>0.4</v>
      </c>
      <c r="H12" s="7">
        <v>7.8</v>
      </c>
      <c r="I12" s="7">
        <v>1.2</v>
      </c>
      <c r="J12" s="7" t="e">
        <v>#N/A</v>
      </c>
      <c r="K12" s="7" t="e">
        <v>#N/A</v>
      </c>
      <c r="L12" s="7" t="e">
        <v>#N/A</v>
      </c>
      <c r="N12" s="7">
        <f t="shared" si="1"/>
        <v>89.2</v>
      </c>
      <c r="O12" s="7">
        <f t="shared" si="2"/>
        <v>80.2</v>
      </c>
      <c r="Q12" s="9">
        <f t="shared" si="0"/>
        <v>0</v>
      </c>
      <c r="AB12">
        <v>2011</v>
      </c>
      <c r="AC12">
        <v>-0.5</v>
      </c>
      <c r="AD12">
        <v>0.3</v>
      </c>
      <c r="AE12">
        <v>0.6</v>
      </c>
      <c r="AF12">
        <v>-2.2000000000000002</v>
      </c>
      <c r="AG12">
        <v>1.2</v>
      </c>
      <c r="AH12">
        <v>-0.7</v>
      </c>
      <c r="AI12">
        <v>0.5</v>
      </c>
      <c r="AJ12">
        <v>0.4</v>
      </c>
      <c r="AK12">
        <v>-0.6</v>
      </c>
      <c r="AL12">
        <v>-0.8</v>
      </c>
      <c r="AM12">
        <v>0.6</v>
      </c>
      <c r="AN12">
        <v>3.5</v>
      </c>
    </row>
    <row r="13" spans="1:40" x14ac:dyDescent="0.25">
      <c r="A13" s="14">
        <v>37561</v>
      </c>
      <c r="B13" s="21">
        <v>83.9</v>
      </c>
      <c r="C13" s="7">
        <v>80.3</v>
      </c>
      <c r="E13" s="22">
        <v>80.3</v>
      </c>
      <c r="F13" s="21">
        <v>79.900000000000006</v>
      </c>
      <c r="G13" s="20">
        <v>0.4</v>
      </c>
      <c r="H13" s="7">
        <v>3.7</v>
      </c>
      <c r="I13" s="7">
        <v>-0.1</v>
      </c>
      <c r="J13" s="7" t="e">
        <v>#N/A</v>
      </c>
      <c r="K13" s="7" t="e">
        <v>#N/A</v>
      </c>
      <c r="L13" s="7" t="e">
        <v>#N/A</v>
      </c>
      <c r="N13" s="7">
        <f t="shared" si="1"/>
        <v>83.90000000000002</v>
      </c>
      <c r="O13" s="7">
        <f t="shared" si="2"/>
        <v>80.300000000000011</v>
      </c>
      <c r="Q13" s="9">
        <f t="shared" si="0"/>
        <v>0</v>
      </c>
      <c r="AB13">
        <v>2012</v>
      </c>
      <c r="AC13">
        <v>-0.7</v>
      </c>
      <c r="AD13">
        <v>0.5</v>
      </c>
      <c r="AE13">
        <v>-0.2</v>
      </c>
      <c r="AF13">
        <v>-0.1</v>
      </c>
      <c r="AG13">
        <v>-0.1</v>
      </c>
      <c r="AH13">
        <v>-0.5</v>
      </c>
      <c r="AI13">
        <v>0.5</v>
      </c>
      <c r="AJ13">
        <v>2</v>
      </c>
      <c r="AK13">
        <v>-0.4</v>
      </c>
      <c r="AL13">
        <v>0.9</v>
      </c>
      <c r="AM13">
        <v>-0.8</v>
      </c>
      <c r="AN13">
        <v>-0.1</v>
      </c>
    </row>
    <row r="14" spans="1:40" x14ac:dyDescent="0.25">
      <c r="A14" s="14">
        <v>37591</v>
      </c>
      <c r="B14" s="21">
        <v>74.599999999999994</v>
      </c>
      <c r="C14" s="7">
        <v>79.599999999999994</v>
      </c>
      <c r="E14" s="22">
        <v>79.599999999999994</v>
      </c>
      <c r="F14" s="21">
        <v>79.900000000000006</v>
      </c>
      <c r="G14" s="20">
        <v>-0.4</v>
      </c>
      <c r="H14" s="7">
        <v>-4.4000000000000004</v>
      </c>
      <c r="I14" s="7">
        <v>-0.6</v>
      </c>
      <c r="J14" s="7" t="e">
        <v>#N/A</v>
      </c>
      <c r="K14" s="7" t="e">
        <v>#N/A</v>
      </c>
      <c r="L14" s="7" t="e">
        <v>#N/A</v>
      </c>
      <c r="N14" s="7">
        <f t="shared" si="1"/>
        <v>74.5</v>
      </c>
      <c r="O14" s="7">
        <f t="shared" si="2"/>
        <v>79.5</v>
      </c>
      <c r="Q14" s="9">
        <f t="shared" si="0"/>
        <v>0</v>
      </c>
      <c r="AB14">
        <v>2013</v>
      </c>
      <c r="AC14">
        <v>0.6</v>
      </c>
      <c r="AD14">
        <v>-2.1</v>
      </c>
      <c r="AE14">
        <v>-0.8</v>
      </c>
      <c r="AF14">
        <v>0.7</v>
      </c>
      <c r="AG14">
        <v>-0.1</v>
      </c>
      <c r="AH14">
        <v>0.4</v>
      </c>
      <c r="AI14">
        <v>-0.6</v>
      </c>
      <c r="AJ14">
        <v>-0.1</v>
      </c>
      <c r="AK14">
        <v>0.6</v>
      </c>
      <c r="AL14">
        <v>-0.3</v>
      </c>
      <c r="AM14">
        <v>0.6</v>
      </c>
      <c r="AN14">
        <v>-2.9</v>
      </c>
    </row>
    <row r="15" spans="1:40" x14ac:dyDescent="0.25">
      <c r="A15" s="14">
        <v>37622</v>
      </c>
      <c r="B15" s="21">
        <v>74</v>
      </c>
      <c r="C15" s="7">
        <v>79.7</v>
      </c>
      <c r="E15" s="22">
        <v>79.7</v>
      </c>
      <c r="F15" s="21">
        <v>79.900000000000006</v>
      </c>
      <c r="G15" s="20">
        <v>-0.1</v>
      </c>
      <c r="H15" s="7">
        <v>-6.4</v>
      </c>
      <c r="I15" s="7">
        <v>0.7</v>
      </c>
      <c r="J15" s="7" t="e">
        <v>#N/A</v>
      </c>
      <c r="K15" s="7" t="e">
        <v>#N/A</v>
      </c>
      <c r="L15" s="7" t="e">
        <v>#N/A</v>
      </c>
      <c r="N15" s="7">
        <f t="shared" si="1"/>
        <v>74.100000000000009</v>
      </c>
      <c r="O15" s="7">
        <f t="shared" si="2"/>
        <v>79.800000000000011</v>
      </c>
      <c r="Q15" s="9">
        <f t="shared" si="0"/>
        <v>0</v>
      </c>
      <c r="AB15">
        <v>2014</v>
      </c>
      <c r="AC15">
        <v>-0.9</v>
      </c>
      <c r="AD15">
        <v>0.3</v>
      </c>
      <c r="AE15">
        <v>0.6</v>
      </c>
      <c r="AF15">
        <v>0.3</v>
      </c>
      <c r="AG15">
        <v>-0.6</v>
      </c>
      <c r="AH15">
        <v>-3</v>
      </c>
      <c r="AI15">
        <v>-0.7</v>
      </c>
      <c r="AJ15">
        <v>0.1</v>
      </c>
      <c r="AK15">
        <v>0.3</v>
      </c>
      <c r="AL15">
        <v>0.8</v>
      </c>
      <c r="AM15">
        <v>0.2</v>
      </c>
      <c r="AN15">
        <v>-2.2000000000000002</v>
      </c>
    </row>
    <row r="16" spans="1:40" x14ac:dyDescent="0.25">
      <c r="A16" s="14">
        <v>37653</v>
      </c>
      <c r="B16" s="21">
        <v>71.8</v>
      </c>
      <c r="C16" s="7">
        <v>79.7</v>
      </c>
      <c r="E16" s="22">
        <v>79.7</v>
      </c>
      <c r="F16" s="21">
        <v>79.7</v>
      </c>
      <c r="G16" s="20">
        <v>0</v>
      </c>
      <c r="H16" s="7">
        <v>-9.5</v>
      </c>
      <c r="I16" s="7">
        <v>1.6</v>
      </c>
      <c r="J16" s="7" t="e">
        <v>#N/A</v>
      </c>
      <c r="K16" s="7" t="e">
        <v>#N/A</v>
      </c>
      <c r="L16" s="7" t="e">
        <v>#N/A</v>
      </c>
      <c r="N16" s="7">
        <f t="shared" si="1"/>
        <v>71.8</v>
      </c>
      <c r="O16" s="7">
        <f t="shared" si="2"/>
        <v>79.7</v>
      </c>
      <c r="Q16" s="9">
        <f t="shared" si="0"/>
        <v>0</v>
      </c>
      <c r="AB16">
        <v>2015</v>
      </c>
      <c r="AC16">
        <v>-0.5</v>
      </c>
      <c r="AD16">
        <v>0</v>
      </c>
      <c r="AE16">
        <v>0.7</v>
      </c>
      <c r="AF16">
        <v>-0.3</v>
      </c>
      <c r="AG16">
        <v>0</v>
      </c>
      <c r="AH16">
        <v>0</v>
      </c>
      <c r="AI16">
        <v>-0.8</v>
      </c>
      <c r="AJ16">
        <v>0.9</v>
      </c>
      <c r="AK16">
        <v>-0.2</v>
      </c>
      <c r="AL16">
        <v>0.6</v>
      </c>
      <c r="AM16">
        <v>-0.2</v>
      </c>
      <c r="AN16">
        <v>-1.1000000000000001</v>
      </c>
    </row>
    <row r="17" spans="1:40" x14ac:dyDescent="0.25">
      <c r="A17" s="14">
        <v>37681</v>
      </c>
      <c r="B17" s="21">
        <v>77.400000000000006</v>
      </c>
      <c r="C17" s="7">
        <v>79.8</v>
      </c>
      <c r="E17" s="22">
        <v>79.8</v>
      </c>
      <c r="F17" s="21">
        <v>79.3</v>
      </c>
      <c r="G17" s="20">
        <v>0.5</v>
      </c>
      <c r="H17" s="7">
        <v>0.4</v>
      </c>
      <c r="I17" s="7">
        <v>-2.8</v>
      </c>
      <c r="J17" s="7" t="e">
        <v>#N/A</v>
      </c>
      <c r="K17" s="7" t="e">
        <v>#N/A</v>
      </c>
      <c r="L17" s="7" t="e">
        <v>#N/A</v>
      </c>
      <c r="N17" s="7">
        <f t="shared" si="1"/>
        <v>77.400000000000006</v>
      </c>
      <c r="O17" s="7">
        <f t="shared" si="2"/>
        <v>79.8</v>
      </c>
      <c r="Q17" s="9">
        <f t="shared" si="0"/>
        <v>0</v>
      </c>
      <c r="AB17">
        <v>2016</v>
      </c>
      <c r="AC17">
        <v>0.6</v>
      </c>
      <c r="AD17">
        <v>-0.5</v>
      </c>
      <c r="AE17">
        <v>0.2</v>
      </c>
      <c r="AF17">
        <v>0</v>
      </c>
      <c r="AG17">
        <v>0.5</v>
      </c>
      <c r="AH17">
        <v>-0.3</v>
      </c>
      <c r="AI17">
        <v>0.9</v>
      </c>
      <c r="AJ17">
        <v>-0.8</v>
      </c>
      <c r="AK17">
        <v>0.3</v>
      </c>
      <c r="AL17">
        <v>-0.9</v>
      </c>
      <c r="AM17">
        <v>-0.6</v>
      </c>
      <c r="AN17">
        <v>0.4</v>
      </c>
    </row>
    <row r="18" spans="1:40" x14ac:dyDescent="0.25">
      <c r="A18" s="14">
        <v>37712</v>
      </c>
      <c r="B18" s="21">
        <v>76.5</v>
      </c>
      <c r="C18" s="7">
        <v>79.400000000000006</v>
      </c>
      <c r="E18" s="22">
        <v>79.400000000000006</v>
      </c>
      <c r="F18" s="21">
        <v>78.8</v>
      </c>
      <c r="G18" s="20">
        <v>0.6</v>
      </c>
      <c r="H18" s="7">
        <v>-2.8</v>
      </c>
      <c r="I18" s="7">
        <v>-0.1</v>
      </c>
      <c r="J18" s="7" t="e">
        <v>#N/A</v>
      </c>
      <c r="K18" s="7" t="e">
        <v>#N/A</v>
      </c>
      <c r="L18" s="7" t="e">
        <v>#N/A</v>
      </c>
      <c r="N18" s="7">
        <f t="shared" si="1"/>
        <v>76.5</v>
      </c>
      <c r="O18" s="7">
        <f t="shared" si="2"/>
        <v>79.399999999999991</v>
      </c>
      <c r="Q18" s="9">
        <f t="shared" si="0"/>
        <v>0</v>
      </c>
      <c r="AB18">
        <v>2017</v>
      </c>
      <c r="AC18">
        <v>0.8</v>
      </c>
      <c r="AD18">
        <v>1.5</v>
      </c>
      <c r="AE18">
        <v>-0.5</v>
      </c>
      <c r="AF18">
        <v>-0.4</v>
      </c>
      <c r="AG18">
        <v>-0.2</v>
      </c>
      <c r="AH18">
        <v>0.3</v>
      </c>
      <c r="AI18">
        <v>0.3</v>
      </c>
      <c r="AJ18">
        <v>-0.3</v>
      </c>
      <c r="AK18">
        <v>-0.3</v>
      </c>
      <c r="AL18">
        <v>0.1</v>
      </c>
      <c r="AM18">
        <v>0.1</v>
      </c>
      <c r="AN18">
        <v>2.7</v>
      </c>
    </row>
    <row r="19" spans="1:40" x14ac:dyDescent="0.25">
      <c r="A19" s="14">
        <v>37742</v>
      </c>
      <c r="B19" s="21">
        <v>79.7</v>
      </c>
      <c r="C19" s="7">
        <v>77.8</v>
      </c>
      <c r="E19" s="22">
        <v>77.8</v>
      </c>
      <c r="F19" s="21">
        <v>78.5</v>
      </c>
      <c r="G19" s="20">
        <v>-0.6</v>
      </c>
      <c r="H19" s="7">
        <v>1.1000000000000001</v>
      </c>
      <c r="I19" s="7">
        <v>0.8</v>
      </c>
      <c r="J19" s="7" t="e">
        <v>#N/A</v>
      </c>
      <c r="K19" s="7" t="e">
        <v>#N/A</v>
      </c>
      <c r="L19" s="7" t="e">
        <v>#N/A</v>
      </c>
      <c r="N19" s="7">
        <f t="shared" si="1"/>
        <v>79.8</v>
      </c>
      <c r="O19" s="7">
        <f t="shared" si="2"/>
        <v>77.900000000000006</v>
      </c>
      <c r="Q19" s="9">
        <f t="shared" si="0"/>
        <v>0</v>
      </c>
      <c r="AB19">
        <v>2018</v>
      </c>
      <c r="AC19">
        <v>0</v>
      </c>
      <c r="AD19">
        <v>-0.7</v>
      </c>
      <c r="AE19">
        <v>0.1</v>
      </c>
      <c r="AF19">
        <v>0.2</v>
      </c>
      <c r="AG19">
        <v>-9.8000000000000007</v>
      </c>
      <c r="AH19">
        <v>0.3</v>
      </c>
      <c r="AI19">
        <v>0.4</v>
      </c>
      <c r="AJ19">
        <v>-0.2</v>
      </c>
      <c r="AK19">
        <v>-2</v>
      </c>
      <c r="AL19">
        <v>-0.4</v>
      </c>
      <c r="AM19">
        <v>-0.1</v>
      </c>
      <c r="AN19">
        <v>0.5</v>
      </c>
    </row>
    <row r="20" spans="1:40" x14ac:dyDescent="0.25">
      <c r="A20" s="14">
        <v>37773</v>
      </c>
      <c r="B20" s="21">
        <v>76.3</v>
      </c>
      <c r="C20" s="7">
        <v>78.2</v>
      </c>
      <c r="E20" s="22">
        <v>78.2</v>
      </c>
      <c r="F20" s="21">
        <v>78.3</v>
      </c>
      <c r="G20" s="20">
        <v>-0.2</v>
      </c>
      <c r="H20" s="7">
        <v>-0.5</v>
      </c>
      <c r="I20" s="7">
        <v>-1.4</v>
      </c>
      <c r="J20" s="7" t="e">
        <v>#N/A</v>
      </c>
      <c r="K20" s="7" t="e">
        <v>#N/A</v>
      </c>
      <c r="L20" s="7" t="e">
        <v>#N/A</v>
      </c>
      <c r="N20" s="7">
        <f t="shared" si="1"/>
        <v>76.199999999999989</v>
      </c>
      <c r="O20" s="7">
        <f t="shared" si="2"/>
        <v>78.099999999999994</v>
      </c>
      <c r="Q20" s="9">
        <f t="shared" si="0"/>
        <v>0</v>
      </c>
      <c r="AB20">
        <v>2019</v>
      </c>
      <c r="AC20">
        <v>-0.5</v>
      </c>
      <c r="AD20">
        <v>0.1</v>
      </c>
      <c r="AE20">
        <v>-0.1</v>
      </c>
      <c r="AF20">
        <v>0.4</v>
      </c>
      <c r="AG20">
        <v>0.4</v>
      </c>
      <c r="AH20">
        <v>-0.3</v>
      </c>
      <c r="AI20">
        <v>-0.8</v>
      </c>
      <c r="AJ20">
        <v>0.4</v>
      </c>
      <c r="AK20">
        <v>0.3</v>
      </c>
      <c r="AL20">
        <v>2.2000000000000002</v>
      </c>
      <c r="AM20">
        <v>0.3</v>
      </c>
      <c r="AN20">
        <v>-0.6</v>
      </c>
    </row>
    <row r="21" spans="1:40" x14ac:dyDescent="0.25">
      <c r="A21" s="14">
        <v>37803</v>
      </c>
      <c r="B21" s="21">
        <v>81.3</v>
      </c>
      <c r="C21" s="7">
        <v>77.400000000000006</v>
      </c>
      <c r="E21" s="22">
        <v>77.400000000000006</v>
      </c>
      <c r="F21" s="21">
        <v>78.599999999999994</v>
      </c>
      <c r="G21" s="20">
        <v>-1.2</v>
      </c>
      <c r="H21" s="7">
        <v>2.7</v>
      </c>
      <c r="I21" s="7">
        <v>1.2</v>
      </c>
      <c r="J21" s="7" t="e">
        <v>#N/A</v>
      </c>
      <c r="K21" s="7" t="e">
        <v>#N/A</v>
      </c>
      <c r="L21" s="7" t="e">
        <v>#N/A</v>
      </c>
      <c r="N21" s="7">
        <f t="shared" si="1"/>
        <v>81.3</v>
      </c>
      <c r="O21" s="7">
        <f t="shared" si="2"/>
        <v>77.399999999999991</v>
      </c>
      <c r="Q21" s="9">
        <f t="shared" si="0"/>
        <v>0</v>
      </c>
      <c r="AB21">
        <v>2020</v>
      </c>
      <c r="AC21">
        <v>-0.3</v>
      </c>
      <c r="AD21">
        <v>0.4</v>
      </c>
      <c r="AE21">
        <v>-7</v>
      </c>
      <c r="AF21">
        <v>-23.5</v>
      </c>
      <c r="AG21" t="e">
        <v>#N/A</v>
      </c>
      <c r="AH21" t="e">
        <v>#N/A</v>
      </c>
      <c r="AI21" t="e">
        <v>#N/A</v>
      </c>
      <c r="AJ21" t="e">
        <v>#N/A</v>
      </c>
      <c r="AK21" t="e">
        <v>#N/A</v>
      </c>
      <c r="AL21" t="e">
        <v>#N/A</v>
      </c>
      <c r="AM21" t="e">
        <v>#N/A</v>
      </c>
      <c r="AN21" t="e">
        <v>#N/A</v>
      </c>
    </row>
    <row r="22" spans="1:40" x14ac:dyDescent="0.25">
      <c r="A22" s="14">
        <v>37834</v>
      </c>
      <c r="B22" s="21">
        <v>81.599999999999994</v>
      </c>
      <c r="C22" s="7">
        <v>78.5</v>
      </c>
      <c r="E22" s="22">
        <v>78.5</v>
      </c>
      <c r="F22" s="21">
        <v>79.2</v>
      </c>
      <c r="G22" s="20">
        <v>-0.7</v>
      </c>
      <c r="H22" s="7">
        <v>4.7</v>
      </c>
      <c r="I22" s="7">
        <v>-1.6</v>
      </c>
      <c r="J22" s="7" t="e">
        <v>#N/A</v>
      </c>
      <c r="K22" s="7" t="e">
        <v>#N/A</v>
      </c>
      <c r="L22" s="7" t="e">
        <v>#N/A</v>
      </c>
      <c r="N22" s="7">
        <f t="shared" si="1"/>
        <v>81.600000000000009</v>
      </c>
      <c r="O22" s="7">
        <f t="shared" si="2"/>
        <v>78.5</v>
      </c>
      <c r="Q22" s="9">
        <f t="shared" si="0"/>
        <v>0</v>
      </c>
    </row>
    <row r="23" spans="1:40" x14ac:dyDescent="0.25">
      <c r="A23" s="14">
        <v>37865</v>
      </c>
      <c r="B23" s="21">
        <v>85.7</v>
      </c>
      <c r="C23" s="7">
        <v>81.3</v>
      </c>
      <c r="E23" s="22">
        <v>81.3</v>
      </c>
      <c r="F23" s="21">
        <v>80.099999999999994</v>
      </c>
      <c r="G23" s="20">
        <v>1.2</v>
      </c>
      <c r="H23" s="7">
        <v>3.5</v>
      </c>
      <c r="I23" s="7">
        <v>0.9</v>
      </c>
      <c r="J23" s="7" t="e">
        <v>#N/A</v>
      </c>
      <c r="K23" s="7" t="e">
        <v>#N/A</v>
      </c>
      <c r="L23" s="7" t="e">
        <v>#N/A</v>
      </c>
      <c r="N23" s="7">
        <f t="shared" si="1"/>
        <v>85.7</v>
      </c>
      <c r="O23" s="7">
        <f t="shared" si="2"/>
        <v>81.3</v>
      </c>
      <c r="Q23" s="9">
        <f t="shared" si="0"/>
        <v>0</v>
      </c>
    </row>
    <row r="24" spans="1:40" x14ac:dyDescent="0.25">
      <c r="A24" s="14">
        <v>37895</v>
      </c>
      <c r="B24" s="21">
        <v>90</v>
      </c>
      <c r="C24" s="7">
        <v>81.599999999999994</v>
      </c>
      <c r="E24" s="22">
        <v>81.599999999999994</v>
      </c>
      <c r="F24" s="21">
        <v>81</v>
      </c>
      <c r="G24" s="20">
        <v>0.6</v>
      </c>
      <c r="H24" s="7">
        <v>7.7</v>
      </c>
      <c r="I24" s="7">
        <v>0.7</v>
      </c>
      <c r="J24" s="7" t="e">
        <v>#N/A</v>
      </c>
      <c r="K24" s="7" t="e">
        <v>#N/A</v>
      </c>
      <c r="L24" s="7" t="e">
        <v>#N/A</v>
      </c>
      <c r="N24" s="7">
        <f t="shared" si="1"/>
        <v>90</v>
      </c>
      <c r="O24" s="7">
        <f t="shared" si="2"/>
        <v>81.599999999999994</v>
      </c>
      <c r="Q24" s="9">
        <f t="shared" si="0"/>
        <v>0</v>
      </c>
    </row>
    <row r="25" spans="1:40" x14ac:dyDescent="0.25">
      <c r="A25" s="14">
        <v>37926</v>
      </c>
      <c r="B25" s="21">
        <v>84.6</v>
      </c>
      <c r="C25" s="7">
        <v>82.6</v>
      </c>
      <c r="E25" s="22">
        <v>82.6</v>
      </c>
      <c r="F25" s="21">
        <v>81.8</v>
      </c>
      <c r="G25" s="20">
        <v>0.8</v>
      </c>
      <c r="H25" s="7">
        <v>3.6</v>
      </c>
      <c r="I25" s="7">
        <v>-1.6</v>
      </c>
      <c r="J25" s="7" t="e">
        <v>#N/A</v>
      </c>
      <c r="K25" s="7" t="e">
        <v>#N/A</v>
      </c>
      <c r="L25" s="7" t="e">
        <v>#N/A</v>
      </c>
      <c r="N25" s="7">
        <f t="shared" si="1"/>
        <v>84.6</v>
      </c>
      <c r="O25" s="7">
        <f t="shared" si="2"/>
        <v>82.6</v>
      </c>
      <c r="Q25" s="9">
        <f t="shared" si="0"/>
        <v>0</v>
      </c>
    </row>
    <row r="26" spans="1:40" x14ac:dyDescent="0.25">
      <c r="A26" s="14">
        <v>37956</v>
      </c>
      <c r="B26" s="21">
        <v>77.900000000000006</v>
      </c>
      <c r="C26" s="7">
        <v>81.2</v>
      </c>
      <c r="E26" s="22">
        <v>81.2</v>
      </c>
      <c r="F26" s="21">
        <v>82.5</v>
      </c>
      <c r="G26" s="20">
        <v>-1.3</v>
      </c>
      <c r="H26" s="7">
        <v>-4.3</v>
      </c>
      <c r="I26" s="7">
        <v>1</v>
      </c>
      <c r="J26" s="7" t="e">
        <v>#N/A</v>
      </c>
      <c r="K26" s="7" t="e">
        <v>#N/A</v>
      </c>
      <c r="L26" s="7" t="e">
        <v>#N/A</v>
      </c>
      <c r="N26" s="7">
        <f t="shared" si="1"/>
        <v>77.900000000000006</v>
      </c>
      <c r="O26" s="7">
        <f t="shared" si="2"/>
        <v>81.2</v>
      </c>
      <c r="Q26" s="9">
        <f t="shared" si="0"/>
        <v>0</v>
      </c>
    </row>
    <row r="27" spans="1:40" x14ac:dyDescent="0.25">
      <c r="A27" s="14">
        <v>37987</v>
      </c>
      <c r="B27" s="21">
        <v>76.8</v>
      </c>
      <c r="C27" s="7">
        <v>82.7</v>
      </c>
      <c r="E27" s="22">
        <v>82.7</v>
      </c>
      <c r="F27" s="21">
        <v>83.1</v>
      </c>
      <c r="G27" s="20">
        <v>-0.5</v>
      </c>
      <c r="H27" s="7">
        <v>-6.4</v>
      </c>
      <c r="I27" s="7">
        <v>0.5</v>
      </c>
      <c r="J27" s="7" t="e">
        <v>#N/A</v>
      </c>
      <c r="K27" s="7" t="e">
        <v>#N/A</v>
      </c>
      <c r="L27" s="7" t="e">
        <v>#N/A</v>
      </c>
      <c r="N27" s="7">
        <f t="shared" si="1"/>
        <v>76.699999999999989</v>
      </c>
      <c r="O27" s="7">
        <f t="shared" si="2"/>
        <v>82.6</v>
      </c>
      <c r="Q27" s="9">
        <f t="shared" si="0"/>
        <v>0</v>
      </c>
    </row>
    <row r="28" spans="1:40" x14ac:dyDescent="0.25">
      <c r="A28" s="14">
        <v>38018</v>
      </c>
      <c r="B28" s="21">
        <v>74</v>
      </c>
      <c r="C28" s="7">
        <v>84</v>
      </c>
      <c r="E28" s="22">
        <v>84</v>
      </c>
      <c r="F28" s="21">
        <v>83.8</v>
      </c>
      <c r="G28" s="20">
        <v>0.3</v>
      </c>
      <c r="H28" s="7">
        <v>-9.6999999999999993</v>
      </c>
      <c r="I28" s="7">
        <v>-0.3</v>
      </c>
      <c r="J28" s="7" t="e">
        <v>#N/A</v>
      </c>
      <c r="K28" s="7" t="e">
        <v>#N/A</v>
      </c>
      <c r="L28" s="7" t="e">
        <v>#N/A</v>
      </c>
      <c r="N28" s="7">
        <f t="shared" si="1"/>
        <v>74.099999999999994</v>
      </c>
      <c r="O28" s="7">
        <f t="shared" si="2"/>
        <v>84.1</v>
      </c>
      <c r="Q28" s="9">
        <f t="shared" si="0"/>
        <v>0</v>
      </c>
    </row>
    <row r="29" spans="1:40" x14ac:dyDescent="0.25">
      <c r="A29" s="14">
        <v>38047</v>
      </c>
      <c r="B29" s="21">
        <v>86.9</v>
      </c>
      <c r="C29" s="7">
        <v>84.5</v>
      </c>
      <c r="E29" s="22">
        <v>84.5</v>
      </c>
      <c r="F29" s="21">
        <v>84.4</v>
      </c>
      <c r="G29" s="20">
        <v>0.1</v>
      </c>
      <c r="H29" s="7">
        <v>0.2</v>
      </c>
      <c r="I29" s="7">
        <v>2.1</v>
      </c>
      <c r="J29" s="7" t="e">
        <v>#N/A</v>
      </c>
      <c r="K29" s="7" t="e">
        <v>#N/A</v>
      </c>
      <c r="L29" s="7" t="e">
        <v>#N/A</v>
      </c>
      <c r="N29" s="7">
        <f t="shared" si="1"/>
        <v>86.8</v>
      </c>
      <c r="O29" s="7">
        <f t="shared" si="2"/>
        <v>84.5</v>
      </c>
      <c r="Q29" s="9">
        <f t="shared" si="0"/>
        <v>0</v>
      </c>
    </row>
    <row r="30" spans="1:40" x14ac:dyDescent="0.25">
      <c r="A30" s="14">
        <v>38078</v>
      </c>
      <c r="B30" s="21">
        <v>82.2</v>
      </c>
      <c r="C30" s="7">
        <v>85.1</v>
      </c>
      <c r="E30" s="22">
        <v>85.1</v>
      </c>
      <c r="F30" s="21">
        <v>85.1</v>
      </c>
      <c r="G30" s="20">
        <v>0</v>
      </c>
      <c r="H30" s="7">
        <v>-2.9</v>
      </c>
      <c r="I30" s="7">
        <v>0</v>
      </c>
      <c r="J30" s="7" t="e">
        <v>#N/A</v>
      </c>
      <c r="K30" s="7" t="e">
        <v>#N/A</v>
      </c>
      <c r="L30" s="7" t="e">
        <v>#N/A</v>
      </c>
      <c r="N30" s="7">
        <f t="shared" si="1"/>
        <v>82.199999999999989</v>
      </c>
      <c r="O30" s="7">
        <f t="shared" si="2"/>
        <v>85.1</v>
      </c>
      <c r="Q30" s="9">
        <f t="shared" si="0"/>
        <v>0</v>
      </c>
    </row>
    <row r="31" spans="1:40" x14ac:dyDescent="0.25">
      <c r="A31" s="14">
        <v>38108</v>
      </c>
      <c r="B31" s="21">
        <v>86.3</v>
      </c>
      <c r="C31" s="7">
        <v>85.9</v>
      </c>
      <c r="E31" s="22">
        <v>85.9</v>
      </c>
      <c r="F31" s="21">
        <v>85.8</v>
      </c>
      <c r="G31" s="20">
        <v>0.1</v>
      </c>
      <c r="H31" s="7">
        <v>1.4</v>
      </c>
      <c r="I31" s="7">
        <v>-1</v>
      </c>
      <c r="J31" s="7" t="e">
        <v>#N/A</v>
      </c>
      <c r="K31" s="7" t="e">
        <v>#N/A</v>
      </c>
      <c r="L31" s="7" t="e">
        <v>#N/A</v>
      </c>
      <c r="N31" s="7">
        <f t="shared" si="1"/>
        <v>86.3</v>
      </c>
      <c r="O31" s="7">
        <f t="shared" si="2"/>
        <v>85.899999999999991</v>
      </c>
      <c r="Q31" s="9">
        <f t="shared" si="0"/>
        <v>0</v>
      </c>
    </row>
    <row r="32" spans="1:40" x14ac:dyDescent="0.25">
      <c r="A32" s="14">
        <v>38139</v>
      </c>
      <c r="B32" s="21">
        <v>86.1</v>
      </c>
      <c r="C32" s="7">
        <v>86.1</v>
      </c>
      <c r="E32" s="22">
        <v>86.1</v>
      </c>
      <c r="F32" s="21">
        <v>86.4</v>
      </c>
      <c r="G32" s="20">
        <v>-0.3</v>
      </c>
      <c r="H32" s="7">
        <v>-0.3</v>
      </c>
      <c r="I32" s="7">
        <v>0.3</v>
      </c>
      <c r="J32" s="7" t="e">
        <v>#N/A</v>
      </c>
      <c r="K32" s="7" t="e">
        <v>#N/A</v>
      </c>
      <c r="L32" s="7" t="e">
        <v>#N/A</v>
      </c>
      <c r="N32" s="7">
        <f t="shared" si="1"/>
        <v>86.100000000000009</v>
      </c>
      <c r="O32" s="7">
        <f t="shared" si="2"/>
        <v>86.100000000000009</v>
      </c>
      <c r="Q32" s="9">
        <f t="shared" si="0"/>
        <v>0</v>
      </c>
    </row>
    <row r="33" spans="1:17" x14ac:dyDescent="0.25">
      <c r="A33" s="14">
        <v>38169</v>
      </c>
      <c r="B33" s="21">
        <v>90.1</v>
      </c>
      <c r="C33" s="7">
        <v>86.7</v>
      </c>
      <c r="E33" s="22">
        <v>86.7</v>
      </c>
      <c r="F33" s="21">
        <v>86.9</v>
      </c>
      <c r="G33" s="20">
        <v>-0.2</v>
      </c>
      <c r="H33" s="7">
        <v>2.9</v>
      </c>
      <c r="I33" s="7">
        <v>0.5</v>
      </c>
      <c r="J33" s="7" t="e">
        <v>#N/A</v>
      </c>
      <c r="K33" s="7" t="e">
        <v>#N/A</v>
      </c>
      <c r="L33" s="7" t="e">
        <v>#N/A</v>
      </c>
      <c r="N33" s="7">
        <f t="shared" si="1"/>
        <v>90.100000000000009</v>
      </c>
      <c r="O33" s="7">
        <f t="shared" si="2"/>
        <v>86.7</v>
      </c>
      <c r="Q33" s="9">
        <f t="shared" si="0"/>
        <v>0</v>
      </c>
    </row>
    <row r="34" spans="1:17" x14ac:dyDescent="0.25">
      <c r="A34" s="14">
        <v>38200</v>
      </c>
      <c r="B34" s="21">
        <v>92.1</v>
      </c>
      <c r="C34" s="7">
        <v>87.6</v>
      </c>
      <c r="E34" s="22">
        <v>87.6</v>
      </c>
      <c r="F34" s="21">
        <v>87.3</v>
      </c>
      <c r="G34" s="20">
        <v>0.3</v>
      </c>
      <c r="H34" s="7">
        <v>5</v>
      </c>
      <c r="I34" s="7">
        <v>-0.6</v>
      </c>
      <c r="J34" s="7" t="e">
        <v>#N/A</v>
      </c>
      <c r="K34" s="7" t="e">
        <v>#N/A</v>
      </c>
      <c r="L34" s="7" t="e">
        <v>#N/A</v>
      </c>
      <c r="N34" s="7">
        <f t="shared" si="1"/>
        <v>92</v>
      </c>
      <c r="O34" s="7">
        <f t="shared" si="2"/>
        <v>87.6</v>
      </c>
      <c r="Q34" s="9">
        <f t="shared" si="0"/>
        <v>0</v>
      </c>
    </row>
    <row r="35" spans="1:17" x14ac:dyDescent="0.25">
      <c r="A35" s="14">
        <v>38231</v>
      </c>
      <c r="B35" s="21">
        <v>92.1</v>
      </c>
      <c r="C35" s="7">
        <v>88.2</v>
      </c>
      <c r="E35" s="22">
        <v>88.2</v>
      </c>
      <c r="F35" s="21">
        <v>87.7</v>
      </c>
      <c r="G35" s="20">
        <v>0.5</v>
      </c>
      <c r="H35" s="7">
        <v>3.2</v>
      </c>
      <c r="I35" s="7">
        <v>0.7</v>
      </c>
      <c r="J35" s="7" t="e">
        <v>#N/A</v>
      </c>
      <c r="K35" s="7" t="e">
        <v>#N/A</v>
      </c>
      <c r="L35" s="7" t="e">
        <v>#N/A</v>
      </c>
      <c r="N35" s="7">
        <f t="shared" si="1"/>
        <v>92.100000000000009</v>
      </c>
      <c r="O35" s="7">
        <f t="shared" si="2"/>
        <v>88.2</v>
      </c>
      <c r="Q35" s="9">
        <f t="shared" si="0"/>
        <v>0</v>
      </c>
    </row>
    <row r="36" spans="1:17" x14ac:dyDescent="0.25">
      <c r="A36" s="14">
        <v>38261</v>
      </c>
      <c r="B36" s="21">
        <v>93.5</v>
      </c>
      <c r="C36" s="7">
        <v>87.5</v>
      </c>
      <c r="E36" s="22">
        <v>87.5</v>
      </c>
      <c r="F36" s="21">
        <v>87.9</v>
      </c>
      <c r="G36" s="20">
        <v>-0.3</v>
      </c>
      <c r="H36" s="7">
        <v>7.6</v>
      </c>
      <c r="I36" s="7">
        <v>-1.6</v>
      </c>
      <c r="J36" s="7" t="e">
        <v>#N/A</v>
      </c>
      <c r="K36" s="7" t="e">
        <v>#N/A</v>
      </c>
      <c r="L36" s="7" t="e">
        <v>#N/A</v>
      </c>
      <c r="N36" s="7">
        <f t="shared" si="1"/>
        <v>93.600000000000009</v>
      </c>
      <c r="O36" s="7">
        <f t="shared" si="2"/>
        <v>87.600000000000009</v>
      </c>
      <c r="Q36" s="9">
        <f t="shared" si="0"/>
        <v>0</v>
      </c>
    </row>
    <row r="37" spans="1:17" x14ac:dyDescent="0.25">
      <c r="A37" s="14">
        <v>38292</v>
      </c>
      <c r="B37" s="21">
        <v>91.8</v>
      </c>
      <c r="C37" s="7">
        <v>87.5</v>
      </c>
      <c r="E37" s="22">
        <v>87.5</v>
      </c>
      <c r="F37" s="21">
        <v>88</v>
      </c>
      <c r="G37" s="20">
        <v>-0.5</v>
      </c>
      <c r="H37" s="7">
        <v>3.4</v>
      </c>
      <c r="I37" s="7">
        <v>0.9</v>
      </c>
      <c r="J37" s="7" t="e">
        <v>#N/A</v>
      </c>
      <c r="K37" s="7" t="e">
        <v>#N/A</v>
      </c>
      <c r="L37" s="7" t="e">
        <v>#N/A</v>
      </c>
      <c r="N37" s="7">
        <f t="shared" si="1"/>
        <v>91.800000000000011</v>
      </c>
      <c r="O37" s="7">
        <f t="shared" si="2"/>
        <v>87.5</v>
      </c>
      <c r="Q37" s="9">
        <f t="shared" si="0"/>
        <v>0</v>
      </c>
    </row>
    <row r="38" spans="1:17" x14ac:dyDescent="0.25">
      <c r="A38" s="14">
        <v>38322</v>
      </c>
      <c r="B38" s="21">
        <v>84.7</v>
      </c>
      <c r="C38" s="7">
        <v>88.3</v>
      </c>
      <c r="E38" s="22">
        <v>88.3</v>
      </c>
      <c r="F38" s="21">
        <v>88</v>
      </c>
      <c r="G38" s="20">
        <v>0.3</v>
      </c>
      <c r="H38" s="7">
        <v>-4.3</v>
      </c>
      <c r="I38" s="7">
        <v>0.7</v>
      </c>
      <c r="J38" s="7" t="e">
        <v>#N/A</v>
      </c>
      <c r="K38" s="7" t="e">
        <v>#N/A</v>
      </c>
      <c r="L38" s="7" t="e">
        <v>#N/A</v>
      </c>
      <c r="N38" s="7">
        <f t="shared" si="1"/>
        <v>84.7</v>
      </c>
      <c r="O38" s="7">
        <f t="shared" si="2"/>
        <v>88.3</v>
      </c>
      <c r="Q38" s="9">
        <f t="shared" si="0"/>
        <v>0</v>
      </c>
    </row>
    <row r="39" spans="1:17" x14ac:dyDescent="0.25">
      <c r="A39" s="14">
        <v>38353</v>
      </c>
      <c r="B39" s="21">
        <v>81</v>
      </c>
      <c r="C39" s="7">
        <v>88.7</v>
      </c>
      <c r="E39" s="22">
        <v>88.7</v>
      </c>
      <c r="F39" s="21">
        <v>88</v>
      </c>
      <c r="G39" s="20">
        <v>0.7</v>
      </c>
      <c r="H39" s="7">
        <v>-6.4</v>
      </c>
      <c r="I39" s="7">
        <v>-1.3</v>
      </c>
      <c r="J39" s="7" t="e">
        <v>#N/A</v>
      </c>
      <c r="K39" s="7" t="e">
        <v>#N/A</v>
      </c>
      <c r="L39" s="7" t="e">
        <v>#N/A</v>
      </c>
      <c r="N39" s="7">
        <f t="shared" si="1"/>
        <v>81</v>
      </c>
      <c r="O39" s="7">
        <f t="shared" si="2"/>
        <v>88.7</v>
      </c>
      <c r="Q39" s="9">
        <f t="shared" si="0"/>
        <v>0</v>
      </c>
    </row>
    <row r="40" spans="1:17" x14ac:dyDescent="0.25">
      <c r="A40" s="14">
        <v>38384</v>
      </c>
      <c r="B40" s="21">
        <v>76.400000000000006</v>
      </c>
      <c r="C40" s="7">
        <v>87.4</v>
      </c>
      <c r="E40" s="22">
        <v>87.4</v>
      </c>
      <c r="F40" s="21">
        <v>88.1</v>
      </c>
      <c r="G40" s="20">
        <v>-0.7</v>
      </c>
      <c r="H40" s="7">
        <v>-9.9</v>
      </c>
      <c r="I40" s="7">
        <v>-1.1000000000000001</v>
      </c>
      <c r="J40" s="7" t="e">
        <v>#N/A</v>
      </c>
      <c r="K40" s="7" t="e">
        <v>#N/A</v>
      </c>
      <c r="L40" s="7" t="e">
        <v>#N/A</v>
      </c>
      <c r="N40" s="7">
        <f t="shared" si="1"/>
        <v>76.399999999999991</v>
      </c>
      <c r="O40" s="7">
        <f t="shared" si="2"/>
        <v>87.399999999999991</v>
      </c>
      <c r="Q40" s="9">
        <f t="shared" si="0"/>
        <v>0</v>
      </c>
    </row>
    <row r="41" spans="1:17" x14ac:dyDescent="0.25">
      <c r="A41" s="14">
        <v>38412</v>
      </c>
      <c r="B41" s="21">
        <v>88</v>
      </c>
      <c r="C41" s="7">
        <v>88.2</v>
      </c>
      <c r="E41" s="22">
        <v>88.2</v>
      </c>
      <c r="F41" s="21">
        <v>88.3</v>
      </c>
      <c r="G41" s="20">
        <v>-0.1</v>
      </c>
      <c r="H41" s="7">
        <v>0</v>
      </c>
      <c r="I41" s="7">
        <v>-0.2</v>
      </c>
      <c r="J41" s="7" t="e">
        <v>#N/A</v>
      </c>
      <c r="K41" s="7" t="e">
        <v>#N/A</v>
      </c>
      <c r="L41" s="7" t="e">
        <v>#N/A</v>
      </c>
      <c r="N41" s="7">
        <f t="shared" si="1"/>
        <v>88</v>
      </c>
      <c r="O41" s="7">
        <f t="shared" si="2"/>
        <v>88.2</v>
      </c>
      <c r="Q41" s="9">
        <f t="shared" si="0"/>
        <v>0</v>
      </c>
    </row>
    <row r="42" spans="1:17" x14ac:dyDescent="0.25">
      <c r="A42" s="14">
        <v>38443</v>
      </c>
      <c r="B42" s="21">
        <v>87</v>
      </c>
      <c r="C42" s="7">
        <v>88.3</v>
      </c>
      <c r="E42" s="22">
        <v>88.3</v>
      </c>
      <c r="F42" s="21">
        <v>88.5</v>
      </c>
      <c r="G42" s="20">
        <v>-0.2</v>
      </c>
      <c r="H42" s="7">
        <v>-3.1</v>
      </c>
      <c r="I42" s="7">
        <v>1.8</v>
      </c>
      <c r="J42" s="7" t="e">
        <v>#N/A</v>
      </c>
      <c r="K42" s="7" t="e">
        <v>#N/A</v>
      </c>
      <c r="L42" s="7" t="e">
        <v>#N/A</v>
      </c>
      <c r="N42" s="7">
        <f t="shared" si="1"/>
        <v>87</v>
      </c>
      <c r="O42" s="7">
        <f t="shared" si="2"/>
        <v>88.3</v>
      </c>
      <c r="Q42" s="9">
        <f t="shared" si="0"/>
        <v>0</v>
      </c>
    </row>
    <row r="43" spans="1:17" x14ac:dyDescent="0.25">
      <c r="A43" s="14">
        <v>38473</v>
      </c>
      <c r="B43" s="21">
        <v>91.1</v>
      </c>
      <c r="C43" s="7">
        <v>91.3</v>
      </c>
      <c r="E43" s="22">
        <v>91.3</v>
      </c>
      <c r="F43" s="21">
        <v>88.8</v>
      </c>
      <c r="G43" s="20">
        <v>2.6</v>
      </c>
      <c r="H43" s="7">
        <v>1.7</v>
      </c>
      <c r="I43" s="7">
        <v>-1.9</v>
      </c>
      <c r="J43" s="7" t="e">
        <v>#N/A</v>
      </c>
      <c r="K43" s="7" t="e">
        <v>#N/A</v>
      </c>
      <c r="L43" s="7" t="e">
        <v>#N/A</v>
      </c>
      <c r="N43" s="7">
        <f t="shared" si="1"/>
        <v>91.199999999999989</v>
      </c>
      <c r="O43" s="7">
        <f t="shared" si="2"/>
        <v>91.399999999999991</v>
      </c>
      <c r="Q43" s="9">
        <f t="shared" si="0"/>
        <v>0</v>
      </c>
    </row>
    <row r="44" spans="1:17" x14ac:dyDescent="0.25">
      <c r="A44" s="14">
        <v>38504</v>
      </c>
      <c r="B44" s="21">
        <v>91.4</v>
      </c>
      <c r="C44" s="7">
        <v>89.5</v>
      </c>
      <c r="E44" s="22">
        <v>89.5</v>
      </c>
      <c r="F44" s="21">
        <v>88.9</v>
      </c>
      <c r="G44" s="20">
        <v>0.6</v>
      </c>
      <c r="H44" s="7">
        <v>-0.1</v>
      </c>
      <c r="I44" s="7">
        <v>2</v>
      </c>
      <c r="J44" s="7" t="e">
        <v>#N/A</v>
      </c>
      <c r="K44" s="7" t="e">
        <v>#N/A</v>
      </c>
      <c r="L44" s="7" t="e">
        <v>#N/A</v>
      </c>
      <c r="N44" s="7">
        <f t="shared" si="1"/>
        <v>91.4</v>
      </c>
      <c r="O44" s="7">
        <f t="shared" si="2"/>
        <v>89.5</v>
      </c>
      <c r="Q44" s="9">
        <f t="shared" si="0"/>
        <v>0</v>
      </c>
    </row>
    <row r="45" spans="1:17" x14ac:dyDescent="0.25">
      <c r="A45" s="14">
        <v>38534</v>
      </c>
      <c r="B45" s="21">
        <v>90.5</v>
      </c>
      <c r="C45" s="7">
        <v>88.9</v>
      </c>
      <c r="E45" s="22">
        <v>88.9</v>
      </c>
      <c r="F45" s="21">
        <v>88.9</v>
      </c>
      <c r="G45" s="20">
        <v>0</v>
      </c>
      <c r="H45" s="7">
        <v>3.2</v>
      </c>
      <c r="I45" s="7">
        <v>-1.6</v>
      </c>
      <c r="J45" s="7" t="e">
        <v>#N/A</v>
      </c>
      <c r="K45" s="7" t="e">
        <v>#N/A</v>
      </c>
      <c r="L45" s="7" t="e">
        <v>#N/A</v>
      </c>
      <c r="N45" s="7">
        <f t="shared" si="1"/>
        <v>90.500000000000014</v>
      </c>
      <c r="O45" s="7">
        <f t="shared" si="2"/>
        <v>88.9</v>
      </c>
      <c r="Q45" s="9">
        <f t="shared" si="0"/>
        <v>0</v>
      </c>
    </row>
    <row r="46" spans="1:17" x14ac:dyDescent="0.25">
      <c r="A46" s="14">
        <v>38565</v>
      </c>
      <c r="B46" s="21">
        <v>95.6</v>
      </c>
      <c r="C46" s="7">
        <v>89.1</v>
      </c>
      <c r="E46" s="22">
        <v>89.1</v>
      </c>
      <c r="F46" s="21">
        <v>88.8</v>
      </c>
      <c r="G46" s="20">
        <v>0.3</v>
      </c>
      <c r="H46" s="7">
        <v>5.5</v>
      </c>
      <c r="I46" s="7">
        <v>1</v>
      </c>
      <c r="J46" s="7" t="e">
        <v>#N/A</v>
      </c>
      <c r="K46" s="7" t="e">
        <v>#N/A</v>
      </c>
      <c r="L46" s="7" t="e">
        <v>#N/A</v>
      </c>
      <c r="N46" s="7">
        <f t="shared" si="1"/>
        <v>95.6</v>
      </c>
      <c r="O46" s="7">
        <f t="shared" si="2"/>
        <v>89.1</v>
      </c>
      <c r="Q46" s="9">
        <f t="shared" si="0"/>
        <v>0</v>
      </c>
    </row>
    <row r="47" spans="1:17" x14ac:dyDescent="0.25">
      <c r="A47" s="14">
        <v>38596</v>
      </c>
      <c r="B47" s="21">
        <v>92</v>
      </c>
      <c r="C47" s="7">
        <v>88.3</v>
      </c>
      <c r="E47" s="22">
        <v>88.3</v>
      </c>
      <c r="F47" s="21">
        <v>88.8</v>
      </c>
      <c r="G47" s="20">
        <v>-0.5</v>
      </c>
      <c r="H47" s="7">
        <v>3.1</v>
      </c>
      <c r="I47" s="7">
        <v>0.7</v>
      </c>
      <c r="J47" s="7" t="e">
        <v>#N/A</v>
      </c>
      <c r="K47" s="7" t="e">
        <v>#N/A</v>
      </c>
      <c r="L47" s="7" t="e">
        <v>#N/A</v>
      </c>
      <c r="N47" s="7">
        <f t="shared" si="1"/>
        <v>92.1</v>
      </c>
      <c r="O47" s="7">
        <f t="shared" si="2"/>
        <v>88.3</v>
      </c>
      <c r="Q47" s="9">
        <f t="shared" si="0"/>
        <v>0</v>
      </c>
    </row>
    <row r="48" spans="1:17" x14ac:dyDescent="0.25">
      <c r="A48" s="14">
        <v>38626</v>
      </c>
      <c r="B48" s="21">
        <v>93.7</v>
      </c>
      <c r="C48" s="7">
        <v>87.6</v>
      </c>
      <c r="E48" s="22">
        <v>87.6</v>
      </c>
      <c r="F48" s="21">
        <v>88.9</v>
      </c>
      <c r="G48" s="20">
        <v>-1.4</v>
      </c>
      <c r="H48" s="7">
        <v>7.4</v>
      </c>
      <c r="I48" s="7">
        <v>-1.3</v>
      </c>
      <c r="J48" s="7" t="e">
        <v>#N/A</v>
      </c>
      <c r="K48" s="7" t="e">
        <v>#N/A</v>
      </c>
      <c r="L48" s="7" t="e">
        <v>#N/A</v>
      </c>
      <c r="N48" s="7">
        <f t="shared" si="1"/>
        <v>93.600000000000009</v>
      </c>
      <c r="O48" s="7">
        <f t="shared" si="2"/>
        <v>87.5</v>
      </c>
      <c r="Q48" s="9">
        <f t="shared" si="0"/>
        <v>0</v>
      </c>
    </row>
    <row r="49" spans="1:17" x14ac:dyDescent="0.25">
      <c r="A49" s="14">
        <v>38657</v>
      </c>
      <c r="B49" s="21">
        <v>92.4</v>
      </c>
      <c r="C49" s="7">
        <v>88.6</v>
      </c>
      <c r="E49" s="22">
        <v>88.6</v>
      </c>
      <c r="F49" s="21">
        <v>89.3</v>
      </c>
      <c r="G49" s="20">
        <v>-0.7</v>
      </c>
      <c r="H49" s="7">
        <v>3.2</v>
      </c>
      <c r="I49" s="7">
        <v>0.6</v>
      </c>
      <c r="J49" s="7" t="e">
        <v>#N/A</v>
      </c>
      <c r="K49" s="7" t="e">
        <v>#N/A</v>
      </c>
      <c r="L49" s="7" t="e">
        <v>#N/A</v>
      </c>
      <c r="N49" s="7">
        <f t="shared" si="1"/>
        <v>92.399999999999991</v>
      </c>
      <c r="O49" s="7">
        <f t="shared" si="2"/>
        <v>88.6</v>
      </c>
      <c r="Q49" s="9">
        <f t="shared" si="0"/>
        <v>0</v>
      </c>
    </row>
    <row r="50" spans="1:17" x14ac:dyDescent="0.25">
      <c r="A50" s="14">
        <v>38687</v>
      </c>
      <c r="B50" s="21">
        <v>86.6</v>
      </c>
      <c r="C50" s="7">
        <v>90.5</v>
      </c>
      <c r="E50" s="22">
        <v>90.5</v>
      </c>
      <c r="F50" s="21">
        <v>89.9</v>
      </c>
      <c r="G50" s="20">
        <v>0.6</v>
      </c>
      <c r="H50" s="7">
        <v>-4.4000000000000004</v>
      </c>
      <c r="I50" s="7">
        <v>0.5</v>
      </c>
      <c r="J50" s="7" t="e">
        <v>#N/A</v>
      </c>
      <c r="K50" s="7" t="e">
        <v>#N/A</v>
      </c>
      <c r="L50" s="7" t="e">
        <v>#N/A</v>
      </c>
      <c r="N50" s="7">
        <f t="shared" si="1"/>
        <v>86.6</v>
      </c>
      <c r="O50" s="7">
        <f t="shared" si="2"/>
        <v>90.5</v>
      </c>
      <c r="Q50" s="9">
        <f t="shared" si="0"/>
        <v>0</v>
      </c>
    </row>
    <row r="51" spans="1:17" x14ac:dyDescent="0.25">
      <c r="A51" s="14">
        <v>38718</v>
      </c>
      <c r="B51" s="21">
        <v>83.7</v>
      </c>
      <c r="C51" s="7">
        <v>90.8</v>
      </c>
      <c r="E51" s="22">
        <v>90.8</v>
      </c>
      <c r="F51" s="21">
        <v>90.5</v>
      </c>
      <c r="G51" s="20">
        <v>0.3</v>
      </c>
      <c r="H51" s="7">
        <v>-6.5</v>
      </c>
      <c r="I51" s="7">
        <v>-0.6</v>
      </c>
      <c r="J51" s="7" t="e">
        <v>#N/A</v>
      </c>
      <c r="K51" s="7" t="e">
        <v>#N/A</v>
      </c>
      <c r="L51" s="7" t="e">
        <v>#N/A</v>
      </c>
      <c r="N51" s="7">
        <f t="shared" si="1"/>
        <v>83.7</v>
      </c>
      <c r="O51" s="7">
        <f t="shared" si="2"/>
        <v>90.8</v>
      </c>
      <c r="Q51" s="9">
        <f t="shared" si="0"/>
        <v>0</v>
      </c>
    </row>
    <row r="52" spans="1:17" x14ac:dyDescent="0.25">
      <c r="A52" s="14">
        <v>38749</v>
      </c>
      <c r="B52" s="21">
        <v>80.2</v>
      </c>
      <c r="C52" s="7">
        <v>91.4</v>
      </c>
      <c r="E52" s="22">
        <v>91.4</v>
      </c>
      <c r="F52" s="21">
        <v>91</v>
      </c>
      <c r="G52" s="20">
        <v>0.4</v>
      </c>
      <c r="H52" s="7">
        <v>-10.1</v>
      </c>
      <c r="I52" s="7">
        <v>-1.1000000000000001</v>
      </c>
      <c r="J52" s="7" t="e">
        <v>#N/A</v>
      </c>
      <c r="K52" s="7" t="e">
        <v>#N/A</v>
      </c>
      <c r="L52" s="7" t="e">
        <v>#N/A</v>
      </c>
      <c r="N52" s="7">
        <f t="shared" si="1"/>
        <v>80.200000000000017</v>
      </c>
      <c r="O52" s="7">
        <f t="shared" si="2"/>
        <v>91.4</v>
      </c>
      <c r="Q52" s="9">
        <f t="shared" si="0"/>
        <v>0</v>
      </c>
    </row>
    <row r="53" spans="1:17" x14ac:dyDescent="0.25">
      <c r="A53" s="14">
        <v>38777</v>
      </c>
      <c r="B53" s="21">
        <v>92.4</v>
      </c>
      <c r="C53" s="7">
        <v>90.7</v>
      </c>
      <c r="E53" s="22">
        <v>90.7</v>
      </c>
      <c r="F53" s="21">
        <v>91.3</v>
      </c>
      <c r="G53" s="20">
        <v>-0.6</v>
      </c>
      <c r="H53" s="7">
        <v>-0.2</v>
      </c>
      <c r="I53" s="7">
        <v>1.9</v>
      </c>
      <c r="J53" s="7" t="e">
        <v>#N/A</v>
      </c>
      <c r="K53" s="7" t="e">
        <v>#N/A</v>
      </c>
      <c r="L53" s="7" t="e">
        <v>#N/A</v>
      </c>
      <c r="N53" s="7">
        <f t="shared" si="1"/>
        <v>92.4</v>
      </c>
      <c r="O53" s="7">
        <f t="shared" si="2"/>
        <v>90.7</v>
      </c>
      <c r="Q53" s="9">
        <f t="shared" si="0"/>
        <v>0</v>
      </c>
    </row>
    <row r="54" spans="1:17" x14ac:dyDescent="0.25">
      <c r="A54" s="14">
        <v>38808</v>
      </c>
      <c r="B54" s="21">
        <v>85.7</v>
      </c>
      <c r="C54" s="7">
        <v>91.4</v>
      </c>
      <c r="E54" s="22">
        <v>91.4</v>
      </c>
      <c r="F54" s="21">
        <v>91.4</v>
      </c>
      <c r="G54" s="20">
        <v>0</v>
      </c>
      <c r="H54" s="7">
        <v>-3.4</v>
      </c>
      <c r="I54" s="7">
        <v>-2.2999999999999998</v>
      </c>
      <c r="J54" s="7" t="e">
        <v>#N/A</v>
      </c>
      <c r="K54" s="7" t="e">
        <v>#N/A</v>
      </c>
      <c r="L54" s="7" t="e">
        <v>#N/A</v>
      </c>
      <c r="N54" s="7">
        <f t="shared" si="1"/>
        <v>85.7</v>
      </c>
      <c r="O54" s="7">
        <f t="shared" si="2"/>
        <v>91.4</v>
      </c>
      <c r="Q54" s="9">
        <f t="shared" si="0"/>
        <v>0</v>
      </c>
    </row>
    <row r="55" spans="1:17" x14ac:dyDescent="0.25">
      <c r="A55" s="14">
        <v>38838</v>
      </c>
      <c r="B55" s="21">
        <v>95.4</v>
      </c>
      <c r="C55" s="7">
        <v>92.2</v>
      </c>
      <c r="E55" s="22">
        <v>92.2</v>
      </c>
      <c r="F55" s="21">
        <v>91.4</v>
      </c>
      <c r="G55" s="20">
        <v>0.8</v>
      </c>
      <c r="H55" s="7">
        <v>2</v>
      </c>
      <c r="I55" s="7">
        <v>1.2</v>
      </c>
      <c r="J55" s="7" t="e">
        <v>#N/A</v>
      </c>
      <c r="K55" s="7" t="e">
        <v>#N/A</v>
      </c>
      <c r="L55" s="7" t="e">
        <v>#N/A</v>
      </c>
      <c r="N55" s="7">
        <f t="shared" si="1"/>
        <v>95.4</v>
      </c>
      <c r="O55" s="7">
        <f t="shared" si="2"/>
        <v>92.2</v>
      </c>
      <c r="Q55" s="9">
        <f t="shared" si="0"/>
        <v>0</v>
      </c>
    </row>
    <row r="56" spans="1:17" x14ac:dyDescent="0.25">
      <c r="A56" s="14">
        <v>38869</v>
      </c>
      <c r="B56" s="21">
        <v>91.1</v>
      </c>
      <c r="C56" s="7">
        <v>90.6</v>
      </c>
      <c r="E56" s="22">
        <v>90.6</v>
      </c>
      <c r="F56" s="21">
        <v>91.3</v>
      </c>
      <c r="G56" s="20">
        <v>-0.7</v>
      </c>
      <c r="H56" s="7">
        <v>0.1</v>
      </c>
      <c r="I56" s="7">
        <v>0.4</v>
      </c>
      <c r="J56" s="7" t="e">
        <v>#N/A</v>
      </c>
      <c r="K56" s="7" t="e">
        <v>#N/A</v>
      </c>
      <c r="L56" s="7" t="e">
        <v>#N/A</v>
      </c>
      <c r="N56" s="7">
        <f t="shared" si="1"/>
        <v>91.1</v>
      </c>
      <c r="O56" s="7">
        <f t="shared" si="2"/>
        <v>90.6</v>
      </c>
      <c r="Q56" s="9">
        <f t="shared" si="0"/>
        <v>0</v>
      </c>
    </row>
    <row r="57" spans="1:17" x14ac:dyDescent="0.25">
      <c r="A57" s="14">
        <v>38899</v>
      </c>
      <c r="B57" s="21">
        <v>93.8</v>
      </c>
      <c r="C57" s="7">
        <v>91.6</v>
      </c>
      <c r="E57" s="22">
        <v>91.6</v>
      </c>
      <c r="F57" s="21">
        <v>91.2</v>
      </c>
      <c r="G57" s="20">
        <v>0.4</v>
      </c>
      <c r="H57" s="7">
        <v>3.5</v>
      </c>
      <c r="I57" s="7">
        <v>-1.3</v>
      </c>
      <c r="J57" s="7" t="e">
        <v>#N/A</v>
      </c>
      <c r="K57" s="7" t="e">
        <v>#N/A</v>
      </c>
      <c r="L57" s="7" t="e">
        <v>#N/A</v>
      </c>
      <c r="N57" s="7">
        <f t="shared" si="1"/>
        <v>93.800000000000011</v>
      </c>
      <c r="O57" s="7">
        <f t="shared" si="2"/>
        <v>91.600000000000009</v>
      </c>
      <c r="Q57" s="9">
        <f t="shared" si="0"/>
        <v>0</v>
      </c>
    </row>
    <row r="58" spans="1:17" x14ac:dyDescent="0.25">
      <c r="A58" s="14">
        <v>38930</v>
      </c>
      <c r="B58" s="21">
        <v>98.6</v>
      </c>
      <c r="C58" s="7">
        <v>91.4</v>
      </c>
      <c r="E58" s="22">
        <v>91.4</v>
      </c>
      <c r="F58" s="21">
        <v>91.1</v>
      </c>
      <c r="G58" s="20">
        <v>0.3</v>
      </c>
      <c r="H58" s="7">
        <v>6</v>
      </c>
      <c r="I58" s="7">
        <v>1.2</v>
      </c>
      <c r="J58" s="7" t="e">
        <v>#N/A</v>
      </c>
      <c r="K58" s="7" t="e">
        <v>#N/A</v>
      </c>
      <c r="L58" s="7" t="e">
        <v>#N/A</v>
      </c>
      <c r="N58" s="7">
        <f t="shared" si="1"/>
        <v>98.6</v>
      </c>
      <c r="O58" s="7">
        <f t="shared" si="2"/>
        <v>91.399999999999991</v>
      </c>
      <c r="Q58" s="9">
        <f t="shared" si="0"/>
        <v>0</v>
      </c>
    </row>
    <row r="59" spans="1:17" x14ac:dyDescent="0.25">
      <c r="A59" s="14">
        <v>38961</v>
      </c>
      <c r="B59" s="21">
        <v>93.2</v>
      </c>
      <c r="C59" s="7">
        <v>90.4</v>
      </c>
      <c r="E59" s="22">
        <v>90.4</v>
      </c>
      <c r="F59" s="21">
        <v>91.2</v>
      </c>
      <c r="G59" s="20">
        <v>-0.8</v>
      </c>
      <c r="H59" s="7">
        <v>2.9</v>
      </c>
      <c r="I59" s="7">
        <v>-0.1</v>
      </c>
      <c r="J59" s="7" t="e">
        <v>#N/A</v>
      </c>
      <c r="K59" s="7" t="e">
        <v>#N/A</v>
      </c>
      <c r="L59" s="7" t="e">
        <v>#N/A</v>
      </c>
      <c r="N59" s="7">
        <f t="shared" si="1"/>
        <v>93.200000000000017</v>
      </c>
      <c r="O59" s="7">
        <f t="shared" si="2"/>
        <v>90.4</v>
      </c>
      <c r="Q59" s="9">
        <f t="shared" si="0"/>
        <v>0</v>
      </c>
    </row>
    <row r="60" spans="1:17" x14ac:dyDescent="0.25">
      <c r="A60" s="14">
        <v>38991</v>
      </c>
      <c r="B60" s="21">
        <v>97.5</v>
      </c>
      <c r="C60" s="7">
        <v>90.7</v>
      </c>
      <c r="E60" s="22">
        <v>90.7</v>
      </c>
      <c r="F60" s="21">
        <v>91.4</v>
      </c>
      <c r="G60" s="20">
        <v>-0.7</v>
      </c>
      <c r="H60" s="7">
        <v>7.4</v>
      </c>
      <c r="I60" s="7">
        <v>-0.6</v>
      </c>
      <c r="J60" s="7" t="e">
        <v>#N/A</v>
      </c>
      <c r="K60" s="7" t="e">
        <v>#N/A</v>
      </c>
      <c r="L60" s="7" t="e">
        <v>#N/A</v>
      </c>
      <c r="N60" s="7">
        <f t="shared" si="1"/>
        <v>97.500000000000014</v>
      </c>
      <c r="O60" s="7">
        <f t="shared" si="2"/>
        <v>90.7</v>
      </c>
      <c r="Q60" s="9">
        <f t="shared" si="0"/>
        <v>0</v>
      </c>
    </row>
    <row r="61" spans="1:17" x14ac:dyDescent="0.25">
      <c r="A61" s="14">
        <v>39022</v>
      </c>
      <c r="B61" s="21">
        <v>95.9</v>
      </c>
      <c r="C61" s="7">
        <v>92.1</v>
      </c>
      <c r="E61" s="22">
        <v>92.1</v>
      </c>
      <c r="F61" s="21">
        <v>91.9</v>
      </c>
      <c r="G61" s="20">
        <v>0.2</v>
      </c>
      <c r="H61" s="7">
        <v>3.1</v>
      </c>
      <c r="I61" s="7">
        <v>0.7</v>
      </c>
      <c r="J61" s="7" t="e">
        <v>#N/A</v>
      </c>
      <c r="K61" s="7" t="e">
        <v>#N/A</v>
      </c>
      <c r="L61" s="7" t="e">
        <v>#N/A</v>
      </c>
      <c r="N61" s="7">
        <f t="shared" si="1"/>
        <v>95.9</v>
      </c>
      <c r="O61" s="7">
        <f t="shared" si="2"/>
        <v>92.100000000000009</v>
      </c>
      <c r="Q61" s="9">
        <f t="shared" si="0"/>
        <v>0</v>
      </c>
    </row>
    <row r="62" spans="1:17" x14ac:dyDescent="0.25">
      <c r="A62" s="14">
        <v>39052</v>
      </c>
      <c r="B62" s="21">
        <v>87</v>
      </c>
      <c r="C62" s="7">
        <v>93.3</v>
      </c>
      <c r="E62" s="22">
        <v>93.3</v>
      </c>
      <c r="F62" s="21">
        <v>92.5</v>
      </c>
      <c r="G62" s="20">
        <v>0.8</v>
      </c>
      <c r="H62" s="7">
        <v>-4.7</v>
      </c>
      <c r="I62" s="7">
        <v>-1.6</v>
      </c>
      <c r="J62" s="7" t="e">
        <v>#N/A</v>
      </c>
      <c r="K62" s="7" t="e">
        <v>#N/A</v>
      </c>
      <c r="L62" s="7" t="e">
        <v>#N/A</v>
      </c>
      <c r="N62" s="7">
        <f t="shared" si="1"/>
        <v>87</v>
      </c>
      <c r="O62" s="7">
        <f t="shared" si="2"/>
        <v>93.3</v>
      </c>
      <c r="Q62" s="9">
        <f t="shared" si="0"/>
        <v>0</v>
      </c>
    </row>
    <row r="63" spans="1:17" x14ac:dyDescent="0.25">
      <c r="A63" s="14">
        <v>39083</v>
      </c>
      <c r="B63" s="21">
        <v>87</v>
      </c>
      <c r="C63" s="7">
        <v>92.7</v>
      </c>
      <c r="E63" s="22">
        <v>92.7</v>
      </c>
      <c r="F63" s="21">
        <v>93.3</v>
      </c>
      <c r="G63" s="20">
        <v>-0.6</v>
      </c>
      <c r="H63" s="7">
        <v>-6.7</v>
      </c>
      <c r="I63" s="7">
        <v>1</v>
      </c>
      <c r="J63" s="7" t="e">
        <v>#N/A</v>
      </c>
      <c r="K63" s="7" t="e">
        <v>#N/A</v>
      </c>
      <c r="L63" s="7" t="e">
        <v>#N/A</v>
      </c>
      <c r="N63" s="7">
        <f t="shared" si="1"/>
        <v>87</v>
      </c>
      <c r="O63" s="7">
        <f t="shared" si="2"/>
        <v>92.7</v>
      </c>
      <c r="Q63" s="9">
        <f t="shared" si="0"/>
        <v>0</v>
      </c>
    </row>
    <row r="64" spans="1:17" x14ac:dyDescent="0.25">
      <c r="A64" s="14">
        <v>39114</v>
      </c>
      <c r="B64" s="21">
        <v>82.6</v>
      </c>
      <c r="C64" s="7">
        <v>93.9</v>
      </c>
      <c r="E64" s="22">
        <v>93.9</v>
      </c>
      <c r="F64" s="21">
        <v>94.1</v>
      </c>
      <c r="G64" s="20">
        <v>-0.2</v>
      </c>
      <c r="H64" s="7">
        <v>-10.3</v>
      </c>
      <c r="I64" s="7">
        <v>-1.1000000000000001</v>
      </c>
      <c r="J64" s="7" t="e">
        <v>#N/A</v>
      </c>
      <c r="K64" s="7" t="e">
        <v>#N/A</v>
      </c>
      <c r="L64" s="7" t="e">
        <v>#N/A</v>
      </c>
      <c r="N64" s="7">
        <f t="shared" si="1"/>
        <v>82.5</v>
      </c>
      <c r="O64" s="7">
        <f t="shared" si="2"/>
        <v>93.899999999999991</v>
      </c>
      <c r="Q64" s="9">
        <f t="shared" si="0"/>
        <v>0</v>
      </c>
    </row>
    <row r="65" spans="1:17" x14ac:dyDescent="0.25">
      <c r="A65" s="14">
        <v>39142</v>
      </c>
      <c r="B65" s="21">
        <v>96.4</v>
      </c>
      <c r="C65" s="7">
        <v>94.9</v>
      </c>
      <c r="E65" s="22">
        <v>94.9</v>
      </c>
      <c r="F65" s="21">
        <v>94.9</v>
      </c>
      <c r="G65" s="20">
        <v>0</v>
      </c>
      <c r="H65" s="7">
        <v>-0.2</v>
      </c>
      <c r="I65" s="7">
        <v>1.7</v>
      </c>
      <c r="J65" s="7" t="e">
        <v>#N/A</v>
      </c>
      <c r="K65" s="7" t="e">
        <v>#N/A</v>
      </c>
      <c r="L65" s="7" t="e">
        <v>#N/A</v>
      </c>
      <c r="N65" s="7">
        <f t="shared" si="1"/>
        <v>96.4</v>
      </c>
      <c r="O65" s="7">
        <f t="shared" si="2"/>
        <v>94.9</v>
      </c>
      <c r="Q65" s="9">
        <f t="shared" si="0"/>
        <v>0</v>
      </c>
    </row>
    <row r="66" spans="1:17" x14ac:dyDescent="0.25">
      <c r="A66" s="14">
        <v>39173</v>
      </c>
      <c r="B66" s="21">
        <v>90.6</v>
      </c>
      <c r="C66" s="7">
        <v>96</v>
      </c>
      <c r="E66" s="22">
        <v>96</v>
      </c>
      <c r="F66" s="21">
        <v>95.6</v>
      </c>
      <c r="G66" s="20">
        <v>0.4</v>
      </c>
      <c r="H66" s="7">
        <v>-3.6</v>
      </c>
      <c r="I66" s="7">
        <v>-1.8</v>
      </c>
      <c r="J66" s="7" t="e">
        <v>#N/A</v>
      </c>
      <c r="K66" s="7" t="e">
        <v>#N/A</v>
      </c>
      <c r="L66" s="7" t="e">
        <v>#N/A</v>
      </c>
      <c r="N66" s="7">
        <f t="shared" si="1"/>
        <v>90.600000000000009</v>
      </c>
      <c r="O66" s="7">
        <f t="shared" si="2"/>
        <v>96</v>
      </c>
      <c r="Q66" s="9">
        <f t="shared" si="0"/>
        <v>0</v>
      </c>
    </row>
    <row r="67" spans="1:17" x14ac:dyDescent="0.25">
      <c r="A67" s="14">
        <v>39203</v>
      </c>
      <c r="B67" s="21">
        <v>99.9</v>
      </c>
      <c r="C67" s="7">
        <v>96.3</v>
      </c>
      <c r="E67" s="22">
        <v>96.3</v>
      </c>
      <c r="F67" s="21">
        <v>96.2</v>
      </c>
      <c r="G67" s="20">
        <v>0.1</v>
      </c>
      <c r="H67" s="7">
        <v>2.1</v>
      </c>
      <c r="I67" s="7">
        <v>1.5</v>
      </c>
      <c r="J67" s="7" t="e">
        <v>#N/A</v>
      </c>
      <c r="K67" s="7" t="e">
        <v>#N/A</v>
      </c>
      <c r="L67" s="7" t="e">
        <v>#N/A</v>
      </c>
      <c r="N67" s="7">
        <f t="shared" si="1"/>
        <v>99.899999999999991</v>
      </c>
      <c r="O67" s="7">
        <f t="shared" si="2"/>
        <v>96.3</v>
      </c>
      <c r="Q67" s="9">
        <f t="shared" si="0"/>
        <v>0</v>
      </c>
    </row>
    <row r="68" spans="1:17" x14ac:dyDescent="0.25">
      <c r="A68" s="14">
        <v>39234</v>
      </c>
      <c r="B68" s="21">
        <v>96.9</v>
      </c>
      <c r="C68" s="7">
        <v>97</v>
      </c>
      <c r="E68" s="22">
        <v>97</v>
      </c>
      <c r="F68" s="21">
        <v>96.7</v>
      </c>
      <c r="G68" s="20">
        <v>0.3</v>
      </c>
      <c r="H68" s="7">
        <v>0.2</v>
      </c>
      <c r="I68" s="7">
        <v>-0.3</v>
      </c>
      <c r="J68" s="7" t="e">
        <v>#N/A</v>
      </c>
      <c r="K68" s="7" t="e">
        <v>#N/A</v>
      </c>
      <c r="L68" s="7" t="e">
        <v>#N/A</v>
      </c>
      <c r="N68" s="7">
        <f t="shared" ref="N68:N131" si="3">F68+G68+H68+I68</f>
        <v>96.9</v>
      </c>
      <c r="O68" s="7">
        <f t="shared" ref="O68:O131" si="4">G68+F68</f>
        <v>97</v>
      </c>
      <c r="Q68" s="9">
        <f t="shared" ref="Q68:Q131" si="5">(E68-C68)/C68</f>
        <v>0</v>
      </c>
    </row>
    <row r="69" spans="1:17" x14ac:dyDescent="0.25">
      <c r="A69" s="14">
        <v>39264</v>
      </c>
      <c r="B69" s="21">
        <v>99.8</v>
      </c>
      <c r="C69" s="7">
        <v>96.5</v>
      </c>
      <c r="E69" s="22">
        <v>96.5</v>
      </c>
      <c r="F69" s="21">
        <v>97.2</v>
      </c>
      <c r="G69" s="20">
        <v>-0.6</v>
      </c>
      <c r="H69" s="7">
        <v>3.9</v>
      </c>
      <c r="I69" s="7">
        <v>-0.6</v>
      </c>
      <c r="J69" s="7" t="e">
        <v>#N/A</v>
      </c>
      <c r="K69" s="7" t="e">
        <v>#N/A</v>
      </c>
      <c r="L69" s="7" t="e">
        <v>#N/A</v>
      </c>
      <c r="N69" s="7">
        <f t="shared" si="3"/>
        <v>99.90000000000002</v>
      </c>
      <c r="O69" s="7">
        <f t="shared" si="4"/>
        <v>96.600000000000009</v>
      </c>
      <c r="Q69" s="9">
        <f t="shared" si="5"/>
        <v>0</v>
      </c>
    </row>
    <row r="70" spans="1:17" x14ac:dyDescent="0.25">
      <c r="A70" s="14">
        <v>39295</v>
      </c>
      <c r="B70" s="21">
        <v>104.9</v>
      </c>
      <c r="C70" s="7">
        <v>97.9</v>
      </c>
      <c r="E70" s="22">
        <v>97.9</v>
      </c>
      <c r="F70" s="21">
        <v>97.5</v>
      </c>
      <c r="G70" s="20">
        <v>0.4</v>
      </c>
      <c r="H70" s="7">
        <v>6.3</v>
      </c>
      <c r="I70" s="7">
        <v>0.7</v>
      </c>
      <c r="J70" s="7" t="e">
        <v>#N/A</v>
      </c>
      <c r="K70" s="7" t="e">
        <v>#N/A</v>
      </c>
      <c r="L70" s="7" t="e">
        <v>#N/A</v>
      </c>
      <c r="N70" s="7">
        <f t="shared" si="3"/>
        <v>104.9</v>
      </c>
      <c r="O70" s="7">
        <f t="shared" si="4"/>
        <v>97.9</v>
      </c>
      <c r="Q70" s="9">
        <f t="shared" si="5"/>
        <v>0</v>
      </c>
    </row>
    <row r="71" spans="1:17" x14ac:dyDescent="0.25">
      <c r="A71" s="14">
        <v>39326</v>
      </c>
      <c r="B71" s="21">
        <v>98.4</v>
      </c>
      <c r="C71" s="7">
        <v>97.1</v>
      </c>
      <c r="E71" s="22">
        <v>97.1</v>
      </c>
      <c r="F71" s="21">
        <v>97.9</v>
      </c>
      <c r="G71" s="20">
        <v>-0.8</v>
      </c>
      <c r="H71" s="7">
        <v>2.9</v>
      </c>
      <c r="I71" s="7">
        <v>-1.6</v>
      </c>
      <c r="J71" s="7" t="e">
        <v>#N/A</v>
      </c>
      <c r="K71" s="7" t="e">
        <v>#N/A</v>
      </c>
      <c r="L71" s="7" t="e">
        <v>#N/A</v>
      </c>
      <c r="N71" s="7">
        <f t="shared" si="3"/>
        <v>98.40000000000002</v>
      </c>
      <c r="O71" s="7">
        <f t="shared" si="4"/>
        <v>97.100000000000009</v>
      </c>
      <c r="Q71" s="9">
        <f t="shared" si="5"/>
        <v>0</v>
      </c>
    </row>
    <row r="72" spans="1:17" x14ac:dyDescent="0.25">
      <c r="A72" s="14">
        <v>39356</v>
      </c>
      <c r="B72" s="21">
        <v>107.8</v>
      </c>
      <c r="C72" s="7">
        <v>99.5</v>
      </c>
      <c r="E72" s="22">
        <v>99.5</v>
      </c>
      <c r="F72" s="21">
        <v>98.4</v>
      </c>
      <c r="G72" s="20">
        <v>1</v>
      </c>
      <c r="H72" s="7">
        <v>7.4</v>
      </c>
      <c r="I72" s="7">
        <v>1</v>
      </c>
      <c r="J72" s="7" t="e">
        <v>#N/A</v>
      </c>
      <c r="K72" s="7" t="e">
        <v>#N/A</v>
      </c>
      <c r="L72" s="7" t="e">
        <v>#N/A</v>
      </c>
      <c r="N72" s="7">
        <f t="shared" si="3"/>
        <v>107.80000000000001</v>
      </c>
      <c r="O72" s="7">
        <f t="shared" si="4"/>
        <v>99.4</v>
      </c>
      <c r="Q72" s="9">
        <f t="shared" si="5"/>
        <v>0</v>
      </c>
    </row>
    <row r="73" spans="1:17" x14ac:dyDescent="0.25">
      <c r="A73" s="14">
        <v>39387</v>
      </c>
      <c r="B73" s="21">
        <v>102.4</v>
      </c>
      <c r="C73" s="7">
        <v>98.5</v>
      </c>
      <c r="E73" s="22">
        <v>98.5</v>
      </c>
      <c r="F73" s="21">
        <v>98.9</v>
      </c>
      <c r="G73" s="20">
        <v>-0.4</v>
      </c>
      <c r="H73" s="7">
        <v>3.2</v>
      </c>
      <c r="I73" s="7">
        <v>0.7</v>
      </c>
      <c r="J73" s="7" t="e">
        <v>#N/A</v>
      </c>
      <c r="K73" s="7" t="e">
        <v>#N/A</v>
      </c>
      <c r="L73" s="7" t="e">
        <v>#N/A</v>
      </c>
      <c r="N73" s="7">
        <f t="shared" si="3"/>
        <v>102.4</v>
      </c>
      <c r="O73" s="7">
        <f t="shared" si="4"/>
        <v>98.5</v>
      </c>
      <c r="Q73" s="9">
        <f t="shared" si="5"/>
        <v>0</v>
      </c>
    </row>
    <row r="74" spans="1:17" x14ac:dyDescent="0.25">
      <c r="A74" s="14">
        <v>39417</v>
      </c>
      <c r="B74" s="21">
        <v>92.6</v>
      </c>
      <c r="C74" s="7">
        <v>98.9</v>
      </c>
      <c r="E74" s="22">
        <v>98.9</v>
      </c>
      <c r="F74" s="21">
        <v>99.4</v>
      </c>
      <c r="G74" s="20">
        <v>-0.5</v>
      </c>
      <c r="H74" s="7">
        <v>-5.0999999999999996</v>
      </c>
      <c r="I74" s="7">
        <v>-1.3</v>
      </c>
      <c r="J74" s="7" t="e">
        <v>#N/A</v>
      </c>
      <c r="K74" s="7" t="e">
        <v>#N/A</v>
      </c>
      <c r="L74" s="7" t="e">
        <v>#N/A</v>
      </c>
      <c r="N74" s="7">
        <f t="shared" si="3"/>
        <v>92.500000000000014</v>
      </c>
      <c r="O74" s="7">
        <f t="shared" si="4"/>
        <v>98.9</v>
      </c>
      <c r="Q74" s="9">
        <f t="shared" si="5"/>
        <v>0</v>
      </c>
    </row>
    <row r="75" spans="1:17" x14ac:dyDescent="0.25">
      <c r="A75" s="14">
        <v>39448</v>
      </c>
      <c r="B75" s="21">
        <v>94.8</v>
      </c>
      <c r="C75" s="7">
        <v>100.6</v>
      </c>
      <c r="E75" s="22">
        <v>100.6</v>
      </c>
      <c r="F75" s="21">
        <v>99.8</v>
      </c>
      <c r="G75" s="20">
        <v>0.9</v>
      </c>
      <c r="H75" s="7">
        <v>-7</v>
      </c>
      <c r="I75" s="7">
        <v>1.2</v>
      </c>
      <c r="J75" s="7" t="e">
        <v>#N/A</v>
      </c>
      <c r="K75" s="7" t="e">
        <v>#N/A</v>
      </c>
      <c r="L75" s="7" t="e">
        <v>#N/A</v>
      </c>
      <c r="N75" s="7">
        <f t="shared" si="3"/>
        <v>94.9</v>
      </c>
      <c r="O75" s="7">
        <f t="shared" si="4"/>
        <v>100.7</v>
      </c>
      <c r="Q75" s="9">
        <f t="shared" si="5"/>
        <v>0</v>
      </c>
    </row>
    <row r="76" spans="1:17" x14ac:dyDescent="0.25">
      <c r="A76" s="14">
        <v>39479</v>
      </c>
      <c r="B76" s="21">
        <v>91.1</v>
      </c>
      <c r="C76" s="7">
        <v>100.2</v>
      </c>
      <c r="E76" s="22">
        <v>100.2</v>
      </c>
      <c r="F76" s="21">
        <v>100.2</v>
      </c>
      <c r="G76" s="20">
        <v>0.1</v>
      </c>
      <c r="H76" s="7">
        <v>-10.4</v>
      </c>
      <c r="I76" s="7">
        <v>1.3</v>
      </c>
      <c r="J76" s="7" t="e">
        <v>#N/A</v>
      </c>
      <c r="K76" s="7" t="e">
        <v>#N/A</v>
      </c>
      <c r="L76" s="7" t="e">
        <v>#N/A</v>
      </c>
      <c r="N76" s="7">
        <f t="shared" si="3"/>
        <v>91.199999999999989</v>
      </c>
      <c r="O76" s="7">
        <f t="shared" si="4"/>
        <v>100.3</v>
      </c>
      <c r="Q76" s="9">
        <f t="shared" si="5"/>
        <v>0</v>
      </c>
    </row>
    <row r="77" spans="1:17" x14ac:dyDescent="0.25">
      <c r="A77" s="14">
        <v>39508</v>
      </c>
      <c r="B77" s="21">
        <v>97.7</v>
      </c>
      <c r="C77" s="7">
        <v>100.5</v>
      </c>
      <c r="E77" s="22">
        <v>100.5</v>
      </c>
      <c r="F77" s="21">
        <v>100.6</v>
      </c>
      <c r="G77" s="20">
        <v>-0.1</v>
      </c>
      <c r="H77" s="7">
        <v>-0.1</v>
      </c>
      <c r="I77" s="7">
        <v>-2.6</v>
      </c>
      <c r="J77" s="7" t="e">
        <v>#N/A</v>
      </c>
      <c r="K77" s="7" t="e">
        <v>#N/A</v>
      </c>
      <c r="L77" s="7" t="e">
        <v>#N/A</v>
      </c>
      <c r="N77" s="7">
        <f t="shared" si="3"/>
        <v>97.800000000000011</v>
      </c>
      <c r="O77" s="7">
        <f t="shared" si="4"/>
        <v>100.5</v>
      </c>
      <c r="Q77" s="9">
        <f t="shared" si="5"/>
        <v>0</v>
      </c>
    </row>
    <row r="78" spans="1:17" x14ac:dyDescent="0.25">
      <c r="A78" s="14">
        <v>39539</v>
      </c>
      <c r="B78" s="21">
        <v>99.2</v>
      </c>
      <c r="C78" s="7">
        <v>100.4</v>
      </c>
      <c r="E78" s="22">
        <v>100.4</v>
      </c>
      <c r="F78" s="21">
        <v>101.1</v>
      </c>
      <c r="G78" s="20">
        <v>-0.7</v>
      </c>
      <c r="H78" s="7">
        <v>-3.7</v>
      </c>
      <c r="I78" s="7">
        <v>2.5</v>
      </c>
      <c r="J78" s="7" t="e">
        <v>#N/A</v>
      </c>
      <c r="K78" s="7" t="e">
        <v>#N/A</v>
      </c>
      <c r="L78" s="7" t="e">
        <v>#N/A</v>
      </c>
      <c r="N78" s="7">
        <f t="shared" si="3"/>
        <v>99.199999999999989</v>
      </c>
      <c r="O78" s="7">
        <f t="shared" si="4"/>
        <v>100.39999999999999</v>
      </c>
      <c r="Q78" s="9">
        <f t="shared" si="5"/>
        <v>0</v>
      </c>
    </row>
    <row r="79" spans="1:17" x14ac:dyDescent="0.25">
      <c r="A79" s="14">
        <v>39569</v>
      </c>
      <c r="B79" s="21">
        <v>102.5</v>
      </c>
      <c r="C79" s="7">
        <v>101.1</v>
      </c>
      <c r="E79" s="22">
        <v>101.1</v>
      </c>
      <c r="F79" s="21">
        <v>101.6</v>
      </c>
      <c r="G79" s="20">
        <v>-0.6</v>
      </c>
      <c r="H79" s="7">
        <v>2.2000000000000002</v>
      </c>
      <c r="I79" s="7">
        <v>-0.8</v>
      </c>
      <c r="J79" s="7" t="e">
        <v>#N/A</v>
      </c>
      <c r="K79" s="7" t="e">
        <v>#N/A</v>
      </c>
      <c r="L79" s="7" t="e">
        <v>#N/A</v>
      </c>
      <c r="N79" s="7">
        <f t="shared" si="3"/>
        <v>102.4</v>
      </c>
      <c r="O79" s="7">
        <f t="shared" si="4"/>
        <v>101</v>
      </c>
      <c r="Q79" s="9">
        <f t="shared" si="5"/>
        <v>0</v>
      </c>
    </row>
    <row r="80" spans="1:17" x14ac:dyDescent="0.25">
      <c r="A80" s="14">
        <v>39600</v>
      </c>
      <c r="B80" s="21">
        <v>103.3</v>
      </c>
      <c r="C80" s="7">
        <v>102.9</v>
      </c>
      <c r="E80" s="22">
        <v>102.9</v>
      </c>
      <c r="F80" s="21">
        <v>102.1</v>
      </c>
      <c r="G80" s="20">
        <v>0.8</v>
      </c>
      <c r="H80" s="7">
        <v>0.2</v>
      </c>
      <c r="I80" s="7">
        <v>0.2</v>
      </c>
      <c r="J80" s="7" t="e">
        <v>#N/A</v>
      </c>
      <c r="K80" s="7" t="e">
        <v>#N/A</v>
      </c>
      <c r="L80" s="7" t="e">
        <v>#N/A</v>
      </c>
      <c r="N80" s="7">
        <f t="shared" si="3"/>
        <v>103.3</v>
      </c>
      <c r="O80" s="7">
        <f t="shared" si="4"/>
        <v>102.89999999999999</v>
      </c>
      <c r="Q80" s="9">
        <f t="shared" si="5"/>
        <v>0</v>
      </c>
    </row>
    <row r="81" spans="1:17" x14ac:dyDescent="0.25">
      <c r="A81" s="14">
        <v>39630</v>
      </c>
      <c r="B81" s="21">
        <v>108.5</v>
      </c>
      <c r="C81" s="7">
        <v>103.2</v>
      </c>
      <c r="E81" s="22">
        <v>103.2</v>
      </c>
      <c r="F81" s="21">
        <v>102.5</v>
      </c>
      <c r="G81" s="20">
        <v>0.7</v>
      </c>
      <c r="H81" s="7">
        <v>4.0999999999999996</v>
      </c>
      <c r="I81" s="7">
        <v>1.2</v>
      </c>
      <c r="J81" s="7" t="e">
        <v>#N/A</v>
      </c>
      <c r="K81" s="7" t="e">
        <v>#N/A</v>
      </c>
      <c r="L81" s="7" t="e">
        <v>#N/A</v>
      </c>
      <c r="N81" s="7">
        <f t="shared" si="3"/>
        <v>108.5</v>
      </c>
      <c r="O81" s="7">
        <f t="shared" si="4"/>
        <v>103.2</v>
      </c>
      <c r="Q81" s="9">
        <f t="shared" si="5"/>
        <v>0</v>
      </c>
    </row>
    <row r="82" spans="1:17" x14ac:dyDescent="0.25">
      <c r="A82" s="14">
        <v>39661</v>
      </c>
      <c r="B82" s="21">
        <v>106.9</v>
      </c>
      <c r="C82" s="7">
        <v>101.9</v>
      </c>
      <c r="E82" s="22">
        <v>101.9</v>
      </c>
      <c r="F82" s="21">
        <v>102.6</v>
      </c>
      <c r="G82" s="20">
        <v>-0.6</v>
      </c>
      <c r="H82" s="7">
        <v>6.6</v>
      </c>
      <c r="I82" s="7">
        <v>-1.6</v>
      </c>
      <c r="J82" s="7" t="e">
        <v>#N/A</v>
      </c>
      <c r="K82" s="7" t="e">
        <v>#N/A</v>
      </c>
      <c r="L82" s="7" t="e">
        <v>#N/A</v>
      </c>
      <c r="N82" s="7">
        <f t="shared" si="3"/>
        <v>107</v>
      </c>
      <c r="O82" s="7">
        <f t="shared" si="4"/>
        <v>102</v>
      </c>
      <c r="Q82" s="9">
        <f t="shared" si="5"/>
        <v>0</v>
      </c>
    </row>
    <row r="83" spans="1:17" x14ac:dyDescent="0.25">
      <c r="A83" s="14">
        <v>39692</v>
      </c>
      <c r="B83" s="21">
        <v>107.3</v>
      </c>
      <c r="C83" s="7">
        <v>103.4</v>
      </c>
      <c r="E83" s="22">
        <v>103.4</v>
      </c>
      <c r="F83" s="21">
        <v>102.3</v>
      </c>
      <c r="G83" s="20">
        <v>1.1000000000000001</v>
      </c>
      <c r="H83" s="7">
        <v>3</v>
      </c>
      <c r="I83" s="7">
        <v>0.9</v>
      </c>
      <c r="J83" s="7" t="e">
        <v>#N/A</v>
      </c>
      <c r="K83" s="7" t="e">
        <v>#N/A</v>
      </c>
      <c r="L83" s="7" t="e">
        <v>#N/A</v>
      </c>
      <c r="N83" s="7">
        <f t="shared" si="3"/>
        <v>107.3</v>
      </c>
      <c r="O83" s="7">
        <f t="shared" si="4"/>
        <v>103.39999999999999</v>
      </c>
      <c r="Q83" s="9">
        <f t="shared" si="5"/>
        <v>0</v>
      </c>
    </row>
    <row r="84" spans="1:17" x14ac:dyDescent="0.25">
      <c r="A84" s="14">
        <v>39722</v>
      </c>
      <c r="B84" s="21">
        <v>108.4</v>
      </c>
      <c r="C84" s="7">
        <v>100.2</v>
      </c>
      <c r="E84" s="22">
        <v>100.2</v>
      </c>
      <c r="F84" s="21">
        <v>101.8</v>
      </c>
      <c r="G84" s="20">
        <v>-1.7</v>
      </c>
      <c r="H84" s="7">
        <v>7.5</v>
      </c>
      <c r="I84" s="7">
        <v>0.7</v>
      </c>
      <c r="J84" s="7" t="e">
        <v>#N/A</v>
      </c>
      <c r="K84" s="7" t="e">
        <v>#N/A</v>
      </c>
      <c r="L84" s="7" t="e">
        <v>#N/A</v>
      </c>
      <c r="N84" s="7">
        <f t="shared" si="3"/>
        <v>108.3</v>
      </c>
      <c r="O84" s="7">
        <f t="shared" si="4"/>
        <v>100.1</v>
      </c>
      <c r="Q84" s="9">
        <f t="shared" si="5"/>
        <v>0</v>
      </c>
    </row>
    <row r="85" spans="1:17" x14ac:dyDescent="0.25">
      <c r="A85" s="14">
        <v>39753</v>
      </c>
      <c r="B85" s="21">
        <v>96.2</v>
      </c>
      <c r="C85" s="7">
        <v>94.4</v>
      </c>
      <c r="E85" s="22">
        <v>94.4</v>
      </c>
      <c r="F85" s="21">
        <v>94.5</v>
      </c>
      <c r="G85" s="20">
        <v>-0.1</v>
      </c>
      <c r="H85" s="7">
        <v>3.4</v>
      </c>
      <c r="I85" s="7">
        <v>-1.6</v>
      </c>
      <c r="J85" s="7" t="e">
        <v>#N/A</v>
      </c>
      <c r="K85" s="7" t="e">
        <v>#N/A</v>
      </c>
      <c r="L85" s="7" t="e">
        <v>#N/A</v>
      </c>
      <c r="N85" s="7">
        <f t="shared" si="3"/>
        <v>96.200000000000017</v>
      </c>
      <c r="O85" s="7">
        <f t="shared" si="4"/>
        <v>94.4</v>
      </c>
      <c r="Q85" s="9">
        <f t="shared" si="5"/>
        <v>0</v>
      </c>
    </row>
    <row r="86" spans="1:17" x14ac:dyDescent="0.25">
      <c r="A86" s="14">
        <v>39783</v>
      </c>
      <c r="B86" s="21">
        <v>79.099999999999994</v>
      </c>
      <c r="C86" s="7">
        <v>83.8</v>
      </c>
      <c r="E86" s="22">
        <v>83.8</v>
      </c>
      <c r="F86" s="21">
        <v>93.7</v>
      </c>
      <c r="G86" s="20">
        <v>-10</v>
      </c>
      <c r="H86" s="7">
        <v>-5.6</v>
      </c>
      <c r="I86" s="7">
        <v>1</v>
      </c>
      <c r="J86" s="7" t="e">
        <v>#N/A</v>
      </c>
      <c r="K86" s="7" t="e">
        <v>#N/A</v>
      </c>
      <c r="L86" s="7" t="e">
        <v>#N/A</v>
      </c>
      <c r="N86" s="7">
        <f t="shared" si="3"/>
        <v>79.100000000000009</v>
      </c>
      <c r="O86" s="7">
        <f t="shared" si="4"/>
        <v>83.7</v>
      </c>
      <c r="Q86" s="9">
        <f t="shared" si="5"/>
        <v>0</v>
      </c>
    </row>
    <row r="87" spans="1:17" x14ac:dyDescent="0.25">
      <c r="A87" s="14">
        <v>39814</v>
      </c>
      <c r="B87" s="21">
        <v>78.7</v>
      </c>
      <c r="C87" s="7">
        <v>85.6</v>
      </c>
      <c r="E87" s="22">
        <v>85.6</v>
      </c>
      <c r="F87" s="21">
        <v>93</v>
      </c>
      <c r="G87" s="20">
        <v>-7.3</v>
      </c>
      <c r="H87" s="7">
        <v>-7.5</v>
      </c>
      <c r="I87" s="7">
        <v>0.5</v>
      </c>
      <c r="J87" s="7" t="e">
        <v>#N/A</v>
      </c>
      <c r="K87" s="7" t="e">
        <v>#N/A</v>
      </c>
      <c r="L87" s="7" t="e">
        <v>#N/A</v>
      </c>
      <c r="N87" s="7">
        <f t="shared" si="3"/>
        <v>78.7</v>
      </c>
      <c r="O87" s="7">
        <f t="shared" si="4"/>
        <v>85.7</v>
      </c>
      <c r="Q87" s="9">
        <f t="shared" si="5"/>
        <v>0</v>
      </c>
    </row>
    <row r="88" spans="1:17" x14ac:dyDescent="0.25">
      <c r="A88" s="14">
        <v>39845</v>
      </c>
      <c r="B88" s="21">
        <v>76.099999999999994</v>
      </c>
      <c r="C88" s="7">
        <v>87.6</v>
      </c>
      <c r="E88" s="22">
        <v>87.6</v>
      </c>
      <c r="F88" s="21">
        <v>92.3</v>
      </c>
      <c r="G88" s="20">
        <v>-4.8</v>
      </c>
      <c r="H88" s="7">
        <v>-10.4</v>
      </c>
      <c r="I88" s="7">
        <v>-1.1000000000000001</v>
      </c>
      <c r="J88" s="7" t="e">
        <v>#N/A</v>
      </c>
      <c r="K88" s="7" t="e">
        <v>#N/A</v>
      </c>
      <c r="L88" s="7" t="e">
        <v>#N/A</v>
      </c>
      <c r="N88" s="7">
        <f t="shared" si="3"/>
        <v>76</v>
      </c>
      <c r="O88" s="7">
        <f t="shared" si="4"/>
        <v>87.5</v>
      </c>
      <c r="Q88" s="9">
        <f t="shared" si="5"/>
        <v>0</v>
      </c>
    </row>
    <row r="89" spans="1:17" x14ac:dyDescent="0.25">
      <c r="A89" s="14">
        <v>39873</v>
      </c>
      <c r="B89" s="21">
        <v>88.6</v>
      </c>
      <c r="C89" s="7">
        <v>88</v>
      </c>
      <c r="E89" s="22">
        <v>88</v>
      </c>
      <c r="F89" s="21">
        <v>91.9</v>
      </c>
      <c r="G89" s="20">
        <v>-3.9</v>
      </c>
      <c r="H89" s="7">
        <v>0</v>
      </c>
      <c r="I89" s="7">
        <v>0.6</v>
      </c>
      <c r="J89" s="7" t="e">
        <v>#N/A</v>
      </c>
      <c r="K89" s="7" t="e">
        <v>#N/A</v>
      </c>
      <c r="L89" s="7" t="e">
        <v>#N/A</v>
      </c>
      <c r="N89" s="7">
        <f t="shared" si="3"/>
        <v>88.6</v>
      </c>
      <c r="O89" s="7">
        <f t="shared" si="4"/>
        <v>88</v>
      </c>
      <c r="Q89" s="9">
        <f t="shared" si="5"/>
        <v>0</v>
      </c>
    </row>
    <row r="90" spans="1:17" x14ac:dyDescent="0.25">
      <c r="A90" s="14">
        <v>39904</v>
      </c>
      <c r="B90" s="21">
        <v>85.2</v>
      </c>
      <c r="C90" s="7">
        <v>89</v>
      </c>
      <c r="E90" s="22">
        <v>89</v>
      </c>
      <c r="F90" s="21">
        <v>91.8</v>
      </c>
      <c r="G90" s="20">
        <v>-2.8</v>
      </c>
      <c r="H90" s="7">
        <v>-3.8</v>
      </c>
      <c r="I90" s="7">
        <v>0</v>
      </c>
      <c r="J90" s="7" t="e">
        <v>#N/A</v>
      </c>
      <c r="K90" s="7" t="e">
        <v>#N/A</v>
      </c>
      <c r="L90" s="7" t="e">
        <v>#N/A</v>
      </c>
      <c r="N90" s="7">
        <f t="shared" si="3"/>
        <v>85.2</v>
      </c>
      <c r="O90" s="7">
        <f t="shared" si="4"/>
        <v>89</v>
      </c>
      <c r="Q90" s="9">
        <f t="shared" si="5"/>
        <v>0</v>
      </c>
    </row>
    <row r="91" spans="1:17" x14ac:dyDescent="0.25">
      <c r="A91" s="14">
        <v>39934</v>
      </c>
      <c r="B91" s="21">
        <v>91.3</v>
      </c>
      <c r="C91" s="7">
        <v>90.4</v>
      </c>
      <c r="E91" s="22">
        <v>90.4</v>
      </c>
      <c r="F91" s="21">
        <v>92</v>
      </c>
      <c r="G91" s="20">
        <v>-1.7</v>
      </c>
      <c r="H91" s="7">
        <v>2.2999999999999998</v>
      </c>
      <c r="I91" s="7">
        <v>-1.3</v>
      </c>
      <c r="J91" s="7" t="e">
        <v>#N/A</v>
      </c>
      <c r="K91" s="7" t="e">
        <v>#N/A</v>
      </c>
      <c r="L91" s="7" t="e">
        <v>#N/A</v>
      </c>
      <c r="N91" s="7">
        <f t="shared" si="3"/>
        <v>91.3</v>
      </c>
      <c r="O91" s="7">
        <f t="shared" si="4"/>
        <v>90.3</v>
      </c>
      <c r="Q91" s="9">
        <f t="shared" si="5"/>
        <v>0</v>
      </c>
    </row>
    <row r="92" spans="1:17" x14ac:dyDescent="0.25">
      <c r="A92" s="14">
        <v>39965</v>
      </c>
      <c r="B92" s="21">
        <v>92.2</v>
      </c>
      <c r="C92" s="7">
        <v>91.6</v>
      </c>
      <c r="E92" s="22">
        <v>91.6</v>
      </c>
      <c r="F92" s="21">
        <v>92.6</v>
      </c>
      <c r="G92" s="20">
        <v>-1.1000000000000001</v>
      </c>
      <c r="H92" s="7">
        <v>0</v>
      </c>
      <c r="I92" s="7">
        <v>0.7</v>
      </c>
      <c r="J92" s="7" t="e">
        <v>#N/A</v>
      </c>
      <c r="K92" s="7" t="e">
        <v>#N/A</v>
      </c>
      <c r="L92" s="7" t="e">
        <v>#N/A</v>
      </c>
      <c r="N92" s="7">
        <f t="shared" si="3"/>
        <v>92.2</v>
      </c>
      <c r="O92" s="7">
        <f t="shared" si="4"/>
        <v>91.5</v>
      </c>
      <c r="Q92" s="9">
        <f t="shared" si="5"/>
        <v>0</v>
      </c>
    </row>
    <row r="93" spans="1:17" x14ac:dyDescent="0.25">
      <c r="A93" s="14">
        <v>39995</v>
      </c>
      <c r="B93" s="21">
        <v>97.7</v>
      </c>
      <c r="C93" s="7">
        <v>92.6</v>
      </c>
      <c r="E93" s="22">
        <v>92.6</v>
      </c>
      <c r="F93" s="21">
        <v>93.6</v>
      </c>
      <c r="G93" s="20">
        <v>-1</v>
      </c>
      <c r="H93" s="7">
        <v>4.4000000000000004</v>
      </c>
      <c r="I93" s="7">
        <v>0.7</v>
      </c>
      <c r="J93" s="7" t="e">
        <v>#N/A</v>
      </c>
      <c r="K93" s="7" t="e">
        <v>#N/A</v>
      </c>
      <c r="L93" s="7" t="e">
        <v>#N/A</v>
      </c>
      <c r="N93" s="7">
        <f t="shared" si="3"/>
        <v>97.7</v>
      </c>
      <c r="O93" s="7">
        <f t="shared" si="4"/>
        <v>92.6</v>
      </c>
      <c r="Q93" s="9">
        <f t="shared" si="5"/>
        <v>0</v>
      </c>
    </row>
    <row r="94" spans="1:17" x14ac:dyDescent="0.25">
      <c r="A94" s="14">
        <v>40026</v>
      </c>
      <c r="B94" s="21">
        <v>99.6</v>
      </c>
      <c r="C94" s="7">
        <v>94</v>
      </c>
      <c r="E94" s="22">
        <v>94</v>
      </c>
      <c r="F94" s="21">
        <v>94.8</v>
      </c>
      <c r="G94" s="20">
        <v>-0.8</v>
      </c>
      <c r="H94" s="7">
        <v>6.9</v>
      </c>
      <c r="I94" s="7">
        <v>-1.3</v>
      </c>
      <c r="J94" s="7" t="e">
        <v>#N/A</v>
      </c>
      <c r="K94" s="7" t="e">
        <v>#N/A</v>
      </c>
      <c r="L94" s="7" t="e">
        <v>#N/A</v>
      </c>
      <c r="N94" s="7">
        <f t="shared" si="3"/>
        <v>99.600000000000009</v>
      </c>
      <c r="O94" s="7">
        <f t="shared" si="4"/>
        <v>94</v>
      </c>
      <c r="Q94" s="9">
        <f t="shared" si="5"/>
        <v>0</v>
      </c>
    </row>
    <row r="95" spans="1:17" x14ac:dyDescent="0.25">
      <c r="A95" s="14">
        <v>40057</v>
      </c>
      <c r="B95" s="21">
        <v>99.4</v>
      </c>
      <c r="C95" s="7">
        <v>95.6</v>
      </c>
      <c r="E95" s="22">
        <v>95.6</v>
      </c>
      <c r="F95" s="21">
        <v>96.1</v>
      </c>
      <c r="G95" s="20">
        <v>-0.5</v>
      </c>
      <c r="H95" s="7">
        <v>3.2</v>
      </c>
      <c r="I95" s="7">
        <v>0.6</v>
      </c>
      <c r="J95" s="7" t="e">
        <v>#N/A</v>
      </c>
      <c r="K95" s="7" t="e">
        <v>#N/A</v>
      </c>
      <c r="L95" s="7" t="e">
        <v>#N/A</v>
      </c>
      <c r="N95" s="7">
        <f t="shared" si="3"/>
        <v>99.399999999999991</v>
      </c>
      <c r="O95" s="7">
        <f t="shared" si="4"/>
        <v>95.6</v>
      </c>
      <c r="Q95" s="9">
        <f t="shared" si="5"/>
        <v>0</v>
      </c>
    </row>
    <row r="96" spans="1:17" x14ac:dyDescent="0.25">
      <c r="A96" s="14">
        <v>40087</v>
      </c>
      <c r="B96" s="21">
        <v>105.6</v>
      </c>
      <c r="C96" s="7">
        <v>97.3</v>
      </c>
      <c r="E96" s="22">
        <v>97.3</v>
      </c>
      <c r="F96" s="21">
        <v>97.3</v>
      </c>
      <c r="G96" s="20">
        <v>0</v>
      </c>
      <c r="H96" s="7">
        <v>7.7</v>
      </c>
      <c r="I96" s="7">
        <v>0.5</v>
      </c>
      <c r="J96" s="7" t="e">
        <v>#N/A</v>
      </c>
      <c r="K96" s="7" t="e">
        <v>#N/A</v>
      </c>
      <c r="L96" s="7" t="e">
        <v>#N/A</v>
      </c>
      <c r="N96" s="7">
        <f t="shared" si="3"/>
        <v>105.5</v>
      </c>
      <c r="O96" s="7">
        <f t="shared" si="4"/>
        <v>97.3</v>
      </c>
      <c r="Q96" s="9">
        <f t="shared" si="5"/>
        <v>0</v>
      </c>
    </row>
    <row r="97" spans="1:17" x14ac:dyDescent="0.25">
      <c r="A97" s="14">
        <v>40118</v>
      </c>
      <c r="B97" s="21">
        <v>101.4</v>
      </c>
      <c r="C97" s="7">
        <v>98.9</v>
      </c>
      <c r="E97" s="22">
        <v>98.9</v>
      </c>
      <c r="F97" s="21">
        <v>98.5</v>
      </c>
      <c r="G97" s="20">
        <v>0.4</v>
      </c>
      <c r="H97" s="7">
        <v>3.6</v>
      </c>
      <c r="I97" s="7">
        <v>-1.1000000000000001</v>
      </c>
      <c r="J97" s="7" t="e">
        <v>#N/A</v>
      </c>
      <c r="K97" s="7" t="e">
        <v>#N/A</v>
      </c>
      <c r="L97" s="7" t="e">
        <v>#N/A</v>
      </c>
      <c r="N97" s="7">
        <f t="shared" si="3"/>
        <v>101.4</v>
      </c>
      <c r="O97" s="7">
        <f t="shared" si="4"/>
        <v>98.9</v>
      </c>
      <c r="Q97" s="9">
        <f t="shared" si="5"/>
        <v>0</v>
      </c>
    </row>
    <row r="98" spans="1:17" x14ac:dyDescent="0.25">
      <c r="A98" s="14">
        <v>40148</v>
      </c>
      <c r="B98" s="21">
        <v>94.1</v>
      </c>
      <c r="C98" s="7">
        <v>99.1</v>
      </c>
      <c r="E98" s="22">
        <v>99.1</v>
      </c>
      <c r="F98" s="21">
        <v>99.7</v>
      </c>
      <c r="G98" s="20">
        <v>-0.6</v>
      </c>
      <c r="H98" s="7">
        <v>-6.2</v>
      </c>
      <c r="I98" s="7">
        <v>1.2</v>
      </c>
      <c r="J98" s="7" t="e">
        <v>#N/A</v>
      </c>
      <c r="K98" s="7" t="e">
        <v>#N/A</v>
      </c>
      <c r="L98" s="7" t="e">
        <v>#N/A</v>
      </c>
      <c r="N98" s="7">
        <f t="shared" si="3"/>
        <v>94.100000000000009</v>
      </c>
      <c r="O98" s="7">
        <f t="shared" si="4"/>
        <v>99.100000000000009</v>
      </c>
      <c r="Q98" s="9">
        <f t="shared" si="5"/>
        <v>0</v>
      </c>
    </row>
    <row r="99" spans="1:17" x14ac:dyDescent="0.25">
      <c r="A99" s="14">
        <v>40179</v>
      </c>
      <c r="B99" s="21">
        <v>91.2</v>
      </c>
      <c r="C99" s="7">
        <v>100.7</v>
      </c>
      <c r="E99" s="22">
        <v>100.7</v>
      </c>
      <c r="F99" s="21">
        <v>100.7</v>
      </c>
      <c r="G99" s="20">
        <v>0</v>
      </c>
      <c r="H99" s="7">
        <v>-7.9</v>
      </c>
      <c r="I99" s="7">
        <v>-1.6</v>
      </c>
      <c r="J99" s="7" t="e">
        <v>#N/A</v>
      </c>
      <c r="K99" s="7" t="e">
        <v>#N/A</v>
      </c>
      <c r="L99" s="7" t="e">
        <v>#N/A</v>
      </c>
      <c r="N99" s="7">
        <f t="shared" si="3"/>
        <v>91.2</v>
      </c>
      <c r="O99" s="7">
        <f t="shared" si="4"/>
        <v>100.7</v>
      </c>
      <c r="Q99" s="9">
        <f t="shared" si="5"/>
        <v>0</v>
      </c>
    </row>
    <row r="100" spans="1:17" x14ac:dyDescent="0.25">
      <c r="A100" s="14">
        <v>40210</v>
      </c>
      <c r="B100" s="21">
        <v>89</v>
      </c>
      <c r="C100" s="7">
        <v>100.5</v>
      </c>
      <c r="E100" s="22">
        <v>100.5</v>
      </c>
      <c r="F100" s="21">
        <v>101.6</v>
      </c>
      <c r="G100" s="20">
        <v>-1.1000000000000001</v>
      </c>
      <c r="H100" s="7">
        <v>-10.4</v>
      </c>
      <c r="I100" s="7">
        <v>-1.1000000000000001</v>
      </c>
      <c r="J100" s="7" t="e">
        <v>#N/A</v>
      </c>
      <c r="K100" s="7" t="e">
        <v>#N/A</v>
      </c>
      <c r="L100" s="7" t="e">
        <v>#N/A</v>
      </c>
      <c r="N100" s="7">
        <f t="shared" si="3"/>
        <v>89</v>
      </c>
      <c r="O100" s="7">
        <f t="shared" si="4"/>
        <v>100.5</v>
      </c>
      <c r="Q100" s="9">
        <f t="shared" si="5"/>
        <v>0</v>
      </c>
    </row>
    <row r="101" spans="1:17" x14ac:dyDescent="0.25">
      <c r="A101" s="14">
        <v>40238</v>
      </c>
      <c r="B101" s="21">
        <v>105.1</v>
      </c>
      <c r="C101" s="7">
        <v>103</v>
      </c>
      <c r="E101" s="22">
        <v>103</v>
      </c>
      <c r="F101" s="21">
        <v>102.3</v>
      </c>
      <c r="G101" s="20">
        <v>0.7</v>
      </c>
      <c r="H101" s="7">
        <v>0</v>
      </c>
      <c r="I101" s="7">
        <v>2.1</v>
      </c>
      <c r="J101" s="7" t="e">
        <v>#N/A</v>
      </c>
      <c r="K101" s="7" t="e">
        <v>#N/A</v>
      </c>
      <c r="L101" s="7" t="e">
        <v>#N/A</v>
      </c>
      <c r="N101" s="7">
        <f t="shared" si="3"/>
        <v>105.1</v>
      </c>
      <c r="O101" s="7">
        <f t="shared" si="4"/>
        <v>103</v>
      </c>
      <c r="Q101" s="9">
        <f t="shared" si="5"/>
        <v>0</v>
      </c>
    </row>
    <row r="102" spans="1:17" x14ac:dyDescent="0.25">
      <c r="A102" s="14">
        <v>40269</v>
      </c>
      <c r="B102" s="21">
        <v>99.3</v>
      </c>
      <c r="C102" s="7">
        <v>103.2</v>
      </c>
      <c r="E102" s="22">
        <v>103.2</v>
      </c>
      <c r="F102" s="21">
        <v>102.7</v>
      </c>
      <c r="G102" s="20">
        <v>0.5</v>
      </c>
      <c r="H102" s="7">
        <v>-3.8</v>
      </c>
      <c r="I102" s="7">
        <v>0</v>
      </c>
      <c r="J102" s="7" t="e">
        <v>#N/A</v>
      </c>
      <c r="K102" s="7" t="e">
        <v>#N/A</v>
      </c>
      <c r="L102" s="7" t="e">
        <v>#N/A</v>
      </c>
      <c r="N102" s="7">
        <f t="shared" si="3"/>
        <v>99.4</v>
      </c>
      <c r="O102" s="7">
        <f t="shared" si="4"/>
        <v>103.2</v>
      </c>
      <c r="Q102" s="9">
        <f t="shared" si="5"/>
        <v>0</v>
      </c>
    </row>
    <row r="103" spans="1:17" x14ac:dyDescent="0.25">
      <c r="A103" s="14">
        <v>40299</v>
      </c>
      <c r="B103" s="21">
        <v>104.3</v>
      </c>
      <c r="C103" s="7">
        <v>103</v>
      </c>
      <c r="E103" s="22">
        <v>103</v>
      </c>
      <c r="F103" s="21">
        <v>102.7</v>
      </c>
      <c r="G103" s="20">
        <v>0.3</v>
      </c>
      <c r="H103" s="7">
        <v>2.2999999999999998</v>
      </c>
      <c r="I103" s="7">
        <v>-1</v>
      </c>
      <c r="J103" s="7" t="e">
        <v>#N/A</v>
      </c>
      <c r="K103" s="7" t="e">
        <v>#N/A</v>
      </c>
      <c r="L103" s="7" t="e">
        <v>#N/A</v>
      </c>
      <c r="N103" s="7">
        <f t="shared" si="3"/>
        <v>104.3</v>
      </c>
      <c r="O103" s="7">
        <f t="shared" si="4"/>
        <v>103</v>
      </c>
      <c r="Q103" s="9">
        <f t="shared" si="5"/>
        <v>0</v>
      </c>
    </row>
    <row r="104" spans="1:17" x14ac:dyDescent="0.25">
      <c r="A104" s="14">
        <v>40330</v>
      </c>
      <c r="B104" s="21">
        <v>102.5</v>
      </c>
      <c r="C104" s="7">
        <v>102.3</v>
      </c>
      <c r="E104" s="22">
        <v>102.3</v>
      </c>
      <c r="F104" s="21">
        <v>102.5</v>
      </c>
      <c r="G104" s="20">
        <v>-0.1</v>
      </c>
      <c r="H104" s="7">
        <v>-0.2</v>
      </c>
      <c r="I104" s="7">
        <v>0.3</v>
      </c>
      <c r="J104" s="7" t="e">
        <v>#N/A</v>
      </c>
      <c r="K104" s="7" t="e">
        <v>#N/A</v>
      </c>
      <c r="L104" s="7" t="e">
        <v>#N/A</v>
      </c>
      <c r="N104" s="7">
        <f t="shared" si="3"/>
        <v>102.5</v>
      </c>
      <c r="O104" s="7">
        <f t="shared" si="4"/>
        <v>102.4</v>
      </c>
      <c r="Q104" s="9">
        <f t="shared" si="5"/>
        <v>0</v>
      </c>
    </row>
    <row r="105" spans="1:17" x14ac:dyDescent="0.25">
      <c r="A105" s="14">
        <v>40360</v>
      </c>
      <c r="B105" s="21">
        <v>106.9</v>
      </c>
      <c r="C105" s="7">
        <v>101.8</v>
      </c>
      <c r="E105" s="22">
        <v>101.8</v>
      </c>
      <c r="F105" s="21">
        <v>102.1</v>
      </c>
      <c r="G105" s="20">
        <v>-0.2</v>
      </c>
      <c r="H105" s="7">
        <v>4.5</v>
      </c>
      <c r="I105" s="7">
        <v>0.5</v>
      </c>
      <c r="J105" s="7" t="e">
        <v>#N/A</v>
      </c>
      <c r="K105" s="7" t="e">
        <v>#N/A</v>
      </c>
      <c r="L105" s="7" t="e">
        <v>#N/A</v>
      </c>
      <c r="N105" s="7">
        <f t="shared" si="3"/>
        <v>106.89999999999999</v>
      </c>
      <c r="O105" s="7">
        <f t="shared" si="4"/>
        <v>101.89999999999999</v>
      </c>
      <c r="Q105" s="9">
        <f t="shared" si="5"/>
        <v>0</v>
      </c>
    </row>
    <row r="106" spans="1:17" x14ac:dyDescent="0.25">
      <c r="A106" s="14">
        <v>40391</v>
      </c>
      <c r="B106" s="21">
        <v>108.1</v>
      </c>
      <c r="C106" s="7">
        <v>101.4</v>
      </c>
      <c r="E106" s="22">
        <v>101.4</v>
      </c>
      <c r="F106" s="21">
        <v>101.7</v>
      </c>
      <c r="G106" s="20">
        <v>-0.3</v>
      </c>
      <c r="H106">
        <v>7.3</v>
      </c>
      <c r="I106">
        <v>-0.6</v>
      </c>
      <c r="J106" t="e">
        <v>#N/A</v>
      </c>
      <c r="K106" t="e">
        <v>#N/A</v>
      </c>
      <c r="L106" t="e">
        <v>#N/A</v>
      </c>
      <c r="N106" s="7">
        <f t="shared" si="3"/>
        <v>108.10000000000001</v>
      </c>
      <c r="O106" s="7">
        <f t="shared" si="4"/>
        <v>101.4</v>
      </c>
      <c r="Q106" s="9">
        <f t="shared" si="5"/>
        <v>0</v>
      </c>
    </row>
    <row r="107" spans="1:17" x14ac:dyDescent="0.25">
      <c r="A107" s="14">
        <v>40422</v>
      </c>
      <c r="B107" s="21">
        <v>105.8</v>
      </c>
      <c r="C107" s="7">
        <v>101.6</v>
      </c>
      <c r="E107" s="22">
        <v>101.6</v>
      </c>
      <c r="F107" s="21">
        <v>101.5</v>
      </c>
      <c r="G107" s="20">
        <v>0.1</v>
      </c>
      <c r="H107">
        <v>3.5</v>
      </c>
      <c r="I107">
        <v>0.7</v>
      </c>
      <c r="J107" t="e">
        <v>#N/A</v>
      </c>
      <c r="K107" t="e">
        <v>#N/A</v>
      </c>
      <c r="L107" t="e">
        <v>#N/A</v>
      </c>
      <c r="N107" s="7">
        <f t="shared" si="3"/>
        <v>105.8</v>
      </c>
      <c r="O107" s="7">
        <f t="shared" si="4"/>
        <v>101.6</v>
      </c>
      <c r="Q107" s="9">
        <f t="shared" si="5"/>
        <v>0</v>
      </c>
    </row>
    <row r="108" spans="1:17" x14ac:dyDescent="0.25">
      <c r="A108" s="14">
        <v>40452</v>
      </c>
      <c r="B108" s="21">
        <v>107.7</v>
      </c>
      <c r="C108" s="7">
        <v>101.3</v>
      </c>
      <c r="E108" s="22">
        <v>101.3</v>
      </c>
      <c r="F108" s="21">
        <v>101.7</v>
      </c>
      <c r="G108" s="20">
        <v>-0.4</v>
      </c>
      <c r="H108">
        <v>8</v>
      </c>
      <c r="I108">
        <v>-1.6</v>
      </c>
      <c r="J108" t="e">
        <v>#N/A</v>
      </c>
      <c r="K108" t="e">
        <v>#N/A</v>
      </c>
      <c r="L108" t="e">
        <v>#N/A</v>
      </c>
      <c r="N108" s="7">
        <f t="shared" si="3"/>
        <v>107.7</v>
      </c>
      <c r="O108" s="7">
        <f t="shared" si="4"/>
        <v>101.3</v>
      </c>
      <c r="Q108" s="9">
        <f t="shared" si="5"/>
        <v>0</v>
      </c>
    </row>
    <row r="109" spans="1:17" x14ac:dyDescent="0.25">
      <c r="A109" s="14">
        <v>40483</v>
      </c>
      <c r="B109" s="21">
        <v>106.8</v>
      </c>
      <c r="C109" s="7">
        <v>102.2</v>
      </c>
      <c r="E109" s="22">
        <v>102.2</v>
      </c>
      <c r="F109" s="21">
        <v>102.1</v>
      </c>
      <c r="G109" s="20">
        <v>0.1</v>
      </c>
      <c r="H109">
        <v>3.7</v>
      </c>
      <c r="I109">
        <v>0.9</v>
      </c>
      <c r="J109" t="e">
        <v>#N/A</v>
      </c>
      <c r="K109" t="e">
        <v>#N/A</v>
      </c>
      <c r="L109" t="e">
        <v>#N/A</v>
      </c>
      <c r="N109" s="7">
        <f t="shared" si="3"/>
        <v>106.8</v>
      </c>
      <c r="O109" s="7">
        <f t="shared" si="4"/>
        <v>102.19999999999999</v>
      </c>
      <c r="Q109" s="9">
        <f t="shared" si="5"/>
        <v>0</v>
      </c>
    </row>
    <row r="110" spans="1:17" x14ac:dyDescent="0.25">
      <c r="A110" s="14">
        <v>40513</v>
      </c>
      <c r="B110" s="21">
        <v>96.6</v>
      </c>
      <c r="C110" s="7">
        <v>102.7</v>
      </c>
      <c r="E110" s="22">
        <v>102.7</v>
      </c>
      <c r="F110" s="21">
        <v>102.7</v>
      </c>
      <c r="G110" s="20">
        <v>0</v>
      </c>
      <c r="H110">
        <v>-6.8</v>
      </c>
      <c r="I110">
        <v>0.7</v>
      </c>
      <c r="J110" t="e">
        <v>#N/A</v>
      </c>
      <c r="K110" t="e">
        <v>#N/A</v>
      </c>
      <c r="L110" t="e">
        <v>#N/A</v>
      </c>
      <c r="N110" s="7">
        <f t="shared" si="3"/>
        <v>96.600000000000009</v>
      </c>
      <c r="O110" s="7">
        <f t="shared" si="4"/>
        <v>102.7</v>
      </c>
      <c r="Q110" s="9">
        <f t="shared" si="5"/>
        <v>0</v>
      </c>
    </row>
    <row r="111" spans="1:17" x14ac:dyDescent="0.25">
      <c r="A111" s="14">
        <v>40544</v>
      </c>
      <c r="B111" s="21">
        <v>93.2</v>
      </c>
      <c r="C111" s="7">
        <v>102.8</v>
      </c>
      <c r="E111" s="22">
        <v>102.8</v>
      </c>
      <c r="F111" s="21">
        <v>103.3</v>
      </c>
      <c r="G111" s="20">
        <v>-0.5</v>
      </c>
      <c r="H111">
        <v>-8.3000000000000007</v>
      </c>
      <c r="I111">
        <v>-1.3</v>
      </c>
      <c r="J111" t="e">
        <v>#N/A</v>
      </c>
      <c r="K111" t="e">
        <v>#N/A</v>
      </c>
      <c r="L111" t="e">
        <v>#N/A</v>
      </c>
      <c r="N111" s="7">
        <f t="shared" si="3"/>
        <v>93.2</v>
      </c>
      <c r="O111" s="7">
        <f t="shared" si="4"/>
        <v>102.8</v>
      </c>
      <c r="Q111" s="9">
        <f t="shared" si="5"/>
        <v>0</v>
      </c>
    </row>
    <row r="112" spans="1:17" x14ac:dyDescent="0.25">
      <c r="A112" s="14">
        <v>40575</v>
      </c>
      <c r="B112" s="21">
        <v>95.4</v>
      </c>
      <c r="C112" s="7">
        <v>104.2</v>
      </c>
      <c r="E112" s="22">
        <v>104.2</v>
      </c>
      <c r="F112" s="21">
        <v>103.9</v>
      </c>
      <c r="G112" s="20">
        <v>0.3</v>
      </c>
      <c r="H112">
        <v>-10.4</v>
      </c>
      <c r="I112">
        <v>1.6</v>
      </c>
      <c r="J112" t="e">
        <v>#N/A</v>
      </c>
      <c r="K112" t="e">
        <v>#N/A</v>
      </c>
      <c r="L112" t="e">
        <v>#N/A</v>
      </c>
      <c r="N112" s="7">
        <f t="shared" si="3"/>
        <v>95.399999999999991</v>
      </c>
      <c r="O112" s="7">
        <f t="shared" si="4"/>
        <v>104.2</v>
      </c>
      <c r="Q112" s="9">
        <f t="shared" si="5"/>
        <v>0</v>
      </c>
    </row>
    <row r="113" spans="1:17" x14ac:dyDescent="0.25">
      <c r="A113" s="14">
        <v>40603</v>
      </c>
      <c r="B113" s="21">
        <v>104.4</v>
      </c>
      <c r="C113" s="7">
        <v>104.8</v>
      </c>
      <c r="E113" s="22">
        <v>104.8</v>
      </c>
      <c r="F113" s="21">
        <v>104.2</v>
      </c>
      <c r="G113" s="20">
        <v>0.6</v>
      </c>
      <c r="H113">
        <v>-0.1</v>
      </c>
      <c r="I113">
        <v>-0.3</v>
      </c>
      <c r="J113" t="e">
        <v>#N/A</v>
      </c>
      <c r="K113" t="e">
        <v>#N/A</v>
      </c>
      <c r="L113" t="e">
        <v>#N/A</v>
      </c>
      <c r="N113" s="7">
        <f t="shared" si="3"/>
        <v>104.4</v>
      </c>
      <c r="O113" s="7">
        <f t="shared" si="4"/>
        <v>104.8</v>
      </c>
      <c r="Q113" s="9">
        <f t="shared" si="5"/>
        <v>0</v>
      </c>
    </row>
    <row r="114" spans="1:17" x14ac:dyDescent="0.25">
      <c r="A114" s="14">
        <v>40634</v>
      </c>
      <c r="B114" s="21">
        <v>97.5</v>
      </c>
      <c r="C114" s="7">
        <v>102.1</v>
      </c>
      <c r="E114" s="22">
        <v>102.1</v>
      </c>
      <c r="F114" s="21">
        <v>104.3</v>
      </c>
      <c r="G114" s="20">
        <v>-2.2000000000000002</v>
      </c>
      <c r="H114">
        <v>-3.8</v>
      </c>
      <c r="I114">
        <v>-0.8</v>
      </c>
      <c r="J114" t="e">
        <v>#N/A</v>
      </c>
      <c r="K114" t="e">
        <v>#N/A</v>
      </c>
      <c r="L114" t="e">
        <v>#N/A</v>
      </c>
      <c r="N114" s="7">
        <f t="shared" si="3"/>
        <v>97.5</v>
      </c>
      <c r="O114" s="7">
        <f t="shared" si="4"/>
        <v>102.1</v>
      </c>
      <c r="Q114" s="9">
        <f t="shared" si="5"/>
        <v>0</v>
      </c>
    </row>
    <row r="115" spans="1:17" x14ac:dyDescent="0.25">
      <c r="A115" s="14">
        <v>40664</v>
      </c>
      <c r="B115" s="21">
        <v>107.1</v>
      </c>
      <c r="C115" s="7">
        <v>105.2</v>
      </c>
      <c r="E115" s="22">
        <v>105.2</v>
      </c>
      <c r="F115" s="21">
        <v>104</v>
      </c>
      <c r="G115" s="20">
        <v>1.2</v>
      </c>
      <c r="H115">
        <v>2.2000000000000002</v>
      </c>
      <c r="I115">
        <v>-0.3</v>
      </c>
      <c r="J115" t="e">
        <v>#N/A</v>
      </c>
      <c r="K115" t="e">
        <v>#N/A</v>
      </c>
      <c r="L115" t="e">
        <v>#N/A</v>
      </c>
      <c r="N115" s="7">
        <f t="shared" si="3"/>
        <v>107.10000000000001</v>
      </c>
      <c r="O115" s="7">
        <f t="shared" si="4"/>
        <v>105.2</v>
      </c>
      <c r="Q115" s="9">
        <f t="shared" si="5"/>
        <v>0</v>
      </c>
    </row>
    <row r="116" spans="1:17" x14ac:dyDescent="0.25">
      <c r="A116" s="14">
        <v>40695</v>
      </c>
      <c r="B116" s="21">
        <v>102.8</v>
      </c>
      <c r="C116" s="7">
        <v>102.7</v>
      </c>
      <c r="E116" s="22">
        <v>102.7</v>
      </c>
      <c r="F116" s="21">
        <v>103.4</v>
      </c>
      <c r="G116" s="20">
        <v>-0.7</v>
      </c>
      <c r="H116">
        <v>-0.3</v>
      </c>
      <c r="I116">
        <v>0.4</v>
      </c>
      <c r="J116" t="e">
        <v>#N/A</v>
      </c>
      <c r="K116" t="e">
        <v>#N/A</v>
      </c>
      <c r="L116" t="e">
        <v>#N/A</v>
      </c>
      <c r="N116" s="7">
        <f t="shared" si="3"/>
        <v>102.80000000000001</v>
      </c>
      <c r="O116" s="7">
        <f t="shared" si="4"/>
        <v>102.7</v>
      </c>
      <c r="Q116" s="9">
        <f t="shared" si="5"/>
        <v>0</v>
      </c>
    </row>
    <row r="117" spans="1:17" x14ac:dyDescent="0.25">
      <c r="A117" s="14">
        <v>40725</v>
      </c>
      <c r="B117" s="21">
        <v>106.1</v>
      </c>
      <c r="C117" s="7">
        <v>103.1</v>
      </c>
      <c r="E117" s="22">
        <v>103.1</v>
      </c>
      <c r="F117" s="21">
        <v>102.6</v>
      </c>
      <c r="G117" s="20">
        <v>0.5</v>
      </c>
      <c r="H117">
        <v>4.5999999999999996</v>
      </c>
      <c r="I117">
        <v>-1.6</v>
      </c>
      <c r="J117" t="e">
        <v>#N/A</v>
      </c>
      <c r="K117" t="e">
        <v>#N/A</v>
      </c>
      <c r="L117" t="e">
        <v>#N/A</v>
      </c>
      <c r="N117" s="7">
        <f t="shared" si="3"/>
        <v>106.1</v>
      </c>
      <c r="O117" s="7">
        <f t="shared" si="4"/>
        <v>103.1</v>
      </c>
      <c r="Q117" s="9">
        <f t="shared" si="5"/>
        <v>0</v>
      </c>
    </row>
    <row r="118" spans="1:17" x14ac:dyDescent="0.25">
      <c r="A118" s="14">
        <v>40756</v>
      </c>
      <c r="B118" s="21">
        <v>110.8</v>
      </c>
      <c r="C118" s="7">
        <v>102.1</v>
      </c>
      <c r="E118" s="22">
        <v>102.1</v>
      </c>
      <c r="F118" s="21">
        <v>101.6</v>
      </c>
      <c r="G118" s="20">
        <v>0.4</v>
      </c>
      <c r="H118">
        <v>7.8</v>
      </c>
      <c r="I118">
        <v>1</v>
      </c>
      <c r="J118" t="e">
        <v>#N/A</v>
      </c>
      <c r="K118" t="e">
        <v>#N/A</v>
      </c>
      <c r="L118" t="e">
        <v>#N/A</v>
      </c>
      <c r="N118" s="7">
        <f t="shared" si="3"/>
        <v>110.8</v>
      </c>
      <c r="O118" s="7">
        <f t="shared" si="4"/>
        <v>102</v>
      </c>
      <c r="Q118" s="9">
        <f t="shared" si="5"/>
        <v>0</v>
      </c>
    </row>
    <row r="119" spans="1:17" x14ac:dyDescent="0.25">
      <c r="A119" s="14">
        <v>40787</v>
      </c>
      <c r="B119" s="21">
        <v>104.8</v>
      </c>
      <c r="C119" s="7">
        <v>100.2</v>
      </c>
      <c r="E119" s="22">
        <v>100.2</v>
      </c>
      <c r="F119" s="21">
        <v>100.8</v>
      </c>
      <c r="G119" s="20">
        <v>-0.6</v>
      </c>
      <c r="H119">
        <v>4</v>
      </c>
      <c r="I119">
        <v>0.7</v>
      </c>
      <c r="J119" t="e">
        <v>#N/A</v>
      </c>
      <c r="K119" t="e">
        <v>#N/A</v>
      </c>
      <c r="L119" t="e">
        <v>#N/A</v>
      </c>
      <c r="N119" s="7">
        <f t="shared" si="3"/>
        <v>104.9</v>
      </c>
      <c r="O119" s="7">
        <f t="shared" si="4"/>
        <v>100.2</v>
      </c>
      <c r="Q119" s="9">
        <f t="shared" si="5"/>
        <v>0</v>
      </c>
    </row>
    <row r="120" spans="1:17" x14ac:dyDescent="0.25">
      <c r="A120" s="14">
        <v>40817</v>
      </c>
      <c r="B120" s="21">
        <v>106.3</v>
      </c>
      <c r="C120" s="7">
        <v>99.2</v>
      </c>
      <c r="E120" s="22">
        <v>99.2</v>
      </c>
      <c r="F120" s="21">
        <v>100</v>
      </c>
      <c r="G120" s="20">
        <v>-0.8</v>
      </c>
      <c r="H120">
        <v>8.3000000000000007</v>
      </c>
      <c r="I120">
        <v>-1.3</v>
      </c>
      <c r="J120" t="e">
        <v>#N/A</v>
      </c>
      <c r="K120" t="e">
        <v>#N/A</v>
      </c>
      <c r="L120" t="e">
        <v>#N/A</v>
      </c>
      <c r="N120" s="7">
        <f t="shared" si="3"/>
        <v>106.2</v>
      </c>
      <c r="O120" s="7">
        <f t="shared" si="4"/>
        <v>99.2</v>
      </c>
      <c r="Q120" s="9">
        <f t="shared" si="5"/>
        <v>0</v>
      </c>
    </row>
    <row r="121" spans="1:17" x14ac:dyDescent="0.25">
      <c r="A121" s="14">
        <v>40848</v>
      </c>
      <c r="B121" s="21">
        <v>104.2</v>
      </c>
      <c r="C121" s="7">
        <v>99.9</v>
      </c>
      <c r="E121" s="22">
        <v>99.9</v>
      </c>
      <c r="F121" s="21">
        <v>99.4</v>
      </c>
      <c r="G121" s="20">
        <v>0.6</v>
      </c>
      <c r="H121">
        <v>3.7</v>
      </c>
      <c r="I121">
        <v>0.6</v>
      </c>
      <c r="J121" t="e">
        <v>#N/A</v>
      </c>
      <c r="K121" t="e">
        <v>#N/A</v>
      </c>
      <c r="L121" t="e">
        <v>#N/A</v>
      </c>
      <c r="N121" s="7">
        <f t="shared" si="3"/>
        <v>104.3</v>
      </c>
      <c r="O121" s="7">
        <f t="shared" si="4"/>
        <v>100</v>
      </c>
      <c r="Q121" s="9">
        <f t="shared" si="5"/>
        <v>0</v>
      </c>
    </row>
    <row r="122" spans="1:17" x14ac:dyDescent="0.25">
      <c r="A122" s="14">
        <v>40878</v>
      </c>
      <c r="B122" s="21">
        <v>95.7</v>
      </c>
      <c r="C122" s="7">
        <v>102.5</v>
      </c>
      <c r="E122" s="22">
        <v>102.5</v>
      </c>
      <c r="F122" s="21">
        <v>98.9</v>
      </c>
      <c r="G122" s="20">
        <v>3.5</v>
      </c>
      <c r="H122">
        <v>-7.3</v>
      </c>
      <c r="I122">
        <v>0.5</v>
      </c>
      <c r="J122" t="e">
        <v>#N/A</v>
      </c>
      <c r="K122" t="e">
        <v>#N/A</v>
      </c>
      <c r="L122" t="e">
        <v>#N/A</v>
      </c>
      <c r="N122" s="7">
        <f t="shared" si="3"/>
        <v>95.600000000000009</v>
      </c>
      <c r="O122" s="7">
        <f t="shared" si="4"/>
        <v>102.4</v>
      </c>
      <c r="Q122" s="9">
        <f t="shared" si="5"/>
        <v>0</v>
      </c>
    </row>
    <row r="123" spans="1:17" x14ac:dyDescent="0.25">
      <c r="A123" s="14">
        <v>40909</v>
      </c>
      <c r="B123" s="21">
        <v>88.7</v>
      </c>
      <c r="C123" s="7">
        <v>98</v>
      </c>
      <c r="E123" s="22">
        <v>98</v>
      </c>
      <c r="F123" s="21">
        <v>98.6</v>
      </c>
      <c r="G123" s="20">
        <v>-0.7</v>
      </c>
      <c r="H123">
        <v>-8.6999999999999993</v>
      </c>
      <c r="I123">
        <v>-0.6</v>
      </c>
      <c r="J123" t="e">
        <v>#N/A</v>
      </c>
      <c r="K123" t="e">
        <v>#N/A</v>
      </c>
      <c r="L123" t="e">
        <v>#N/A</v>
      </c>
      <c r="N123" s="7">
        <f t="shared" si="3"/>
        <v>88.6</v>
      </c>
      <c r="O123" s="7">
        <f t="shared" si="4"/>
        <v>97.899999999999991</v>
      </c>
      <c r="Q123" s="9">
        <f t="shared" si="5"/>
        <v>0</v>
      </c>
    </row>
    <row r="124" spans="1:17" x14ac:dyDescent="0.25">
      <c r="A124" s="14">
        <v>40940</v>
      </c>
      <c r="B124" s="21">
        <v>89.8</v>
      </c>
      <c r="C124" s="7">
        <v>99</v>
      </c>
      <c r="E124" s="22">
        <v>99</v>
      </c>
      <c r="F124" s="21">
        <v>98.5</v>
      </c>
      <c r="G124" s="20">
        <v>0.5</v>
      </c>
      <c r="H124">
        <v>-10.5</v>
      </c>
      <c r="I124">
        <v>1.3</v>
      </c>
      <c r="J124" t="e">
        <v>#N/A</v>
      </c>
      <c r="K124" t="e">
        <v>#N/A</v>
      </c>
      <c r="L124" t="e">
        <v>#N/A</v>
      </c>
      <c r="N124" s="7">
        <f t="shared" si="3"/>
        <v>89.8</v>
      </c>
      <c r="O124" s="7">
        <f t="shared" si="4"/>
        <v>99</v>
      </c>
      <c r="Q124" s="9">
        <f t="shared" si="5"/>
        <v>0</v>
      </c>
    </row>
    <row r="125" spans="1:17" x14ac:dyDescent="0.25">
      <c r="A125" s="14">
        <v>40969</v>
      </c>
      <c r="B125" s="21">
        <v>99.7</v>
      </c>
      <c r="C125" s="7">
        <v>98.3</v>
      </c>
      <c r="E125" s="22">
        <v>98.3</v>
      </c>
      <c r="F125" s="21">
        <v>98.4</v>
      </c>
      <c r="G125" s="20">
        <v>-0.2</v>
      </c>
      <c r="H125">
        <v>-0.3</v>
      </c>
      <c r="I125">
        <v>1.7</v>
      </c>
      <c r="J125" t="e">
        <v>#N/A</v>
      </c>
      <c r="K125" t="e">
        <v>#N/A</v>
      </c>
      <c r="L125" t="e">
        <v>#N/A</v>
      </c>
      <c r="N125" s="7">
        <f t="shared" si="3"/>
        <v>99.600000000000009</v>
      </c>
      <c r="O125" s="7">
        <f t="shared" si="4"/>
        <v>98.2</v>
      </c>
      <c r="Q125" s="9">
        <f t="shared" si="5"/>
        <v>0</v>
      </c>
    </row>
    <row r="126" spans="1:17" x14ac:dyDescent="0.25">
      <c r="A126" s="14">
        <v>41000</v>
      </c>
      <c r="B126" s="21">
        <v>92.8</v>
      </c>
      <c r="C126" s="7">
        <v>98.5</v>
      </c>
      <c r="E126" s="22">
        <v>98.5</v>
      </c>
      <c r="F126" s="21">
        <v>98.6</v>
      </c>
      <c r="G126" s="20">
        <v>-0.1</v>
      </c>
      <c r="H126">
        <v>-3.8</v>
      </c>
      <c r="I126">
        <v>-1.8</v>
      </c>
      <c r="J126" t="e">
        <v>#N/A</v>
      </c>
      <c r="K126" t="e">
        <v>#N/A</v>
      </c>
      <c r="L126" t="e">
        <v>#N/A</v>
      </c>
      <c r="N126" s="7">
        <f t="shared" si="3"/>
        <v>92.9</v>
      </c>
      <c r="O126" s="7">
        <f t="shared" si="4"/>
        <v>98.5</v>
      </c>
      <c r="Q126" s="9">
        <f t="shared" si="5"/>
        <v>0</v>
      </c>
    </row>
    <row r="127" spans="1:17" x14ac:dyDescent="0.25">
      <c r="A127" s="14">
        <v>41030</v>
      </c>
      <c r="B127" s="21">
        <v>102.5</v>
      </c>
      <c r="C127" s="7">
        <v>98.9</v>
      </c>
      <c r="E127" s="22">
        <v>98.9</v>
      </c>
      <c r="F127" s="21">
        <v>99</v>
      </c>
      <c r="G127" s="20">
        <v>-0.1</v>
      </c>
      <c r="H127">
        <v>2.1</v>
      </c>
      <c r="I127">
        <v>1.5</v>
      </c>
      <c r="J127" t="e">
        <v>#N/A</v>
      </c>
      <c r="K127" t="e">
        <v>#N/A</v>
      </c>
      <c r="L127" t="e">
        <v>#N/A</v>
      </c>
      <c r="N127" s="7">
        <f t="shared" si="3"/>
        <v>102.5</v>
      </c>
      <c r="O127" s="7">
        <f t="shared" si="4"/>
        <v>98.9</v>
      </c>
      <c r="Q127" s="9">
        <f t="shared" si="5"/>
        <v>0</v>
      </c>
    </row>
    <row r="128" spans="1:17" x14ac:dyDescent="0.25">
      <c r="A128" s="14">
        <v>41061</v>
      </c>
      <c r="B128" s="21">
        <v>98.3</v>
      </c>
      <c r="C128" s="7">
        <v>99</v>
      </c>
      <c r="E128" s="22">
        <v>99</v>
      </c>
      <c r="F128" s="21">
        <v>99.5</v>
      </c>
      <c r="G128" s="20">
        <v>-0.5</v>
      </c>
      <c r="H128">
        <v>-0.3</v>
      </c>
      <c r="I128">
        <v>-0.3</v>
      </c>
      <c r="J128" t="e">
        <v>#N/A</v>
      </c>
      <c r="K128" t="e">
        <v>#N/A</v>
      </c>
      <c r="L128" t="e">
        <v>#N/A</v>
      </c>
      <c r="N128" s="7">
        <f t="shared" si="3"/>
        <v>98.4</v>
      </c>
      <c r="O128" s="7">
        <f t="shared" si="4"/>
        <v>99</v>
      </c>
      <c r="Q128" s="9">
        <f t="shared" si="5"/>
        <v>0</v>
      </c>
    </row>
    <row r="129" spans="1:17" x14ac:dyDescent="0.25">
      <c r="A129" s="14">
        <v>41091</v>
      </c>
      <c r="B129" s="21">
        <v>104.5</v>
      </c>
      <c r="C129" s="7">
        <v>100.5</v>
      </c>
      <c r="E129" s="22">
        <v>100.5</v>
      </c>
      <c r="F129" s="21">
        <v>100</v>
      </c>
      <c r="G129" s="20">
        <v>0.5</v>
      </c>
      <c r="H129">
        <v>4.5999999999999996</v>
      </c>
      <c r="I129">
        <v>-0.6</v>
      </c>
      <c r="J129" t="e">
        <v>#N/A</v>
      </c>
      <c r="K129" t="e">
        <v>#N/A</v>
      </c>
      <c r="L129" t="e">
        <v>#N/A</v>
      </c>
      <c r="N129" s="7">
        <f t="shared" si="3"/>
        <v>104.5</v>
      </c>
      <c r="O129" s="7">
        <f t="shared" si="4"/>
        <v>100.5</v>
      </c>
      <c r="Q129" s="9">
        <f t="shared" si="5"/>
        <v>0</v>
      </c>
    </row>
    <row r="130" spans="1:17" x14ac:dyDescent="0.25">
      <c r="A130" s="14">
        <v>41122</v>
      </c>
      <c r="B130" s="21">
        <v>111.5</v>
      </c>
      <c r="C130" s="7">
        <v>102.5</v>
      </c>
      <c r="E130" s="22">
        <v>102.5</v>
      </c>
      <c r="F130" s="21">
        <v>100.6</v>
      </c>
      <c r="G130" s="20">
        <v>2</v>
      </c>
      <c r="H130">
        <v>8.1999999999999993</v>
      </c>
      <c r="I130">
        <v>0.7</v>
      </c>
      <c r="J130" t="e">
        <v>#N/A</v>
      </c>
      <c r="K130" t="e">
        <v>#N/A</v>
      </c>
      <c r="L130" t="e">
        <v>#N/A</v>
      </c>
      <c r="N130" s="7">
        <f t="shared" si="3"/>
        <v>111.5</v>
      </c>
      <c r="O130" s="7">
        <f t="shared" si="4"/>
        <v>102.6</v>
      </c>
      <c r="Q130" s="9">
        <f t="shared" si="5"/>
        <v>0</v>
      </c>
    </row>
    <row r="131" spans="1:17" x14ac:dyDescent="0.25">
      <c r="A131" s="14">
        <v>41153</v>
      </c>
      <c r="B131" s="21">
        <v>103.4</v>
      </c>
      <c r="C131" s="7">
        <v>100.6</v>
      </c>
      <c r="E131" s="22">
        <v>100.6</v>
      </c>
      <c r="F131" s="21">
        <v>101</v>
      </c>
      <c r="G131" s="20">
        <v>-0.4</v>
      </c>
      <c r="H131">
        <v>4.4000000000000004</v>
      </c>
      <c r="I131">
        <v>-1.6</v>
      </c>
      <c r="J131" t="e">
        <v>#N/A</v>
      </c>
      <c r="K131" t="e">
        <v>#N/A</v>
      </c>
      <c r="L131" t="e">
        <v>#N/A</v>
      </c>
      <c r="N131" s="7">
        <f t="shared" si="3"/>
        <v>103.4</v>
      </c>
      <c r="O131" s="7">
        <f t="shared" si="4"/>
        <v>100.6</v>
      </c>
      <c r="Q131" s="9">
        <f t="shared" si="5"/>
        <v>0</v>
      </c>
    </row>
    <row r="132" spans="1:17" x14ac:dyDescent="0.25">
      <c r="A132" s="14">
        <v>41183</v>
      </c>
      <c r="B132" s="21">
        <v>111.8</v>
      </c>
      <c r="C132" s="7">
        <v>102.1</v>
      </c>
      <c r="E132" s="22">
        <v>102.1</v>
      </c>
      <c r="F132" s="21">
        <v>101.2</v>
      </c>
      <c r="G132" s="20">
        <v>0.9</v>
      </c>
      <c r="H132">
        <v>8.6999999999999993</v>
      </c>
      <c r="I132">
        <v>1</v>
      </c>
      <c r="J132" t="e">
        <v>#N/A</v>
      </c>
      <c r="K132" t="e">
        <v>#N/A</v>
      </c>
      <c r="L132" t="e">
        <v>#N/A</v>
      </c>
      <c r="N132" s="7">
        <f t="shared" ref="N132:N195" si="6">F132+G132+H132+I132</f>
        <v>111.80000000000001</v>
      </c>
      <c r="O132" s="7">
        <f t="shared" ref="O132:O195" si="7">G132+F132</f>
        <v>102.10000000000001</v>
      </c>
      <c r="Q132" s="9">
        <f t="shared" ref="Q132:Q195" si="8">(E132-C132)/C132</f>
        <v>0</v>
      </c>
    </row>
    <row r="133" spans="1:17" x14ac:dyDescent="0.25">
      <c r="A133" s="14">
        <v>41214</v>
      </c>
      <c r="B133" s="21">
        <v>104.8</v>
      </c>
      <c r="C133" s="7">
        <v>100.6</v>
      </c>
      <c r="E133" s="22">
        <v>100.6</v>
      </c>
      <c r="F133" s="21">
        <v>101.4</v>
      </c>
      <c r="G133" s="20">
        <v>-0.8</v>
      </c>
      <c r="H133">
        <v>3.6</v>
      </c>
      <c r="I133">
        <v>0.7</v>
      </c>
      <c r="J133" t="e">
        <v>#N/A</v>
      </c>
      <c r="K133" t="e">
        <v>#N/A</v>
      </c>
      <c r="L133" t="e">
        <v>#N/A</v>
      </c>
      <c r="N133" s="7">
        <f t="shared" si="6"/>
        <v>104.9</v>
      </c>
      <c r="O133" s="7">
        <f t="shared" si="7"/>
        <v>100.60000000000001</v>
      </c>
      <c r="Q133" s="9">
        <f t="shared" si="8"/>
        <v>0</v>
      </c>
    </row>
    <row r="134" spans="1:17" x14ac:dyDescent="0.25">
      <c r="A134" s="14">
        <v>41244</v>
      </c>
      <c r="B134" s="21">
        <v>92.2</v>
      </c>
      <c r="C134" s="7">
        <v>101.3</v>
      </c>
      <c r="E134" s="22">
        <v>101.3</v>
      </c>
      <c r="F134" s="21">
        <v>101.4</v>
      </c>
      <c r="G134" s="20">
        <v>-0.1</v>
      </c>
      <c r="H134">
        <v>-7.9</v>
      </c>
      <c r="I134">
        <v>-1.3</v>
      </c>
      <c r="J134" t="e">
        <v>#N/A</v>
      </c>
      <c r="K134" t="e">
        <v>#N/A</v>
      </c>
      <c r="L134" t="e">
        <v>#N/A</v>
      </c>
      <c r="N134" s="7">
        <f t="shared" si="6"/>
        <v>92.100000000000009</v>
      </c>
      <c r="O134" s="7">
        <f t="shared" si="7"/>
        <v>101.30000000000001</v>
      </c>
      <c r="Q134" s="9">
        <f t="shared" si="8"/>
        <v>0</v>
      </c>
    </row>
    <row r="135" spans="1:17" x14ac:dyDescent="0.25">
      <c r="A135" s="14">
        <v>41275</v>
      </c>
      <c r="B135" s="21">
        <v>94.5</v>
      </c>
      <c r="C135" s="7">
        <v>102.1</v>
      </c>
      <c r="E135" s="22">
        <v>102.1</v>
      </c>
      <c r="F135" s="21">
        <v>101.5</v>
      </c>
      <c r="G135" s="20">
        <v>0.6</v>
      </c>
      <c r="H135">
        <v>-8.9</v>
      </c>
      <c r="I135">
        <v>1.2</v>
      </c>
      <c r="J135" t="e">
        <v>#N/A</v>
      </c>
      <c r="K135" t="e">
        <v>#N/A</v>
      </c>
      <c r="L135" t="e">
        <v>#N/A</v>
      </c>
      <c r="N135" s="7">
        <f t="shared" si="6"/>
        <v>94.399999999999991</v>
      </c>
      <c r="O135" s="7">
        <f t="shared" si="7"/>
        <v>102.1</v>
      </c>
      <c r="Q135" s="9">
        <f t="shared" si="8"/>
        <v>0</v>
      </c>
    </row>
    <row r="136" spans="1:17" x14ac:dyDescent="0.25">
      <c r="A136" s="14">
        <v>41306</v>
      </c>
      <c r="B136" s="21">
        <v>88.1</v>
      </c>
      <c r="C136" s="7">
        <v>99.7</v>
      </c>
      <c r="E136" s="22">
        <v>99.7</v>
      </c>
      <c r="F136" s="21">
        <v>101.8</v>
      </c>
      <c r="G136" s="20">
        <v>-2.1</v>
      </c>
      <c r="H136">
        <v>-10.5</v>
      </c>
      <c r="I136">
        <v>-1.1000000000000001</v>
      </c>
      <c r="J136" t="e">
        <v>#N/A</v>
      </c>
      <c r="K136" t="e">
        <v>#N/A</v>
      </c>
      <c r="L136" t="e">
        <v>#N/A</v>
      </c>
      <c r="N136" s="7">
        <f t="shared" si="6"/>
        <v>88.100000000000009</v>
      </c>
      <c r="O136" s="7">
        <f t="shared" si="7"/>
        <v>99.7</v>
      </c>
      <c r="Q136" s="9">
        <f t="shared" si="8"/>
        <v>0</v>
      </c>
    </row>
    <row r="137" spans="1:17" x14ac:dyDescent="0.25">
      <c r="A137" s="14">
        <v>41334</v>
      </c>
      <c r="B137" s="21">
        <v>97.7</v>
      </c>
      <c r="C137" s="7">
        <v>101.2</v>
      </c>
      <c r="E137" s="22">
        <v>101.2</v>
      </c>
      <c r="F137" s="21">
        <v>102</v>
      </c>
      <c r="G137" s="20">
        <v>-0.8</v>
      </c>
      <c r="H137">
        <v>-0.6</v>
      </c>
      <c r="I137">
        <v>-3</v>
      </c>
      <c r="J137" t="e">
        <v>#N/A</v>
      </c>
      <c r="K137" t="e">
        <v>#N/A</v>
      </c>
      <c r="L137" t="e">
        <v>#N/A</v>
      </c>
      <c r="N137" s="7">
        <f t="shared" si="6"/>
        <v>97.600000000000009</v>
      </c>
      <c r="O137" s="7">
        <f t="shared" si="7"/>
        <v>101.2</v>
      </c>
      <c r="Q137" s="9">
        <f t="shared" si="8"/>
        <v>0</v>
      </c>
    </row>
    <row r="138" spans="1:17" x14ac:dyDescent="0.25">
      <c r="A138" s="14">
        <v>41365</v>
      </c>
      <c r="B138" s="21">
        <v>101.8</v>
      </c>
      <c r="C138" s="7">
        <v>103</v>
      </c>
      <c r="E138" s="22">
        <v>103</v>
      </c>
      <c r="F138" s="21">
        <v>102.3</v>
      </c>
      <c r="G138" s="20">
        <v>0.7</v>
      </c>
      <c r="H138">
        <v>-3.9</v>
      </c>
      <c r="I138">
        <v>2.8</v>
      </c>
      <c r="J138" t="e">
        <v>#N/A</v>
      </c>
      <c r="K138" t="e">
        <v>#N/A</v>
      </c>
      <c r="L138" t="e">
        <v>#N/A</v>
      </c>
      <c r="N138" s="7">
        <f t="shared" si="6"/>
        <v>101.89999999999999</v>
      </c>
      <c r="O138" s="7">
        <f t="shared" si="7"/>
        <v>103</v>
      </c>
      <c r="Q138" s="9">
        <f t="shared" si="8"/>
        <v>0</v>
      </c>
    </row>
    <row r="139" spans="1:17" x14ac:dyDescent="0.25">
      <c r="A139" s="14">
        <v>41395</v>
      </c>
      <c r="B139" s="21">
        <v>105</v>
      </c>
      <c r="C139" s="7">
        <v>102.5</v>
      </c>
      <c r="E139" s="22">
        <v>102.5</v>
      </c>
      <c r="F139" s="21">
        <v>102.6</v>
      </c>
      <c r="G139" s="20">
        <v>-0.1</v>
      </c>
      <c r="H139">
        <v>2.1</v>
      </c>
      <c r="I139">
        <v>0.4</v>
      </c>
      <c r="J139" t="e">
        <v>#N/A</v>
      </c>
      <c r="K139" t="e">
        <v>#N/A</v>
      </c>
      <c r="L139" t="e">
        <v>#N/A</v>
      </c>
      <c r="N139" s="7">
        <f t="shared" si="6"/>
        <v>105</v>
      </c>
      <c r="O139" s="7">
        <f t="shared" si="7"/>
        <v>102.5</v>
      </c>
      <c r="Q139" s="9">
        <f t="shared" si="8"/>
        <v>0</v>
      </c>
    </row>
    <row r="140" spans="1:17" x14ac:dyDescent="0.25">
      <c r="A140" s="14">
        <v>41426</v>
      </c>
      <c r="B140" s="21">
        <v>101.7</v>
      </c>
      <c r="C140" s="7">
        <v>103.2</v>
      </c>
      <c r="E140" s="22">
        <v>103.2</v>
      </c>
      <c r="F140" s="21">
        <v>102.8</v>
      </c>
      <c r="G140" s="20">
        <v>0.4</v>
      </c>
      <c r="H140">
        <v>-0.2</v>
      </c>
      <c r="I140">
        <v>-1.4</v>
      </c>
      <c r="J140" t="e">
        <v>#N/A</v>
      </c>
      <c r="K140" t="e">
        <v>#N/A</v>
      </c>
      <c r="L140" t="e">
        <v>#N/A</v>
      </c>
      <c r="N140" s="7">
        <f t="shared" si="6"/>
        <v>101.6</v>
      </c>
      <c r="O140" s="7">
        <f t="shared" si="7"/>
        <v>103.2</v>
      </c>
      <c r="Q140" s="9">
        <f t="shared" si="8"/>
        <v>0</v>
      </c>
    </row>
    <row r="141" spans="1:17" x14ac:dyDescent="0.25">
      <c r="A141" s="14">
        <v>41456</v>
      </c>
      <c r="B141" s="21">
        <v>108</v>
      </c>
      <c r="C141" s="7">
        <v>102.4</v>
      </c>
      <c r="E141" s="22">
        <v>102.4</v>
      </c>
      <c r="F141" s="21">
        <v>103</v>
      </c>
      <c r="G141" s="20">
        <v>-0.6</v>
      </c>
      <c r="H141">
        <v>4.7</v>
      </c>
      <c r="I141">
        <v>1</v>
      </c>
      <c r="J141" t="e">
        <v>#N/A</v>
      </c>
      <c r="K141" t="e">
        <v>#N/A</v>
      </c>
      <c r="L141" t="e">
        <v>#N/A</v>
      </c>
      <c r="N141" s="7">
        <f t="shared" si="6"/>
        <v>108.10000000000001</v>
      </c>
      <c r="O141" s="7">
        <f t="shared" si="7"/>
        <v>102.4</v>
      </c>
      <c r="Q141" s="9">
        <f t="shared" si="8"/>
        <v>0</v>
      </c>
    </row>
    <row r="142" spans="1:17" x14ac:dyDescent="0.25">
      <c r="A142" s="14">
        <v>41487</v>
      </c>
      <c r="B142" s="21">
        <v>112</v>
      </c>
      <c r="C142" s="7">
        <v>102.9</v>
      </c>
      <c r="E142" s="22">
        <v>102.9</v>
      </c>
      <c r="F142" s="21">
        <v>103.1</v>
      </c>
      <c r="G142" s="20">
        <v>-0.1</v>
      </c>
      <c r="H142">
        <v>8.5</v>
      </c>
      <c r="I142">
        <v>0.5</v>
      </c>
      <c r="J142" t="e">
        <v>#N/A</v>
      </c>
      <c r="K142" t="e">
        <v>#N/A</v>
      </c>
      <c r="L142" t="e">
        <v>#N/A</v>
      </c>
      <c r="N142" s="7">
        <f t="shared" si="6"/>
        <v>112</v>
      </c>
      <c r="O142" s="7">
        <f t="shared" si="7"/>
        <v>103</v>
      </c>
      <c r="Q142" s="9">
        <f t="shared" si="8"/>
        <v>0</v>
      </c>
    </row>
    <row r="143" spans="1:17" x14ac:dyDescent="0.25">
      <c r="A143" s="14">
        <v>41518</v>
      </c>
      <c r="B143" s="21">
        <v>107.3</v>
      </c>
      <c r="C143" s="7">
        <v>103.5</v>
      </c>
      <c r="E143" s="22">
        <v>103.5</v>
      </c>
      <c r="F143" s="21">
        <v>103</v>
      </c>
      <c r="G143" s="20">
        <v>0.6</v>
      </c>
      <c r="H143">
        <v>4.9000000000000004</v>
      </c>
      <c r="I143">
        <v>-1.1000000000000001</v>
      </c>
      <c r="J143" t="e">
        <v>#N/A</v>
      </c>
      <c r="K143" t="e">
        <v>#N/A</v>
      </c>
      <c r="L143" t="e">
        <v>#N/A</v>
      </c>
      <c r="N143" s="7">
        <f t="shared" si="6"/>
        <v>107.4</v>
      </c>
      <c r="O143" s="7">
        <f t="shared" si="7"/>
        <v>103.6</v>
      </c>
      <c r="Q143" s="9">
        <f t="shared" si="8"/>
        <v>0</v>
      </c>
    </row>
    <row r="144" spans="1:17" x14ac:dyDescent="0.25">
      <c r="A144" s="14">
        <v>41548</v>
      </c>
      <c r="B144" s="21">
        <v>112.6</v>
      </c>
      <c r="C144" s="7">
        <v>102.5</v>
      </c>
      <c r="E144" s="22">
        <v>102.5</v>
      </c>
      <c r="F144" s="21">
        <v>102.7</v>
      </c>
      <c r="G144" s="20">
        <v>-0.3</v>
      </c>
      <c r="H144">
        <v>8.9</v>
      </c>
      <c r="I144">
        <v>1.2</v>
      </c>
      <c r="J144" t="e">
        <v>#N/A</v>
      </c>
      <c r="K144" t="e">
        <v>#N/A</v>
      </c>
      <c r="L144" t="e">
        <v>#N/A</v>
      </c>
      <c r="N144" s="7">
        <f t="shared" si="6"/>
        <v>112.50000000000001</v>
      </c>
      <c r="O144" s="7">
        <f t="shared" si="7"/>
        <v>102.4</v>
      </c>
      <c r="Q144" s="9">
        <f t="shared" si="8"/>
        <v>0</v>
      </c>
    </row>
    <row r="145" spans="1:17" x14ac:dyDescent="0.25">
      <c r="A145" s="14">
        <v>41579</v>
      </c>
      <c r="B145" s="21">
        <v>106.1</v>
      </c>
      <c r="C145" s="7">
        <v>103</v>
      </c>
      <c r="E145" s="22">
        <v>103</v>
      </c>
      <c r="F145" s="21">
        <v>102.4</v>
      </c>
      <c r="G145" s="20">
        <v>0.6</v>
      </c>
      <c r="H145">
        <v>3.2</v>
      </c>
      <c r="I145">
        <v>-0.1</v>
      </c>
      <c r="J145" t="e">
        <v>#N/A</v>
      </c>
      <c r="K145" t="e">
        <v>#N/A</v>
      </c>
      <c r="L145" t="e">
        <v>#N/A</v>
      </c>
      <c r="N145" s="7">
        <f t="shared" si="6"/>
        <v>106.10000000000001</v>
      </c>
      <c r="O145" s="7">
        <f t="shared" si="7"/>
        <v>103</v>
      </c>
      <c r="Q145" s="9">
        <f t="shared" si="8"/>
        <v>0</v>
      </c>
    </row>
    <row r="146" spans="1:17" x14ac:dyDescent="0.25">
      <c r="A146" s="14">
        <v>41609</v>
      </c>
      <c r="B146" s="21">
        <v>90.1</v>
      </c>
      <c r="C146" s="7">
        <v>99</v>
      </c>
      <c r="E146" s="22">
        <v>99</v>
      </c>
      <c r="F146" s="21">
        <v>102</v>
      </c>
      <c r="G146" s="20">
        <v>-2.9</v>
      </c>
      <c r="H146">
        <v>-8.3000000000000007</v>
      </c>
      <c r="I146">
        <v>-0.6</v>
      </c>
      <c r="J146" t="e">
        <v>#N/A</v>
      </c>
      <c r="K146" t="e">
        <v>#N/A</v>
      </c>
      <c r="L146" t="e">
        <v>#N/A</v>
      </c>
      <c r="N146" s="7">
        <f t="shared" si="6"/>
        <v>90.2</v>
      </c>
      <c r="O146" s="7">
        <f t="shared" si="7"/>
        <v>99.1</v>
      </c>
      <c r="Q146" s="9">
        <f t="shared" si="8"/>
        <v>0</v>
      </c>
    </row>
    <row r="147" spans="1:17" x14ac:dyDescent="0.25">
      <c r="A147" s="14">
        <v>41640</v>
      </c>
      <c r="B147" s="21">
        <v>92.6</v>
      </c>
      <c r="C147" s="7">
        <v>100.6</v>
      </c>
      <c r="E147" s="22">
        <v>100.6</v>
      </c>
      <c r="F147" s="21">
        <v>101.5</v>
      </c>
      <c r="G147" s="20">
        <v>-0.9</v>
      </c>
      <c r="H147">
        <v>-8.6999999999999993</v>
      </c>
      <c r="I147">
        <v>0.7</v>
      </c>
      <c r="J147" t="e">
        <v>#N/A</v>
      </c>
      <c r="K147" t="e">
        <v>#N/A</v>
      </c>
      <c r="L147" t="e">
        <v>#N/A</v>
      </c>
      <c r="N147" s="7">
        <f t="shared" si="6"/>
        <v>92.6</v>
      </c>
      <c r="O147" s="7">
        <f t="shared" si="7"/>
        <v>100.6</v>
      </c>
      <c r="Q147" s="9">
        <f t="shared" si="8"/>
        <v>0</v>
      </c>
    </row>
    <row r="148" spans="1:17" x14ac:dyDescent="0.25">
      <c r="A148" s="14">
        <v>41671</v>
      </c>
      <c r="B148" s="21">
        <v>92.3</v>
      </c>
      <c r="C148" s="7">
        <v>101.2</v>
      </c>
      <c r="E148" s="22">
        <v>101.2</v>
      </c>
      <c r="F148" s="21">
        <v>101</v>
      </c>
      <c r="G148" s="20">
        <v>0.3</v>
      </c>
      <c r="H148">
        <v>-10.6</v>
      </c>
      <c r="I148">
        <v>1.6</v>
      </c>
      <c r="J148" t="e">
        <v>#N/A</v>
      </c>
      <c r="K148" t="e">
        <v>#N/A</v>
      </c>
      <c r="L148" t="e">
        <v>#N/A</v>
      </c>
      <c r="N148" s="7">
        <f t="shared" si="6"/>
        <v>92.3</v>
      </c>
      <c r="O148" s="7">
        <f t="shared" si="7"/>
        <v>101.3</v>
      </c>
      <c r="Q148" s="9">
        <f t="shared" si="8"/>
        <v>0</v>
      </c>
    </row>
    <row r="149" spans="1:17" x14ac:dyDescent="0.25">
      <c r="A149" s="14">
        <v>41699</v>
      </c>
      <c r="B149" s="21">
        <v>97.3</v>
      </c>
      <c r="C149" s="7">
        <v>101</v>
      </c>
      <c r="E149" s="22">
        <v>101</v>
      </c>
      <c r="F149" s="21">
        <v>100.4</v>
      </c>
      <c r="G149" s="20">
        <v>0.6</v>
      </c>
      <c r="H149">
        <v>-0.9</v>
      </c>
      <c r="I149">
        <v>-2.8</v>
      </c>
      <c r="J149" t="e">
        <v>#N/A</v>
      </c>
      <c r="K149" t="e">
        <v>#N/A</v>
      </c>
      <c r="L149" t="e">
        <v>#N/A</v>
      </c>
      <c r="N149" s="7">
        <f t="shared" si="6"/>
        <v>97.3</v>
      </c>
      <c r="O149" s="7">
        <f t="shared" si="7"/>
        <v>101</v>
      </c>
      <c r="Q149" s="9">
        <f t="shared" si="8"/>
        <v>0</v>
      </c>
    </row>
    <row r="150" spans="1:17" x14ac:dyDescent="0.25">
      <c r="A150" s="14">
        <v>41730</v>
      </c>
      <c r="B150" s="21">
        <v>96</v>
      </c>
      <c r="C150" s="7">
        <v>100.2</v>
      </c>
      <c r="E150" s="22">
        <v>100.2</v>
      </c>
      <c r="F150" s="21">
        <v>99.9</v>
      </c>
      <c r="G150" s="20">
        <v>0.3</v>
      </c>
      <c r="H150">
        <v>-4.0999999999999996</v>
      </c>
      <c r="I150">
        <v>-0.1</v>
      </c>
      <c r="J150" t="e">
        <v>#N/A</v>
      </c>
      <c r="K150" t="e">
        <v>#N/A</v>
      </c>
      <c r="L150" t="e">
        <v>#N/A</v>
      </c>
      <c r="N150" s="7">
        <f t="shared" si="6"/>
        <v>96.000000000000014</v>
      </c>
      <c r="O150" s="7">
        <f t="shared" si="7"/>
        <v>100.2</v>
      </c>
      <c r="Q150" s="9">
        <f t="shared" si="8"/>
        <v>0</v>
      </c>
    </row>
    <row r="151" spans="1:17" x14ac:dyDescent="0.25">
      <c r="A151" s="14">
        <v>41760</v>
      </c>
      <c r="B151" s="21">
        <v>101.7</v>
      </c>
      <c r="C151" s="7">
        <v>98.8</v>
      </c>
      <c r="E151" s="22">
        <v>98.8</v>
      </c>
      <c r="F151" s="21">
        <v>99.4</v>
      </c>
      <c r="G151" s="20">
        <v>-0.6</v>
      </c>
      <c r="H151">
        <v>2.1</v>
      </c>
      <c r="I151">
        <v>0.8</v>
      </c>
      <c r="J151" t="e">
        <v>#N/A</v>
      </c>
      <c r="K151" t="e">
        <v>#N/A</v>
      </c>
      <c r="L151" t="e">
        <v>#N/A</v>
      </c>
      <c r="N151" s="7">
        <f t="shared" si="6"/>
        <v>101.7</v>
      </c>
      <c r="O151" s="7">
        <f t="shared" si="7"/>
        <v>98.800000000000011</v>
      </c>
      <c r="Q151" s="9">
        <f t="shared" si="8"/>
        <v>0</v>
      </c>
    </row>
    <row r="152" spans="1:17" x14ac:dyDescent="0.25">
      <c r="A152" s="14">
        <v>41791</v>
      </c>
      <c r="B152" s="21">
        <v>94.9</v>
      </c>
      <c r="C152" s="7">
        <v>96.1</v>
      </c>
      <c r="E152" s="22">
        <v>96.1</v>
      </c>
      <c r="F152" s="21">
        <v>99.1</v>
      </c>
      <c r="G152" s="20">
        <v>-3</v>
      </c>
      <c r="H152">
        <v>0.2</v>
      </c>
      <c r="I152">
        <v>-1.4</v>
      </c>
      <c r="J152" t="e">
        <v>#N/A</v>
      </c>
      <c r="K152" t="e">
        <v>#N/A</v>
      </c>
      <c r="L152" t="e">
        <v>#N/A</v>
      </c>
      <c r="N152" s="7">
        <f t="shared" si="6"/>
        <v>94.899999999999991</v>
      </c>
      <c r="O152" s="7">
        <f t="shared" si="7"/>
        <v>96.1</v>
      </c>
      <c r="Q152" s="9">
        <f t="shared" si="8"/>
        <v>0</v>
      </c>
    </row>
    <row r="153" spans="1:17" x14ac:dyDescent="0.25">
      <c r="A153" s="14">
        <v>41821</v>
      </c>
      <c r="B153" s="21">
        <v>104.4</v>
      </c>
      <c r="C153" s="7">
        <v>98.3</v>
      </c>
      <c r="E153" s="22">
        <v>98.3</v>
      </c>
      <c r="F153" s="21">
        <v>99.1</v>
      </c>
      <c r="G153" s="20">
        <v>-0.7</v>
      </c>
      <c r="H153">
        <v>4.9000000000000004</v>
      </c>
      <c r="I153">
        <v>1.2</v>
      </c>
      <c r="J153" t="e">
        <v>#N/A</v>
      </c>
      <c r="K153" t="e">
        <v>#N/A</v>
      </c>
      <c r="L153" t="e">
        <v>#N/A</v>
      </c>
      <c r="N153" s="7">
        <f t="shared" si="6"/>
        <v>104.5</v>
      </c>
      <c r="O153" s="7">
        <f t="shared" si="7"/>
        <v>98.399999999999991</v>
      </c>
      <c r="Q153" s="9">
        <f t="shared" si="8"/>
        <v>0</v>
      </c>
    </row>
    <row r="154" spans="1:17" x14ac:dyDescent="0.25">
      <c r="A154" s="14">
        <v>41852</v>
      </c>
      <c r="B154" s="21">
        <v>106.3</v>
      </c>
      <c r="C154" s="7">
        <v>99.2</v>
      </c>
      <c r="E154" s="22">
        <v>99.2</v>
      </c>
      <c r="F154" s="21">
        <v>99.1</v>
      </c>
      <c r="G154" s="20">
        <v>0.1</v>
      </c>
      <c r="H154">
        <v>8.6999999999999993</v>
      </c>
      <c r="I154">
        <v>-1.6</v>
      </c>
      <c r="J154" t="e">
        <v>#N/A</v>
      </c>
      <c r="K154" t="e">
        <v>#N/A</v>
      </c>
      <c r="L154" t="e">
        <v>#N/A</v>
      </c>
      <c r="N154" s="7">
        <f t="shared" si="6"/>
        <v>106.3</v>
      </c>
      <c r="O154" s="7">
        <f t="shared" si="7"/>
        <v>99.199999999999989</v>
      </c>
      <c r="Q154" s="9">
        <f t="shared" si="8"/>
        <v>0</v>
      </c>
    </row>
    <row r="155" spans="1:17" x14ac:dyDescent="0.25">
      <c r="A155" s="14">
        <v>41883</v>
      </c>
      <c r="B155" s="21">
        <v>105.6</v>
      </c>
      <c r="C155" s="7">
        <v>99.4</v>
      </c>
      <c r="E155" s="22">
        <v>99.4</v>
      </c>
      <c r="F155" s="21">
        <v>99.1</v>
      </c>
      <c r="G155" s="20">
        <v>0.3</v>
      </c>
      <c r="H155">
        <v>5.3</v>
      </c>
      <c r="I155">
        <v>0.9</v>
      </c>
      <c r="J155" t="e">
        <v>#N/A</v>
      </c>
      <c r="K155" t="e">
        <v>#N/A</v>
      </c>
      <c r="L155" t="e">
        <v>#N/A</v>
      </c>
      <c r="N155" s="7">
        <f t="shared" si="6"/>
        <v>105.6</v>
      </c>
      <c r="O155" s="7">
        <f t="shared" si="7"/>
        <v>99.399999999999991</v>
      </c>
      <c r="Q155" s="9">
        <f t="shared" si="8"/>
        <v>0</v>
      </c>
    </row>
    <row r="156" spans="1:17" x14ac:dyDescent="0.25">
      <c r="A156" s="14">
        <v>41913</v>
      </c>
      <c r="B156" s="21">
        <v>109.3</v>
      </c>
      <c r="C156" s="7">
        <v>99.7</v>
      </c>
      <c r="E156" s="22">
        <v>99.7</v>
      </c>
      <c r="F156" s="21">
        <v>98.9</v>
      </c>
      <c r="G156" s="20">
        <v>0.8</v>
      </c>
      <c r="H156">
        <v>8.9</v>
      </c>
      <c r="I156">
        <v>0.7</v>
      </c>
      <c r="J156" t="e">
        <v>#N/A</v>
      </c>
      <c r="K156" t="e">
        <v>#N/A</v>
      </c>
      <c r="L156" t="e">
        <v>#N/A</v>
      </c>
      <c r="N156" s="7">
        <f t="shared" si="6"/>
        <v>109.30000000000001</v>
      </c>
      <c r="O156" s="7">
        <f t="shared" si="7"/>
        <v>99.7</v>
      </c>
      <c r="Q156" s="9">
        <f t="shared" si="8"/>
        <v>0</v>
      </c>
    </row>
    <row r="157" spans="1:17" x14ac:dyDescent="0.25">
      <c r="A157" s="14">
        <v>41944</v>
      </c>
      <c r="B157" s="21">
        <v>99.8</v>
      </c>
      <c r="C157" s="7">
        <v>98.6</v>
      </c>
      <c r="E157" s="22">
        <v>98.6</v>
      </c>
      <c r="F157" s="21">
        <v>98.4</v>
      </c>
      <c r="G157" s="20">
        <v>0.2</v>
      </c>
      <c r="H157">
        <v>2.8</v>
      </c>
      <c r="I157">
        <v>-1.6</v>
      </c>
      <c r="J157" t="e">
        <v>#N/A</v>
      </c>
      <c r="K157" t="e">
        <v>#N/A</v>
      </c>
      <c r="L157" t="e">
        <v>#N/A</v>
      </c>
      <c r="N157" s="7">
        <f t="shared" si="6"/>
        <v>99.800000000000011</v>
      </c>
      <c r="O157" s="7">
        <f t="shared" si="7"/>
        <v>98.600000000000009</v>
      </c>
      <c r="Q157" s="9">
        <f t="shared" si="8"/>
        <v>0</v>
      </c>
    </row>
    <row r="158" spans="1:17" x14ac:dyDescent="0.25">
      <c r="A158" s="14">
        <v>41974</v>
      </c>
      <c r="B158" s="21">
        <v>87.7</v>
      </c>
      <c r="C158" s="7">
        <v>95.4</v>
      </c>
      <c r="E158" s="22">
        <v>95.4</v>
      </c>
      <c r="F158" s="21">
        <v>97.6</v>
      </c>
      <c r="G158" s="20">
        <v>-2.2000000000000002</v>
      </c>
      <c r="H158">
        <v>-8.6999999999999993</v>
      </c>
      <c r="I158">
        <v>1</v>
      </c>
      <c r="J158" t="e">
        <v>#N/A</v>
      </c>
      <c r="K158" t="e">
        <v>#N/A</v>
      </c>
      <c r="L158" t="e">
        <v>#N/A</v>
      </c>
      <c r="N158" s="7">
        <f t="shared" si="6"/>
        <v>87.699999999999989</v>
      </c>
      <c r="O158" s="7">
        <f t="shared" si="7"/>
        <v>95.399999999999991</v>
      </c>
      <c r="Q158" s="9">
        <f t="shared" si="8"/>
        <v>0</v>
      </c>
    </row>
    <row r="159" spans="1:17" x14ac:dyDescent="0.25">
      <c r="A159" s="14">
        <v>42005</v>
      </c>
      <c r="B159" s="21">
        <v>88.1</v>
      </c>
      <c r="C159" s="7">
        <v>96</v>
      </c>
      <c r="E159" s="22">
        <v>96</v>
      </c>
      <c r="F159" s="21">
        <v>96.6</v>
      </c>
      <c r="G159" s="20">
        <v>-0.5</v>
      </c>
      <c r="H159">
        <v>-8.5</v>
      </c>
      <c r="I159">
        <v>0.5</v>
      </c>
      <c r="J159" t="e">
        <v>#N/A</v>
      </c>
      <c r="K159" t="e">
        <v>#N/A</v>
      </c>
      <c r="L159" t="e">
        <v>#N/A</v>
      </c>
      <c r="N159" s="7">
        <f t="shared" si="6"/>
        <v>88.1</v>
      </c>
      <c r="O159" s="7">
        <f t="shared" si="7"/>
        <v>96.1</v>
      </c>
      <c r="Q159" s="9">
        <f t="shared" si="8"/>
        <v>0</v>
      </c>
    </row>
    <row r="160" spans="1:17" x14ac:dyDescent="0.25">
      <c r="A160" s="14">
        <v>42036</v>
      </c>
      <c r="B160" s="21">
        <v>83.7</v>
      </c>
      <c r="C160" s="7">
        <v>95.4</v>
      </c>
      <c r="E160" s="22">
        <v>95.4</v>
      </c>
      <c r="F160" s="21">
        <v>95.5</v>
      </c>
      <c r="G160" s="20">
        <v>0</v>
      </c>
      <c r="H160">
        <v>-10.7</v>
      </c>
      <c r="I160">
        <v>-1.1000000000000001</v>
      </c>
      <c r="J160" t="e">
        <v>#N/A</v>
      </c>
      <c r="K160" t="e">
        <v>#N/A</v>
      </c>
      <c r="L160" t="e">
        <v>#N/A</v>
      </c>
      <c r="N160" s="7">
        <f t="shared" si="6"/>
        <v>83.7</v>
      </c>
      <c r="O160" s="7">
        <f t="shared" si="7"/>
        <v>95.5</v>
      </c>
      <c r="Q160" s="9">
        <f t="shared" si="8"/>
        <v>0</v>
      </c>
    </row>
    <row r="161" spans="1:17" x14ac:dyDescent="0.25">
      <c r="A161" s="14">
        <v>42064</v>
      </c>
      <c r="B161" s="21">
        <v>94.3</v>
      </c>
      <c r="C161" s="7">
        <v>95</v>
      </c>
      <c r="E161" s="22">
        <v>95</v>
      </c>
      <c r="F161" s="21">
        <v>94.4</v>
      </c>
      <c r="G161" s="20">
        <v>0.7</v>
      </c>
      <c r="H161">
        <v>-1.3</v>
      </c>
      <c r="I161">
        <v>0.6</v>
      </c>
      <c r="J161" t="e">
        <v>#N/A</v>
      </c>
      <c r="K161" t="e">
        <v>#N/A</v>
      </c>
      <c r="L161" t="e">
        <v>#N/A</v>
      </c>
      <c r="N161" s="7">
        <f t="shared" si="6"/>
        <v>94.4</v>
      </c>
      <c r="O161" s="7">
        <f t="shared" si="7"/>
        <v>95.100000000000009</v>
      </c>
      <c r="Q161" s="9">
        <f t="shared" si="8"/>
        <v>0</v>
      </c>
    </row>
    <row r="162" spans="1:17" x14ac:dyDescent="0.25">
      <c r="A162" s="14">
        <v>42095</v>
      </c>
      <c r="B162" s="21">
        <v>88.8</v>
      </c>
      <c r="C162" s="7">
        <v>93</v>
      </c>
      <c r="E162" s="22">
        <v>93</v>
      </c>
      <c r="F162" s="21">
        <v>93.3</v>
      </c>
      <c r="G162" s="20">
        <v>-0.3</v>
      </c>
      <c r="H162">
        <v>-4.2</v>
      </c>
      <c r="I162">
        <v>0</v>
      </c>
      <c r="J162" t="e">
        <v>#N/A</v>
      </c>
      <c r="K162" t="e">
        <v>#N/A</v>
      </c>
      <c r="L162" t="e">
        <v>#N/A</v>
      </c>
      <c r="N162" s="7">
        <f t="shared" si="6"/>
        <v>88.8</v>
      </c>
      <c r="O162" s="7">
        <f t="shared" si="7"/>
        <v>93</v>
      </c>
      <c r="Q162" s="9">
        <f t="shared" si="8"/>
        <v>0</v>
      </c>
    </row>
    <row r="163" spans="1:17" x14ac:dyDescent="0.25">
      <c r="A163" s="14">
        <v>42125</v>
      </c>
      <c r="B163" s="21">
        <v>93.1</v>
      </c>
      <c r="C163" s="7">
        <v>92.2</v>
      </c>
      <c r="E163" s="22">
        <v>92.2</v>
      </c>
      <c r="F163" s="21">
        <v>92.2</v>
      </c>
      <c r="G163" s="20">
        <v>0</v>
      </c>
      <c r="H163">
        <v>2.2000000000000002</v>
      </c>
      <c r="I163">
        <v>-1.3</v>
      </c>
      <c r="J163" t="e">
        <v>#N/A</v>
      </c>
      <c r="K163" t="e">
        <v>#N/A</v>
      </c>
      <c r="L163" t="e">
        <v>#N/A</v>
      </c>
      <c r="N163" s="7">
        <f t="shared" si="6"/>
        <v>93.100000000000009</v>
      </c>
      <c r="O163" s="7">
        <f t="shared" si="7"/>
        <v>92.2</v>
      </c>
      <c r="Q163" s="9">
        <f t="shared" si="8"/>
        <v>0</v>
      </c>
    </row>
    <row r="164" spans="1:17" x14ac:dyDescent="0.25">
      <c r="A164" s="14">
        <v>42156</v>
      </c>
      <c r="B164" s="21">
        <v>92.5</v>
      </c>
      <c r="C164" s="7">
        <v>91.3</v>
      </c>
      <c r="E164" s="22">
        <v>91.3</v>
      </c>
      <c r="F164" s="21">
        <v>91.3</v>
      </c>
      <c r="G164" s="20">
        <v>0</v>
      </c>
      <c r="H164">
        <v>0.6</v>
      </c>
      <c r="I164">
        <v>0.7</v>
      </c>
      <c r="J164" t="e">
        <v>#N/A</v>
      </c>
      <c r="K164" t="e">
        <v>#N/A</v>
      </c>
      <c r="L164" t="e">
        <v>#N/A</v>
      </c>
      <c r="N164" s="7">
        <f t="shared" si="6"/>
        <v>92.6</v>
      </c>
      <c r="O164" s="7">
        <f t="shared" si="7"/>
        <v>91.3</v>
      </c>
      <c r="Q164" s="9">
        <f t="shared" si="8"/>
        <v>0</v>
      </c>
    </row>
    <row r="165" spans="1:17" x14ac:dyDescent="0.25">
      <c r="A165" s="14">
        <v>42186</v>
      </c>
      <c r="B165" s="21">
        <v>95.5</v>
      </c>
      <c r="C165" s="7">
        <v>89.5</v>
      </c>
      <c r="E165" s="22">
        <v>89.5</v>
      </c>
      <c r="F165" s="21">
        <v>90.3</v>
      </c>
      <c r="G165" s="20">
        <v>-0.8</v>
      </c>
      <c r="H165">
        <v>5.3</v>
      </c>
      <c r="I165">
        <v>0.7</v>
      </c>
      <c r="J165" t="e">
        <v>#N/A</v>
      </c>
      <c r="K165" t="e">
        <v>#N/A</v>
      </c>
      <c r="L165" t="e">
        <v>#N/A</v>
      </c>
      <c r="N165" s="7">
        <f t="shared" si="6"/>
        <v>95.5</v>
      </c>
      <c r="O165" s="7">
        <f t="shared" si="7"/>
        <v>89.5</v>
      </c>
      <c r="Q165" s="9">
        <f t="shared" si="8"/>
        <v>0</v>
      </c>
    </row>
    <row r="166" spans="1:17" x14ac:dyDescent="0.25">
      <c r="A166" s="14">
        <v>42217</v>
      </c>
      <c r="B166" s="21">
        <v>97.6</v>
      </c>
      <c r="C166" s="7">
        <v>90.3</v>
      </c>
      <c r="E166" s="22">
        <v>90.3</v>
      </c>
      <c r="F166" s="21">
        <v>89.4</v>
      </c>
      <c r="G166" s="20">
        <v>0.9</v>
      </c>
      <c r="H166">
        <v>8.6</v>
      </c>
      <c r="I166">
        <v>-1.3</v>
      </c>
      <c r="J166" t="e">
        <v>#N/A</v>
      </c>
      <c r="K166" t="e">
        <v>#N/A</v>
      </c>
      <c r="L166" t="e">
        <v>#N/A</v>
      </c>
      <c r="N166" s="7">
        <f t="shared" si="6"/>
        <v>97.600000000000009</v>
      </c>
      <c r="O166" s="7">
        <f t="shared" si="7"/>
        <v>90.300000000000011</v>
      </c>
      <c r="Q166" s="9">
        <f t="shared" si="8"/>
        <v>0</v>
      </c>
    </row>
    <row r="167" spans="1:17" x14ac:dyDescent="0.25">
      <c r="A167" s="14">
        <v>42248</v>
      </c>
      <c r="B167" s="21">
        <v>94.3</v>
      </c>
      <c r="C167" s="7">
        <v>88.2</v>
      </c>
      <c r="E167" s="22">
        <v>88.2</v>
      </c>
      <c r="F167" s="21">
        <v>88.4</v>
      </c>
      <c r="G167" s="20">
        <v>-0.2</v>
      </c>
      <c r="H167">
        <v>5.5</v>
      </c>
      <c r="I167">
        <v>0.6</v>
      </c>
      <c r="J167" t="e">
        <v>#N/A</v>
      </c>
      <c r="K167" t="e">
        <v>#N/A</v>
      </c>
      <c r="L167" t="e">
        <v>#N/A</v>
      </c>
      <c r="N167" s="7">
        <f t="shared" si="6"/>
        <v>94.3</v>
      </c>
      <c r="O167" s="7">
        <f t="shared" si="7"/>
        <v>88.2</v>
      </c>
      <c r="Q167" s="9">
        <f t="shared" si="8"/>
        <v>0</v>
      </c>
    </row>
    <row r="168" spans="1:17" x14ac:dyDescent="0.25">
      <c r="A168" s="14">
        <v>42278</v>
      </c>
      <c r="B168" s="21">
        <v>97.2</v>
      </c>
      <c r="C168" s="7">
        <v>88.1</v>
      </c>
      <c r="E168" s="22">
        <v>88.1</v>
      </c>
      <c r="F168" s="21">
        <v>87.5</v>
      </c>
      <c r="G168" s="20">
        <v>0.6</v>
      </c>
      <c r="H168">
        <v>8.6</v>
      </c>
      <c r="I168">
        <v>0.5</v>
      </c>
      <c r="J168" t="e">
        <v>#N/A</v>
      </c>
      <c r="K168" t="e">
        <v>#N/A</v>
      </c>
      <c r="L168" t="e">
        <v>#N/A</v>
      </c>
      <c r="N168" s="7">
        <f t="shared" si="6"/>
        <v>97.199999999999989</v>
      </c>
      <c r="O168" s="7">
        <f t="shared" si="7"/>
        <v>88.1</v>
      </c>
      <c r="Q168" s="9">
        <f t="shared" si="8"/>
        <v>0</v>
      </c>
    </row>
    <row r="169" spans="1:17" x14ac:dyDescent="0.25">
      <c r="A169" s="14">
        <v>42309</v>
      </c>
      <c r="B169" s="21">
        <v>87.6</v>
      </c>
      <c r="C169" s="7">
        <v>86.4</v>
      </c>
      <c r="E169" s="22">
        <v>86.4</v>
      </c>
      <c r="F169" s="21">
        <v>86.6</v>
      </c>
      <c r="G169" s="20">
        <v>-0.2</v>
      </c>
      <c r="H169">
        <v>2.2999999999999998</v>
      </c>
      <c r="I169">
        <v>-1.1000000000000001</v>
      </c>
      <c r="J169" t="e">
        <v>#N/A</v>
      </c>
      <c r="K169" t="e">
        <v>#N/A</v>
      </c>
      <c r="L169" t="e">
        <v>#N/A</v>
      </c>
      <c r="N169" s="7">
        <f t="shared" si="6"/>
        <v>87.6</v>
      </c>
      <c r="O169" s="7">
        <f t="shared" si="7"/>
        <v>86.399999999999991</v>
      </c>
      <c r="Q169" s="9">
        <f t="shared" si="8"/>
        <v>0</v>
      </c>
    </row>
    <row r="170" spans="1:17" x14ac:dyDescent="0.25">
      <c r="A170" s="14">
        <v>42339</v>
      </c>
      <c r="B170" s="21">
        <v>77.2</v>
      </c>
      <c r="C170" s="7">
        <v>84.8</v>
      </c>
      <c r="E170" s="22">
        <v>84.8</v>
      </c>
      <c r="F170" s="21">
        <v>85.9</v>
      </c>
      <c r="G170" s="20">
        <v>-1.1000000000000001</v>
      </c>
      <c r="H170">
        <v>-8.8000000000000007</v>
      </c>
      <c r="I170">
        <v>1.2</v>
      </c>
      <c r="J170" t="e">
        <v>#N/A</v>
      </c>
      <c r="K170" t="e">
        <v>#N/A</v>
      </c>
      <c r="L170" t="e">
        <v>#N/A</v>
      </c>
      <c r="N170" s="7">
        <f t="shared" si="6"/>
        <v>77.200000000000017</v>
      </c>
      <c r="O170" s="7">
        <f t="shared" si="7"/>
        <v>84.800000000000011</v>
      </c>
      <c r="Q170" s="9">
        <f t="shared" si="8"/>
        <v>0</v>
      </c>
    </row>
    <row r="171" spans="1:17" x14ac:dyDescent="0.25">
      <c r="A171" s="14">
        <v>42370</v>
      </c>
      <c r="B171" s="21">
        <v>76.3</v>
      </c>
      <c r="C171" s="7">
        <v>86.1</v>
      </c>
      <c r="E171" s="22">
        <v>86.1</v>
      </c>
      <c r="F171" s="21">
        <v>85.5</v>
      </c>
      <c r="G171" s="20">
        <v>0.6</v>
      </c>
      <c r="H171">
        <v>-8.1999999999999993</v>
      </c>
      <c r="I171">
        <v>-1.6</v>
      </c>
      <c r="J171" t="e">
        <v>#N/A</v>
      </c>
      <c r="K171" t="e">
        <v>#N/A</v>
      </c>
      <c r="L171" t="e">
        <v>#N/A</v>
      </c>
      <c r="N171" s="7">
        <f t="shared" si="6"/>
        <v>76.3</v>
      </c>
      <c r="O171" s="7">
        <f t="shared" si="7"/>
        <v>86.1</v>
      </c>
      <c r="Q171" s="9">
        <f t="shared" si="8"/>
        <v>0</v>
      </c>
    </row>
    <row r="172" spans="1:17" x14ac:dyDescent="0.25">
      <c r="A172" s="14">
        <v>42401</v>
      </c>
      <c r="B172" s="21">
        <v>75.8</v>
      </c>
      <c r="C172" s="7">
        <v>84.8</v>
      </c>
      <c r="E172" s="22">
        <v>84.9</v>
      </c>
      <c r="F172" s="21">
        <v>85.3</v>
      </c>
      <c r="G172" s="20">
        <v>-0.5</v>
      </c>
      <c r="H172">
        <v>-10.6</v>
      </c>
      <c r="I172">
        <v>1.6</v>
      </c>
      <c r="J172" t="e">
        <v>#N/A</v>
      </c>
      <c r="K172" t="e">
        <v>#N/A</v>
      </c>
      <c r="L172" t="e">
        <v>#N/A</v>
      </c>
      <c r="N172" s="7">
        <f t="shared" si="6"/>
        <v>75.8</v>
      </c>
      <c r="O172" s="7">
        <f t="shared" si="7"/>
        <v>84.8</v>
      </c>
      <c r="Q172" s="9">
        <f t="shared" si="8"/>
        <v>1.1792452830189685E-3</v>
      </c>
    </row>
    <row r="173" spans="1:17" x14ac:dyDescent="0.25">
      <c r="A173" s="14">
        <v>42430</v>
      </c>
      <c r="B173" s="21">
        <v>83.7</v>
      </c>
      <c r="C173" s="7">
        <v>85.6</v>
      </c>
      <c r="E173" s="22">
        <v>85.6</v>
      </c>
      <c r="F173" s="21">
        <v>85.4</v>
      </c>
      <c r="G173" s="20">
        <v>0.2</v>
      </c>
      <c r="H173">
        <v>-1.7</v>
      </c>
      <c r="I173">
        <v>-0.2</v>
      </c>
      <c r="J173" t="e">
        <v>#N/A</v>
      </c>
      <c r="K173" t="e">
        <v>#N/A</v>
      </c>
      <c r="L173" t="e">
        <v>#N/A</v>
      </c>
      <c r="N173" s="7">
        <f t="shared" si="6"/>
        <v>83.7</v>
      </c>
      <c r="O173" s="7">
        <f t="shared" si="7"/>
        <v>85.600000000000009</v>
      </c>
      <c r="Q173" s="9">
        <f t="shared" si="8"/>
        <v>0</v>
      </c>
    </row>
    <row r="174" spans="1:17" x14ac:dyDescent="0.25">
      <c r="A174" s="14">
        <v>42461</v>
      </c>
      <c r="B174" s="21">
        <v>83</v>
      </c>
      <c r="C174" s="7">
        <v>85.4</v>
      </c>
      <c r="E174" s="22">
        <v>85.4</v>
      </c>
      <c r="F174" s="21">
        <v>85.4</v>
      </c>
      <c r="G174" s="20">
        <v>0</v>
      </c>
      <c r="H174">
        <v>-4.2</v>
      </c>
      <c r="I174">
        <v>1.8</v>
      </c>
      <c r="J174" t="e">
        <v>#N/A</v>
      </c>
      <c r="K174" t="e">
        <v>#N/A</v>
      </c>
      <c r="L174" t="e">
        <v>#N/A</v>
      </c>
      <c r="N174" s="7">
        <f t="shared" si="6"/>
        <v>83</v>
      </c>
      <c r="O174" s="7">
        <f t="shared" si="7"/>
        <v>85.4</v>
      </c>
      <c r="Q174" s="9">
        <f t="shared" si="8"/>
        <v>0</v>
      </c>
    </row>
    <row r="175" spans="1:17" x14ac:dyDescent="0.25">
      <c r="A175" s="14">
        <v>42491</v>
      </c>
      <c r="B175" s="21">
        <v>86.3</v>
      </c>
      <c r="C175" s="7">
        <v>85.8</v>
      </c>
      <c r="E175" s="22">
        <v>85.8</v>
      </c>
      <c r="F175" s="21">
        <v>85.3</v>
      </c>
      <c r="G175" s="20">
        <v>0.5</v>
      </c>
      <c r="H175">
        <v>2.5</v>
      </c>
      <c r="I175">
        <v>-1.9</v>
      </c>
      <c r="J175" t="e">
        <v>#N/A</v>
      </c>
      <c r="K175" t="e">
        <v>#N/A</v>
      </c>
      <c r="L175" t="e">
        <v>#N/A</v>
      </c>
      <c r="N175" s="7">
        <f t="shared" si="6"/>
        <v>86.399999999999991</v>
      </c>
      <c r="O175" s="7">
        <f t="shared" si="7"/>
        <v>85.8</v>
      </c>
      <c r="Q175" s="9">
        <f t="shared" si="8"/>
        <v>0</v>
      </c>
    </row>
    <row r="176" spans="1:17" x14ac:dyDescent="0.25">
      <c r="A176" s="14">
        <v>42522</v>
      </c>
      <c r="B176" s="21">
        <v>87.7</v>
      </c>
      <c r="C176" s="7">
        <v>84.8</v>
      </c>
      <c r="E176" s="22">
        <v>84.8</v>
      </c>
      <c r="F176" s="21">
        <v>85.1</v>
      </c>
      <c r="G176" s="20">
        <v>-0.3</v>
      </c>
      <c r="H176">
        <v>0.9</v>
      </c>
      <c r="I176">
        <v>2</v>
      </c>
      <c r="J176" t="e">
        <v>#N/A</v>
      </c>
      <c r="K176" t="e">
        <v>#N/A</v>
      </c>
      <c r="L176" t="e">
        <v>#N/A</v>
      </c>
      <c r="N176" s="7">
        <f t="shared" si="6"/>
        <v>87.7</v>
      </c>
      <c r="O176" s="7">
        <f t="shared" si="7"/>
        <v>84.8</v>
      </c>
      <c r="Q176" s="9">
        <f t="shared" si="8"/>
        <v>0</v>
      </c>
    </row>
    <row r="177" spans="1:17" x14ac:dyDescent="0.25">
      <c r="A177" s="14">
        <v>42552</v>
      </c>
      <c r="B177" s="21">
        <v>89.6</v>
      </c>
      <c r="C177" s="7">
        <v>85.5</v>
      </c>
      <c r="E177" s="22">
        <v>85.5</v>
      </c>
      <c r="F177" s="21">
        <v>84.7</v>
      </c>
      <c r="G177" s="20">
        <v>0.9</v>
      </c>
      <c r="H177">
        <v>5.7</v>
      </c>
      <c r="I177">
        <v>-1.6</v>
      </c>
      <c r="J177" t="e">
        <v>#N/A</v>
      </c>
      <c r="K177" t="e">
        <v>#N/A</v>
      </c>
      <c r="L177" t="e">
        <v>#N/A</v>
      </c>
      <c r="N177" s="7">
        <f t="shared" si="6"/>
        <v>89.700000000000017</v>
      </c>
      <c r="O177" s="7">
        <f t="shared" si="7"/>
        <v>85.600000000000009</v>
      </c>
      <c r="Q177" s="9">
        <f t="shared" si="8"/>
        <v>0</v>
      </c>
    </row>
    <row r="178" spans="1:17" x14ac:dyDescent="0.25">
      <c r="A178" s="14">
        <v>42583</v>
      </c>
      <c r="B178" s="21">
        <v>93</v>
      </c>
      <c r="C178" s="7">
        <v>83.5</v>
      </c>
      <c r="E178" s="22">
        <v>83.5</v>
      </c>
      <c r="F178" s="21">
        <v>84.3</v>
      </c>
      <c r="G178" s="20">
        <v>-0.8</v>
      </c>
      <c r="H178">
        <v>8.6</v>
      </c>
      <c r="I178">
        <v>1</v>
      </c>
      <c r="J178" t="e">
        <v>#N/A</v>
      </c>
      <c r="K178" t="e">
        <v>#N/A</v>
      </c>
      <c r="L178" t="e">
        <v>#N/A</v>
      </c>
      <c r="N178" s="7">
        <f t="shared" si="6"/>
        <v>93.1</v>
      </c>
      <c r="O178" s="7">
        <f t="shared" si="7"/>
        <v>83.5</v>
      </c>
      <c r="Q178" s="9">
        <f t="shared" si="8"/>
        <v>0</v>
      </c>
    </row>
    <row r="179" spans="1:17" x14ac:dyDescent="0.25">
      <c r="A179" s="14">
        <v>42614</v>
      </c>
      <c r="B179" s="21">
        <v>90.7</v>
      </c>
      <c r="C179" s="7">
        <v>84.4</v>
      </c>
      <c r="E179" s="22">
        <v>84.4</v>
      </c>
      <c r="F179" s="21">
        <v>84.1</v>
      </c>
      <c r="G179" s="20">
        <v>0.3</v>
      </c>
      <c r="H179">
        <v>5.6</v>
      </c>
      <c r="I179">
        <v>0.7</v>
      </c>
      <c r="J179" t="e">
        <v>#N/A</v>
      </c>
      <c r="K179" t="e">
        <v>#N/A</v>
      </c>
      <c r="L179" t="e">
        <v>#N/A</v>
      </c>
      <c r="N179" s="7">
        <f t="shared" si="6"/>
        <v>90.699999999999989</v>
      </c>
      <c r="O179" s="7">
        <f t="shared" si="7"/>
        <v>84.399999999999991</v>
      </c>
      <c r="Q179" s="9">
        <f t="shared" si="8"/>
        <v>0</v>
      </c>
    </row>
    <row r="180" spans="1:17" x14ac:dyDescent="0.25">
      <c r="A180" s="14">
        <v>42644</v>
      </c>
      <c r="B180" s="21">
        <v>90.2</v>
      </c>
      <c r="C180" s="7">
        <v>83.4</v>
      </c>
      <c r="E180" s="22">
        <v>83.3</v>
      </c>
      <c r="F180" s="21">
        <v>84.2</v>
      </c>
      <c r="G180" s="20">
        <v>-0.9</v>
      </c>
      <c r="H180">
        <v>8.1</v>
      </c>
      <c r="I180">
        <v>-1.3</v>
      </c>
      <c r="J180" t="e">
        <v>#N/A</v>
      </c>
      <c r="K180" t="e">
        <v>#N/A</v>
      </c>
      <c r="L180" t="e">
        <v>#N/A</v>
      </c>
      <c r="N180" s="7">
        <f t="shared" si="6"/>
        <v>90.1</v>
      </c>
      <c r="O180" s="7">
        <f t="shared" si="7"/>
        <v>83.3</v>
      </c>
      <c r="Q180" s="9">
        <f t="shared" si="8"/>
        <v>-1.1990407673861932E-3</v>
      </c>
    </row>
    <row r="181" spans="1:17" x14ac:dyDescent="0.25">
      <c r="A181" s="14">
        <v>42675</v>
      </c>
      <c r="B181" s="21">
        <v>86.5</v>
      </c>
      <c r="C181" s="7">
        <v>84</v>
      </c>
      <c r="E181" s="22">
        <v>84</v>
      </c>
      <c r="F181" s="21">
        <v>84.6</v>
      </c>
      <c r="G181" s="20">
        <v>-0.6</v>
      </c>
      <c r="H181">
        <v>1.9</v>
      </c>
      <c r="I181">
        <v>0.6</v>
      </c>
      <c r="J181" t="e">
        <v>#N/A</v>
      </c>
      <c r="K181" t="e">
        <v>#N/A</v>
      </c>
      <c r="L181" t="e">
        <v>#N/A</v>
      </c>
      <c r="N181" s="7">
        <f t="shared" si="6"/>
        <v>86.5</v>
      </c>
      <c r="O181" s="7">
        <f t="shared" si="7"/>
        <v>84</v>
      </c>
      <c r="Q181" s="9">
        <f t="shared" si="8"/>
        <v>0</v>
      </c>
    </row>
    <row r="182" spans="1:17" x14ac:dyDescent="0.25">
      <c r="A182" s="14">
        <v>42705</v>
      </c>
      <c r="B182" s="21">
        <v>77.2</v>
      </c>
      <c r="C182" s="7">
        <v>85.5</v>
      </c>
      <c r="E182" s="22">
        <v>85.5</v>
      </c>
      <c r="F182" s="21">
        <v>85.1</v>
      </c>
      <c r="G182" s="20">
        <v>0.4</v>
      </c>
      <c r="H182">
        <v>-8.8000000000000007</v>
      </c>
      <c r="I182">
        <v>0.5</v>
      </c>
      <c r="J182" t="e">
        <v>#N/A</v>
      </c>
      <c r="K182" t="e">
        <v>#N/A</v>
      </c>
      <c r="L182" t="e">
        <v>#N/A</v>
      </c>
      <c r="N182" s="7">
        <f t="shared" si="6"/>
        <v>77.2</v>
      </c>
      <c r="O182" s="7">
        <f t="shared" si="7"/>
        <v>85.5</v>
      </c>
      <c r="Q182" s="9">
        <f t="shared" si="8"/>
        <v>0</v>
      </c>
    </row>
    <row r="183" spans="1:17" x14ac:dyDescent="0.25">
      <c r="A183" s="14">
        <v>42736</v>
      </c>
      <c r="B183" s="21">
        <v>77.900000000000006</v>
      </c>
      <c r="C183" s="7">
        <v>86.4</v>
      </c>
      <c r="E183" s="22">
        <v>86.4</v>
      </c>
      <c r="F183" s="21">
        <v>85.6</v>
      </c>
      <c r="G183" s="20">
        <v>0.8</v>
      </c>
      <c r="H183">
        <v>-7.9</v>
      </c>
      <c r="I183">
        <v>-0.6</v>
      </c>
      <c r="J183" t="e">
        <v>#N/A</v>
      </c>
      <c r="K183" t="e">
        <v>#N/A</v>
      </c>
      <c r="L183" t="e">
        <v>#N/A</v>
      </c>
      <c r="N183" s="7">
        <f t="shared" si="6"/>
        <v>77.899999999999991</v>
      </c>
      <c r="O183" s="7">
        <f t="shared" si="7"/>
        <v>86.399999999999991</v>
      </c>
      <c r="Q183" s="9">
        <f t="shared" si="8"/>
        <v>0</v>
      </c>
    </row>
    <row r="184" spans="1:17" x14ac:dyDescent="0.25">
      <c r="A184" s="14">
        <v>42767</v>
      </c>
      <c r="B184" s="21">
        <v>75.900000000000006</v>
      </c>
      <c r="C184" s="7">
        <v>87.4</v>
      </c>
      <c r="E184" s="22">
        <v>87.5</v>
      </c>
      <c r="F184" s="21">
        <v>85.9</v>
      </c>
      <c r="G184" s="20">
        <v>1.5</v>
      </c>
      <c r="H184">
        <v>-10.5</v>
      </c>
      <c r="I184">
        <v>-1.1000000000000001</v>
      </c>
      <c r="J184" t="e">
        <v>#N/A</v>
      </c>
      <c r="K184" t="e">
        <v>#N/A</v>
      </c>
      <c r="L184" t="e">
        <v>#N/A</v>
      </c>
      <c r="N184" s="7">
        <f t="shared" si="6"/>
        <v>75.800000000000011</v>
      </c>
      <c r="O184" s="7">
        <f t="shared" si="7"/>
        <v>87.4</v>
      </c>
      <c r="Q184" s="9">
        <f t="shared" si="8"/>
        <v>1.1441647597253354E-3</v>
      </c>
    </row>
    <row r="185" spans="1:17" x14ac:dyDescent="0.25">
      <c r="A185" s="14">
        <v>42795</v>
      </c>
      <c r="B185" s="21">
        <v>85.4</v>
      </c>
      <c r="C185" s="7">
        <v>85.6</v>
      </c>
      <c r="E185" s="22">
        <v>85.6</v>
      </c>
      <c r="F185" s="21">
        <v>86.1</v>
      </c>
      <c r="G185" s="20">
        <v>-0.5</v>
      </c>
      <c r="H185">
        <v>-2.1</v>
      </c>
      <c r="I185">
        <v>1.9</v>
      </c>
      <c r="J185" t="e">
        <v>#N/A</v>
      </c>
      <c r="K185" t="e">
        <v>#N/A</v>
      </c>
      <c r="L185" t="e">
        <v>#N/A</v>
      </c>
      <c r="N185" s="7">
        <f t="shared" si="6"/>
        <v>85.4</v>
      </c>
      <c r="O185" s="7">
        <f t="shared" si="7"/>
        <v>85.6</v>
      </c>
      <c r="Q185" s="9">
        <f t="shared" si="8"/>
        <v>0</v>
      </c>
    </row>
    <row r="186" spans="1:17" x14ac:dyDescent="0.25">
      <c r="A186" s="14">
        <v>42826</v>
      </c>
      <c r="B186" s="21">
        <v>79.3</v>
      </c>
      <c r="C186" s="7">
        <v>85.9</v>
      </c>
      <c r="E186" s="22">
        <v>85.9</v>
      </c>
      <c r="F186" s="21">
        <v>86.3</v>
      </c>
      <c r="G186" s="20">
        <v>-0.4</v>
      </c>
      <c r="H186">
        <v>-4.3</v>
      </c>
      <c r="I186">
        <v>-2.2999999999999998</v>
      </c>
      <c r="J186" t="e">
        <v>#N/A</v>
      </c>
      <c r="K186" t="e">
        <v>#N/A</v>
      </c>
      <c r="L186" t="e">
        <v>#N/A</v>
      </c>
      <c r="N186" s="7">
        <f t="shared" si="6"/>
        <v>79.3</v>
      </c>
      <c r="O186" s="7">
        <f t="shared" si="7"/>
        <v>85.899999999999991</v>
      </c>
      <c r="Q186" s="9">
        <f t="shared" si="8"/>
        <v>0</v>
      </c>
    </row>
    <row r="187" spans="1:17" x14ac:dyDescent="0.25">
      <c r="A187" s="14">
        <v>42856</v>
      </c>
      <c r="B187" s="21">
        <v>90.1</v>
      </c>
      <c r="C187" s="7">
        <v>86.2</v>
      </c>
      <c r="E187" s="22">
        <v>86.2</v>
      </c>
      <c r="F187" s="21">
        <v>86.4</v>
      </c>
      <c r="G187" s="20">
        <v>-0.2</v>
      </c>
      <c r="H187">
        <v>2.6</v>
      </c>
      <c r="I187">
        <v>1.2</v>
      </c>
      <c r="J187" t="e">
        <v>#N/A</v>
      </c>
      <c r="K187" t="e">
        <v>#N/A</v>
      </c>
      <c r="L187" t="e">
        <v>#N/A</v>
      </c>
      <c r="N187" s="7">
        <f t="shared" si="6"/>
        <v>90</v>
      </c>
      <c r="O187" s="7">
        <f t="shared" si="7"/>
        <v>86.2</v>
      </c>
      <c r="Q187" s="9">
        <f t="shared" si="8"/>
        <v>0</v>
      </c>
    </row>
    <row r="188" spans="1:17" x14ac:dyDescent="0.25">
      <c r="A188" s="14">
        <v>42887</v>
      </c>
      <c r="B188" s="21">
        <v>88.4</v>
      </c>
      <c r="C188" s="7">
        <v>87</v>
      </c>
      <c r="E188" s="22">
        <v>86.9</v>
      </c>
      <c r="F188" s="21">
        <v>86.6</v>
      </c>
      <c r="G188" s="20">
        <v>0.3</v>
      </c>
      <c r="H188">
        <v>1.1000000000000001</v>
      </c>
      <c r="I188">
        <v>0.4</v>
      </c>
      <c r="J188" t="e">
        <v>#N/A</v>
      </c>
      <c r="K188" t="e">
        <v>#N/A</v>
      </c>
      <c r="L188" t="e">
        <v>#N/A</v>
      </c>
      <c r="N188" s="7">
        <f t="shared" si="6"/>
        <v>88.399999999999991</v>
      </c>
      <c r="O188" s="7">
        <f t="shared" si="7"/>
        <v>86.899999999999991</v>
      </c>
      <c r="Q188" s="9">
        <f t="shared" si="8"/>
        <v>-1.1494252873562566E-3</v>
      </c>
    </row>
    <row r="189" spans="1:17" x14ac:dyDescent="0.25">
      <c r="A189" s="14">
        <v>42917</v>
      </c>
      <c r="B189" s="21">
        <v>92.1</v>
      </c>
      <c r="C189" s="7">
        <v>87.3</v>
      </c>
      <c r="E189" s="22">
        <v>87.2</v>
      </c>
      <c r="F189" s="21">
        <v>86.9</v>
      </c>
      <c r="G189" s="20">
        <v>0.3</v>
      </c>
      <c r="H189">
        <v>6.1</v>
      </c>
      <c r="I189">
        <v>-1.3</v>
      </c>
      <c r="J189" t="e">
        <v>#N/A</v>
      </c>
      <c r="K189" t="e">
        <v>#N/A</v>
      </c>
      <c r="L189" t="e">
        <v>#N/A</v>
      </c>
      <c r="N189" s="7">
        <f t="shared" si="6"/>
        <v>92</v>
      </c>
      <c r="O189" s="7">
        <f t="shared" si="7"/>
        <v>87.2</v>
      </c>
      <c r="Q189" s="9">
        <f t="shared" si="8"/>
        <v>-1.145475372279431E-3</v>
      </c>
    </row>
    <row r="190" spans="1:17" x14ac:dyDescent="0.25">
      <c r="A190" s="14">
        <v>42948</v>
      </c>
      <c r="B190" s="21">
        <v>96.7</v>
      </c>
      <c r="C190" s="7">
        <v>87</v>
      </c>
      <c r="E190" s="22">
        <v>87</v>
      </c>
      <c r="F190" s="21">
        <v>87.3</v>
      </c>
      <c r="G190" s="20">
        <v>-0.3</v>
      </c>
      <c r="H190">
        <v>8.5</v>
      </c>
      <c r="I190">
        <v>1.2</v>
      </c>
      <c r="J190" t="e">
        <v>#N/A</v>
      </c>
      <c r="K190" t="e">
        <v>#N/A</v>
      </c>
      <c r="L190" t="e">
        <v>#N/A</v>
      </c>
      <c r="N190" s="7">
        <f t="shared" si="6"/>
        <v>96.7</v>
      </c>
      <c r="O190" s="7">
        <f t="shared" si="7"/>
        <v>87</v>
      </c>
      <c r="Q190" s="9">
        <f t="shared" si="8"/>
        <v>0</v>
      </c>
    </row>
    <row r="191" spans="1:17" x14ac:dyDescent="0.25">
      <c r="A191" s="14">
        <v>42979</v>
      </c>
      <c r="B191" s="21">
        <v>93</v>
      </c>
      <c r="C191" s="7">
        <v>87.4</v>
      </c>
      <c r="E191" s="22">
        <v>87.3</v>
      </c>
      <c r="F191" s="21">
        <v>87.6</v>
      </c>
      <c r="G191" s="20">
        <v>-0.3</v>
      </c>
      <c r="H191">
        <v>5.7</v>
      </c>
      <c r="I191">
        <v>-0.1</v>
      </c>
      <c r="J191" t="e">
        <v>#N/A</v>
      </c>
      <c r="K191" t="e">
        <v>#N/A</v>
      </c>
      <c r="L191" t="e">
        <v>#N/A</v>
      </c>
      <c r="N191" s="7">
        <f t="shared" si="6"/>
        <v>92.9</v>
      </c>
      <c r="O191" s="7">
        <f t="shared" si="7"/>
        <v>87.3</v>
      </c>
      <c r="Q191" s="9">
        <f t="shared" si="8"/>
        <v>-1.144164759725498E-3</v>
      </c>
    </row>
    <row r="192" spans="1:17" x14ac:dyDescent="0.25">
      <c r="A192" s="14">
        <v>43009</v>
      </c>
      <c r="B192" s="21">
        <v>95.1</v>
      </c>
      <c r="C192" s="7">
        <v>88.1</v>
      </c>
      <c r="E192" s="22">
        <v>88</v>
      </c>
      <c r="F192" s="21">
        <v>87.9</v>
      </c>
      <c r="G192" s="20">
        <v>0.1</v>
      </c>
      <c r="H192">
        <v>7.6</v>
      </c>
      <c r="I192">
        <v>-0.6</v>
      </c>
      <c r="J192" t="e">
        <v>#N/A</v>
      </c>
      <c r="K192" t="e">
        <v>#N/A</v>
      </c>
      <c r="L192" t="e">
        <v>#N/A</v>
      </c>
      <c r="N192" s="7">
        <f t="shared" si="6"/>
        <v>95</v>
      </c>
      <c r="O192" s="7">
        <f t="shared" si="7"/>
        <v>88</v>
      </c>
      <c r="Q192" s="9">
        <f t="shared" si="8"/>
        <v>-1.1350737797956223E-3</v>
      </c>
    </row>
    <row r="193" spans="1:17" x14ac:dyDescent="0.25">
      <c r="A193" s="14">
        <v>43040</v>
      </c>
      <c r="B193" s="21">
        <v>90.6</v>
      </c>
      <c r="C193" s="7">
        <v>88.4</v>
      </c>
      <c r="E193" s="22">
        <v>88.4</v>
      </c>
      <c r="F193" s="21">
        <v>88.3</v>
      </c>
      <c r="G193" s="20">
        <v>0.1</v>
      </c>
      <c r="H193">
        <v>1.5</v>
      </c>
      <c r="I193">
        <v>0.7</v>
      </c>
      <c r="J193" t="e">
        <v>#N/A</v>
      </c>
      <c r="K193" t="e">
        <v>#N/A</v>
      </c>
      <c r="L193" t="e">
        <v>#N/A</v>
      </c>
      <c r="N193" s="7">
        <f t="shared" si="6"/>
        <v>90.6</v>
      </c>
      <c r="O193" s="7">
        <f t="shared" si="7"/>
        <v>88.399999999999991</v>
      </c>
      <c r="Q193" s="9">
        <f t="shared" si="8"/>
        <v>0</v>
      </c>
    </row>
    <row r="194" spans="1:17" x14ac:dyDescent="0.25">
      <c r="A194" s="14">
        <v>43070</v>
      </c>
      <c r="B194" s="21">
        <v>81</v>
      </c>
      <c r="C194" s="7">
        <v>91.3</v>
      </c>
      <c r="E194" s="22">
        <v>91.3</v>
      </c>
      <c r="F194" s="21">
        <v>88.6</v>
      </c>
      <c r="G194" s="20">
        <v>2.7</v>
      </c>
      <c r="H194">
        <v>-8.6999999999999993</v>
      </c>
      <c r="I194">
        <v>-1.6</v>
      </c>
      <c r="J194" t="e">
        <v>#N/A</v>
      </c>
      <c r="K194" t="e">
        <v>#N/A</v>
      </c>
      <c r="L194" t="e">
        <v>#N/A</v>
      </c>
      <c r="N194" s="7">
        <f t="shared" si="6"/>
        <v>81</v>
      </c>
      <c r="O194" s="7">
        <f t="shared" si="7"/>
        <v>91.3</v>
      </c>
      <c r="Q194" s="9">
        <f t="shared" si="8"/>
        <v>0</v>
      </c>
    </row>
    <row r="195" spans="1:17" x14ac:dyDescent="0.25">
      <c r="A195" s="14">
        <v>43101</v>
      </c>
      <c r="B195" s="21">
        <v>82.3</v>
      </c>
      <c r="C195" s="7">
        <v>88.9</v>
      </c>
      <c r="E195" s="22">
        <v>88.9</v>
      </c>
      <c r="F195" s="21">
        <v>88.9</v>
      </c>
      <c r="G195" s="20">
        <v>0</v>
      </c>
      <c r="H195">
        <v>-7.6</v>
      </c>
      <c r="I195">
        <v>1</v>
      </c>
      <c r="J195" t="e">
        <v>#N/A</v>
      </c>
      <c r="K195" t="e">
        <v>#N/A</v>
      </c>
      <c r="L195" t="e">
        <v>#N/A</v>
      </c>
      <c r="N195" s="7">
        <f t="shared" si="6"/>
        <v>82.300000000000011</v>
      </c>
      <c r="O195" s="7">
        <f t="shared" si="7"/>
        <v>88.9</v>
      </c>
      <c r="Q195" s="9">
        <f t="shared" si="8"/>
        <v>0</v>
      </c>
    </row>
    <row r="196" spans="1:17" x14ac:dyDescent="0.25">
      <c r="A196" s="14">
        <v>43132</v>
      </c>
      <c r="B196" s="21">
        <v>77.3</v>
      </c>
      <c r="C196" s="7">
        <v>88.5</v>
      </c>
      <c r="E196" s="22">
        <v>88.6</v>
      </c>
      <c r="F196" s="21">
        <v>89.3</v>
      </c>
      <c r="G196" s="20">
        <v>-0.7</v>
      </c>
      <c r="H196">
        <v>-10.199999999999999</v>
      </c>
      <c r="I196">
        <v>-1.1000000000000001</v>
      </c>
      <c r="J196" t="e">
        <v>#N/A</v>
      </c>
      <c r="K196" t="e">
        <v>#N/A</v>
      </c>
      <c r="L196" t="e">
        <v>#N/A</v>
      </c>
      <c r="N196" s="7">
        <f t="shared" ref="N196:N242" si="9">F196+G196+H196+I196</f>
        <v>77.3</v>
      </c>
      <c r="O196" s="7">
        <f t="shared" ref="O196:O242" si="10">G196+F196</f>
        <v>88.6</v>
      </c>
      <c r="Q196" s="9">
        <f t="shared" ref="Q196:Q242" si="11">(E196-C196)/C196</f>
        <v>1.1299435028247946E-3</v>
      </c>
    </row>
    <row r="197" spans="1:17" x14ac:dyDescent="0.25">
      <c r="A197" s="14">
        <v>43160</v>
      </c>
      <c r="B197" s="21">
        <v>86.2</v>
      </c>
      <c r="C197" s="7">
        <v>89.7</v>
      </c>
      <c r="E197" s="22">
        <v>89.7</v>
      </c>
      <c r="F197" s="21">
        <v>89.6</v>
      </c>
      <c r="G197" s="20">
        <v>0.1</v>
      </c>
      <c r="H197">
        <v>-2.6</v>
      </c>
      <c r="I197">
        <v>-0.9</v>
      </c>
      <c r="J197" t="e">
        <v>#N/A</v>
      </c>
      <c r="K197" t="e">
        <v>#N/A</v>
      </c>
      <c r="L197" t="e">
        <v>#N/A</v>
      </c>
      <c r="N197" s="7">
        <f t="shared" si="9"/>
        <v>86.199999999999989</v>
      </c>
      <c r="O197" s="7">
        <f t="shared" si="10"/>
        <v>89.699999999999989</v>
      </c>
      <c r="Q197" s="9">
        <f t="shared" si="11"/>
        <v>0</v>
      </c>
    </row>
    <row r="198" spans="1:17" x14ac:dyDescent="0.25">
      <c r="A198" s="14">
        <v>43191</v>
      </c>
      <c r="B198" s="21">
        <v>86.5</v>
      </c>
      <c r="C198" s="7">
        <v>90.1</v>
      </c>
      <c r="E198" s="22">
        <v>90.1</v>
      </c>
      <c r="F198" s="21">
        <v>89.9</v>
      </c>
      <c r="G198" s="20">
        <v>0.2</v>
      </c>
      <c r="H198">
        <v>-4.4000000000000004</v>
      </c>
      <c r="I198">
        <v>0.7</v>
      </c>
      <c r="J198" t="e">
        <v>#N/A</v>
      </c>
      <c r="K198" t="e">
        <v>#N/A</v>
      </c>
      <c r="L198" t="e">
        <v>#N/A</v>
      </c>
      <c r="N198" s="7">
        <f t="shared" si="9"/>
        <v>86.4</v>
      </c>
      <c r="O198" s="7">
        <f t="shared" si="10"/>
        <v>90.100000000000009</v>
      </c>
      <c r="Q198" s="9">
        <f t="shared" si="11"/>
        <v>0</v>
      </c>
    </row>
    <row r="199" spans="1:17" x14ac:dyDescent="0.25">
      <c r="A199" s="14">
        <v>43221</v>
      </c>
      <c r="B199" s="21">
        <v>84.4</v>
      </c>
      <c r="C199" s="7">
        <v>80.2</v>
      </c>
      <c r="E199" s="22">
        <v>80.2</v>
      </c>
      <c r="F199" s="21">
        <v>90</v>
      </c>
      <c r="G199" s="20">
        <v>-9.8000000000000007</v>
      </c>
      <c r="H199">
        <v>2.7</v>
      </c>
      <c r="I199">
        <v>1.5</v>
      </c>
      <c r="J199" t="e">
        <v>#N/A</v>
      </c>
      <c r="K199" t="e">
        <v>#N/A</v>
      </c>
      <c r="L199" t="e">
        <v>#N/A</v>
      </c>
      <c r="N199" s="7">
        <f t="shared" si="9"/>
        <v>84.4</v>
      </c>
      <c r="O199" s="7">
        <f t="shared" si="10"/>
        <v>80.2</v>
      </c>
      <c r="Q199" s="9">
        <f t="shared" si="11"/>
        <v>0</v>
      </c>
    </row>
    <row r="200" spans="1:17" x14ac:dyDescent="0.25">
      <c r="A200" s="14">
        <v>43252</v>
      </c>
      <c r="B200" s="21">
        <v>91.1</v>
      </c>
      <c r="C200" s="7">
        <v>90.3</v>
      </c>
      <c r="E200" s="22">
        <v>90.3</v>
      </c>
      <c r="F200" s="21">
        <v>89.9</v>
      </c>
      <c r="G200" s="20">
        <v>0.3</v>
      </c>
      <c r="H200">
        <v>1.2</v>
      </c>
      <c r="I200">
        <v>-0.3</v>
      </c>
      <c r="J200" t="e">
        <v>#N/A</v>
      </c>
      <c r="K200" t="e">
        <v>#N/A</v>
      </c>
      <c r="L200" t="e">
        <v>#N/A</v>
      </c>
      <c r="N200" s="7">
        <f t="shared" si="9"/>
        <v>91.100000000000009</v>
      </c>
      <c r="O200" s="7">
        <f t="shared" si="10"/>
        <v>90.2</v>
      </c>
      <c r="Q200" s="9">
        <f t="shared" si="11"/>
        <v>0</v>
      </c>
    </row>
    <row r="201" spans="1:17" x14ac:dyDescent="0.25">
      <c r="A201" s="14">
        <v>43282</v>
      </c>
      <c r="B201" s="21">
        <v>95.8</v>
      </c>
      <c r="C201" s="7">
        <v>90.1</v>
      </c>
      <c r="E201" s="22">
        <v>90</v>
      </c>
      <c r="F201" s="21">
        <v>89.6</v>
      </c>
      <c r="G201" s="20">
        <v>0.4</v>
      </c>
      <c r="H201">
        <v>6.4</v>
      </c>
      <c r="I201">
        <v>-0.6</v>
      </c>
      <c r="J201" t="e">
        <v>#N/A</v>
      </c>
      <c r="K201" t="e">
        <v>#N/A</v>
      </c>
      <c r="L201" t="e">
        <v>#N/A</v>
      </c>
      <c r="N201" s="7">
        <f t="shared" si="9"/>
        <v>95.800000000000011</v>
      </c>
      <c r="O201" s="7">
        <f t="shared" si="10"/>
        <v>90</v>
      </c>
      <c r="Q201" s="9">
        <f t="shared" si="11"/>
        <v>-1.1098779134294597E-3</v>
      </c>
    </row>
    <row r="202" spans="1:17" x14ac:dyDescent="0.25">
      <c r="A202" s="14">
        <v>43313</v>
      </c>
      <c r="B202" s="21">
        <v>98.2</v>
      </c>
      <c r="C202" s="7">
        <v>88.9</v>
      </c>
      <c r="E202" s="22">
        <v>88.9</v>
      </c>
      <c r="F202" s="21">
        <v>89</v>
      </c>
      <c r="G202" s="20">
        <v>-0.2</v>
      </c>
      <c r="H202">
        <v>8.6</v>
      </c>
      <c r="I202">
        <v>0.7</v>
      </c>
      <c r="J202" t="e">
        <v>#N/A</v>
      </c>
      <c r="K202" t="e">
        <v>#N/A</v>
      </c>
      <c r="L202" t="e">
        <v>#N/A</v>
      </c>
      <c r="N202" s="7">
        <f t="shared" si="9"/>
        <v>98.1</v>
      </c>
      <c r="O202" s="7">
        <f t="shared" si="10"/>
        <v>88.8</v>
      </c>
      <c r="Q202" s="9">
        <f t="shared" si="11"/>
        <v>0</v>
      </c>
    </row>
    <row r="203" spans="1:17" x14ac:dyDescent="0.25">
      <c r="A203" s="14">
        <v>43344</v>
      </c>
      <c r="B203" s="21">
        <v>90.7</v>
      </c>
      <c r="C203" s="7">
        <v>86.5</v>
      </c>
      <c r="E203" s="22">
        <v>86.4</v>
      </c>
      <c r="F203" s="21">
        <v>88.5</v>
      </c>
      <c r="G203" s="20">
        <v>-2</v>
      </c>
      <c r="H203">
        <v>5.9</v>
      </c>
      <c r="I203">
        <v>-1.6</v>
      </c>
      <c r="J203" t="e">
        <v>#N/A</v>
      </c>
      <c r="K203" t="e">
        <v>#N/A</v>
      </c>
      <c r="L203" t="e">
        <v>#N/A</v>
      </c>
      <c r="N203" s="7">
        <f t="shared" si="9"/>
        <v>90.800000000000011</v>
      </c>
      <c r="O203" s="7">
        <f t="shared" si="10"/>
        <v>86.5</v>
      </c>
      <c r="Q203" s="9">
        <f t="shared" si="11"/>
        <v>-1.1560693641617841E-3</v>
      </c>
    </row>
    <row r="204" spans="1:17" x14ac:dyDescent="0.25">
      <c r="A204" s="14">
        <v>43374</v>
      </c>
      <c r="B204" s="21">
        <v>95.8</v>
      </c>
      <c r="C204" s="7">
        <v>87.5</v>
      </c>
      <c r="E204" s="22">
        <v>87.5</v>
      </c>
      <c r="F204" s="21">
        <v>88</v>
      </c>
      <c r="G204" s="20">
        <v>-0.4</v>
      </c>
      <c r="H204">
        <v>7.3</v>
      </c>
      <c r="I204">
        <v>1</v>
      </c>
      <c r="J204" t="e">
        <v>#N/A</v>
      </c>
      <c r="K204" t="e">
        <v>#N/A</v>
      </c>
      <c r="L204" t="e">
        <v>#N/A</v>
      </c>
      <c r="N204" s="7">
        <f t="shared" si="9"/>
        <v>95.899999999999991</v>
      </c>
      <c r="O204" s="7">
        <f t="shared" si="10"/>
        <v>87.6</v>
      </c>
      <c r="Q204" s="9">
        <f t="shared" si="11"/>
        <v>0</v>
      </c>
    </row>
    <row r="205" spans="1:17" x14ac:dyDescent="0.25">
      <c r="A205" s="14">
        <v>43405</v>
      </c>
      <c r="B205" s="21">
        <v>89.5</v>
      </c>
      <c r="C205" s="7">
        <v>87.5</v>
      </c>
      <c r="E205" s="22">
        <v>87.5</v>
      </c>
      <c r="F205" s="21">
        <v>87.6</v>
      </c>
      <c r="G205" s="20">
        <v>-0.1</v>
      </c>
      <c r="H205">
        <v>1.3</v>
      </c>
      <c r="I205">
        <v>0.7</v>
      </c>
      <c r="J205" t="e">
        <v>#N/A</v>
      </c>
      <c r="K205" t="e">
        <v>#N/A</v>
      </c>
      <c r="L205" t="e">
        <v>#N/A</v>
      </c>
      <c r="N205" s="7">
        <f t="shared" si="9"/>
        <v>89.5</v>
      </c>
      <c r="O205" s="7">
        <f t="shared" si="10"/>
        <v>87.5</v>
      </c>
      <c r="Q205" s="9">
        <f t="shared" si="11"/>
        <v>0</v>
      </c>
    </row>
    <row r="206" spans="1:17" x14ac:dyDescent="0.25">
      <c r="A206" s="14">
        <v>43435</v>
      </c>
      <c r="B206" s="21">
        <v>78</v>
      </c>
      <c r="C206" s="7">
        <v>87.8</v>
      </c>
      <c r="E206" s="22">
        <v>87.9</v>
      </c>
      <c r="F206" s="21">
        <v>87.4</v>
      </c>
      <c r="G206" s="20">
        <v>0.5</v>
      </c>
      <c r="H206">
        <v>-8.6</v>
      </c>
      <c r="I206">
        <v>-1.3</v>
      </c>
      <c r="J206" t="e">
        <v>#N/A</v>
      </c>
      <c r="K206" t="e">
        <v>#N/A</v>
      </c>
      <c r="L206" t="e">
        <v>#N/A</v>
      </c>
      <c r="N206" s="7">
        <f t="shared" si="9"/>
        <v>78.000000000000014</v>
      </c>
      <c r="O206" s="7">
        <f t="shared" si="10"/>
        <v>87.9</v>
      </c>
      <c r="Q206" s="9">
        <f t="shared" si="11"/>
        <v>1.1389521640092087E-3</v>
      </c>
    </row>
    <row r="207" spans="1:17" x14ac:dyDescent="0.25">
      <c r="A207" s="14">
        <v>43466</v>
      </c>
      <c r="B207" s="21">
        <v>80.7</v>
      </c>
      <c r="C207" s="7">
        <v>86.8</v>
      </c>
      <c r="E207" s="22">
        <v>86.9</v>
      </c>
      <c r="F207" s="21">
        <v>87.4</v>
      </c>
      <c r="G207" s="20">
        <v>-0.5</v>
      </c>
      <c r="H207">
        <v>-7.4</v>
      </c>
      <c r="I207">
        <v>1.2</v>
      </c>
      <c r="J207" t="e">
        <v>#N/A</v>
      </c>
      <c r="K207" t="e">
        <v>#N/A</v>
      </c>
      <c r="L207" t="e">
        <v>#N/A</v>
      </c>
      <c r="N207" s="7">
        <f t="shared" si="9"/>
        <v>80.7</v>
      </c>
      <c r="O207" s="7">
        <f t="shared" si="10"/>
        <v>86.9</v>
      </c>
      <c r="Q207" s="9">
        <f t="shared" si="11"/>
        <v>1.1520737327189922E-3</v>
      </c>
    </row>
    <row r="208" spans="1:17" x14ac:dyDescent="0.25">
      <c r="A208" s="14">
        <v>43497</v>
      </c>
      <c r="B208" s="21">
        <v>79.099999999999994</v>
      </c>
      <c r="C208" s="7">
        <v>87.3</v>
      </c>
      <c r="E208" s="22">
        <v>87.4</v>
      </c>
      <c r="F208" s="21">
        <v>87.4</v>
      </c>
      <c r="G208" s="20">
        <v>0.1</v>
      </c>
      <c r="H208">
        <v>-10</v>
      </c>
      <c r="I208">
        <v>1.6</v>
      </c>
      <c r="J208" t="e">
        <v>#N/A</v>
      </c>
      <c r="K208" t="e">
        <v>#N/A</v>
      </c>
      <c r="L208" t="e">
        <v>#N/A</v>
      </c>
      <c r="N208" s="7">
        <f t="shared" si="9"/>
        <v>79.099999999999994</v>
      </c>
      <c r="O208" s="7">
        <f t="shared" si="10"/>
        <v>87.5</v>
      </c>
      <c r="Q208" s="9">
        <f t="shared" si="11"/>
        <v>1.1454753722795936E-3</v>
      </c>
    </row>
    <row r="209" spans="1:17" x14ac:dyDescent="0.25">
      <c r="A209" s="14">
        <v>43525</v>
      </c>
      <c r="B209" s="21">
        <v>81</v>
      </c>
      <c r="C209" s="7">
        <v>87.1</v>
      </c>
      <c r="E209" s="22">
        <v>87.2</v>
      </c>
      <c r="F209" s="21">
        <v>87.3</v>
      </c>
      <c r="G209" s="20">
        <v>-0.1</v>
      </c>
      <c r="H209">
        <v>-3.1</v>
      </c>
      <c r="I209">
        <v>-3.1</v>
      </c>
      <c r="J209" t="e">
        <v>#N/A</v>
      </c>
      <c r="K209" t="e">
        <v>#N/A</v>
      </c>
      <c r="L209" t="e">
        <v>#N/A</v>
      </c>
      <c r="N209" s="7">
        <f t="shared" si="9"/>
        <v>81.000000000000014</v>
      </c>
      <c r="O209" s="7">
        <f t="shared" si="10"/>
        <v>87.2</v>
      </c>
      <c r="Q209" s="9">
        <f t="shared" si="11"/>
        <v>1.1481056257176641E-3</v>
      </c>
    </row>
    <row r="210" spans="1:17" x14ac:dyDescent="0.25">
      <c r="A210" s="14">
        <v>43556</v>
      </c>
      <c r="B210" s="21">
        <v>83.3</v>
      </c>
      <c r="C210" s="7">
        <v>87.5</v>
      </c>
      <c r="E210" s="22">
        <v>87.6</v>
      </c>
      <c r="F210" s="21">
        <v>87.2</v>
      </c>
      <c r="G210" s="20">
        <v>0.4</v>
      </c>
      <c r="H210">
        <v>-4.5</v>
      </c>
      <c r="I210">
        <v>0.2</v>
      </c>
      <c r="J210" t="e">
        <v>#N/A</v>
      </c>
      <c r="K210" t="e">
        <v>#N/A</v>
      </c>
      <c r="L210" t="e">
        <v>#N/A</v>
      </c>
      <c r="N210" s="7">
        <f t="shared" si="9"/>
        <v>83.300000000000011</v>
      </c>
      <c r="O210" s="7">
        <f t="shared" si="10"/>
        <v>87.600000000000009</v>
      </c>
      <c r="Q210" s="9">
        <f t="shared" si="11"/>
        <v>1.1428571428570779E-3</v>
      </c>
    </row>
    <row r="211" spans="1:17" x14ac:dyDescent="0.25">
      <c r="A211" s="14">
        <v>43586</v>
      </c>
      <c r="B211" s="21">
        <v>91</v>
      </c>
      <c r="C211" s="7">
        <v>87.4</v>
      </c>
      <c r="E211" s="22">
        <v>87.4</v>
      </c>
      <c r="F211" s="21">
        <v>87</v>
      </c>
      <c r="G211" s="20">
        <v>0.4</v>
      </c>
      <c r="H211">
        <v>2.6</v>
      </c>
      <c r="I211">
        <v>1</v>
      </c>
      <c r="J211" t="e">
        <v>#N/A</v>
      </c>
      <c r="K211" t="e">
        <v>#N/A</v>
      </c>
      <c r="L211" t="e">
        <v>#N/A</v>
      </c>
      <c r="N211" s="7">
        <f t="shared" si="9"/>
        <v>91</v>
      </c>
      <c r="O211" s="7">
        <f t="shared" si="10"/>
        <v>87.4</v>
      </c>
      <c r="Q211" s="9">
        <f t="shared" si="11"/>
        <v>0</v>
      </c>
    </row>
    <row r="212" spans="1:17" x14ac:dyDescent="0.25">
      <c r="A212" s="14">
        <v>43617</v>
      </c>
      <c r="B212" s="21">
        <v>85.8</v>
      </c>
      <c r="C212" s="7">
        <v>86.6</v>
      </c>
      <c r="E212" s="22">
        <v>86.5</v>
      </c>
      <c r="F212" s="21">
        <v>86.8</v>
      </c>
      <c r="G212" s="20">
        <v>-0.3</v>
      </c>
      <c r="H212">
        <v>1.2</v>
      </c>
      <c r="I212">
        <v>-1.9</v>
      </c>
      <c r="J212" t="e">
        <v>#N/A</v>
      </c>
      <c r="K212" t="e">
        <v>#N/A</v>
      </c>
      <c r="L212" t="e">
        <v>#N/A</v>
      </c>
      <c r="N212" s="7">
        <f t="shared" si="9"/>
        <v>85.8</v>
      </c>
      <c r="O212" s="7">
        <f t="shared" si="10"/>
        <v>86.5</v>
      </c>
      <c r="Q212" s="9">
        <f t="shared" si="11"/>
        <v>-1.1547344110853848E-3</v>
      </c>
    </row>
    <row r="213" spans="1:17" x14ac:dyDescent="0.25">
      <c r="A213" s="14">
        <v>43647</v>
      </c>
      <c r="B213" s="21">
        <v>93.4</v>
      </c>
      <c r="C213" s="7">
        <v>86</v>
      </c>
      <c r="E213" s="22">
        <v>85.9</v>
      </c>
      <c r="F213" s="21">
        <v>86.7</v>
      </c>
      <c r="G213" s="20">
        <v>-0.8</v>
      </c>
      <c r="H213">
        <v>6.5</v>
      </c>
      <c r="I213">
        <v>1</v>
      </c>
      <c r="J213" t="e">
        <v>#N/A</v>
      </c>
      <c r="K213" t="e">
        <v>#N/A</v>
      </c>
      <c r="L213" t="e">
        <v>#N/A</v>
      </c>
      <c r="N213" s="7">
        <f t="shared" si="9"/>
        <v>93.4</v>
      </c>
      <c r="O213" s="7">
        <f t="shared" si="10"/>
        <v>85.9</v>
      </c>
      <c r="Q213" s="9">
        <f t="shared" si="11"/>
        <v>-1.1627906976743525E-3</v>
      </c>
    </row>
    <row r="214" spans="1:17" x14ac:dyDescent="0.25">
      <c r="A214" s="14">
        <v>43678</v>
      </c>
      <c r="B214" s="21">
        <v>96.2</v>
      </c>
      <c r="C214" s="7">
        <v>87</v>
      </c>
      <c r="E214" s="22">
        <v>86.9</v>
      </c>
      <c r="F214" s="21">
        <v>86.6</v>
      </c>
      <c r="G214" s="20">
        <v>0.4</v>
      </c>
      <c r="H214">
        <v>8.6999999999999993</v>
      </c>
      <c r="I214">
        <v>0.5</v>
      </c>
      <c r="J214" t="e">
        <v>#N/A</v>
      </c>
      <c r="K214" t="e">
        <v>#N/A</v>
      </c>
      <c r="L214" t="e">
        <v>#N/A</v>
      </c>
      <c r="N214" s="7">
        <f t="shared" si="9"/>
        <v>96.2</v>
      </c>
      <c r="O214" s="7">
        <f t="shared" si="10"/>
        <v>87</v>
      </c>
      <c r="Q214" s="9">
        <f t="shared" si="11"/>
        <v>-1.1494252873562566E-3</v>
      </c>
    </row>
    <row r="215" spans="1:17" x14ac:dyDescent="0.25">
      <c r="A215" s="14">
        <v>43709</v>
      </c>
      <c r="B215" s="21">
        <v>91.8</v>
      </c>
      <c r="C215" s="7">
        <v>86.9</v>
      </c>
      <c r="E215" s="22">
        <v>86.8</v>
      </c>
      <c r="F215" s="21">
        <v>86.5</v>
      </c>
      <c r="G215" s="20">
        <v>0.3</v>
      </c>
      <c r="H215">
        <v>6.1</v>
      </c>
      <c r="I215">
        <v>-1.1000000000000001</v>
      </c>
      <c r="J215" t="e">
        <v>#N/A</v>
      </c>
      <c r="K215" t="e">
        <v>#N/A</v>
      </c>
      <c r="L215" t="e">
        <v>#N/A</v>
      </c>
      <c r="N215" s="7">
        <f t="shared" si="9"/>
        <v>91.8</v>
      </c>
      <c r="O215" s="7">
        <f t="shared" si="10"/>
        <v>86.8</v>
      </c>
      <c r="Q215" s="9">
        <f t="shared" si="11"/>
        <v>-1.1507479861911222E-3</v>
      </c>
    </row>
    <row r="216" spans="1:17" x14ac:dyDescent="0.25">
      <c r="A216" s="14">
        <v>43739</v>
      </c>
      <c r="B216" s="21">
        <v>97</v>
      </c>
      <c r="C216" s="7">
        <v>88.7</v>
      </c>
      <c r="E216" s="22">
        <v>88.7</v>
      </c>
      <c r="F216" s="21">
        <v>86.5</v>
      </c>
      <c r="G216" s="20">
        <v>2.2000000000000002</v>
      </c>
      <c r="H216">
        <v>7.1</v>
      </c>
      <c r="I216">
        <v>1.2</v>
      </c>
      <c r="J216" t="e">
        <v>#N/A</v>
      </c>
      <c r="K216" t="e">
        <v>#N/A</v>
      </c>
      <c r="L216" t="e">
        <v>#N/A</v>
      </c>
      <c r="N216" s="7">
        <f t="shared" si="9"/>
        <v>97</v>
      </c>
      <c r="O216" s="7">
        <f t="shared" si="10"/>
        <v>88.7</v>
      </c>
      <c r="Q216" s="9">
        <f t="shared" si="11"/>
        <v>0</v>
      </c>
    </row>
    <row r="217" spans="1:17" x14ac:dyDescent="0.25">
      <c r="A217" s="14">
        <v>43770</v>
      </c>
      <c r="B217" s="21">
        <v>88</v>
      </c>
      <c r="C217" s="7">
        <v>86.9</v>
      </c>
      <c r="E217" s="22">
        <v>86.9</v>
      </c>
      <c r="F217" s="21">
        <v>86.5</v>
      </c>
      <c r="G217" s="20">
        <v>0.3</v>
      </c>
      <c r="H217">
        <v>1.2</v>
      </c>
      <c r="I217">
        <v>-0.1</v>
      </c>
      <c r="J217" t="e">
        <v>#N/A</v>
      </c>
      <c r="K217" t="e">
        <v>#N/A</v>
      </c>
      <c r="L217" t="e">
        <v>#N/A</v>
      </c>
      <c r="N217" s="7">
        <f t="shared" si="9"/>
        <v>87.9</v>
      </c>
      <c r="O217" s="7">
        <f t="shared" si="10"/>
        <v>86.8</v>
      </c>
      <c r="Q217" s="9">
        <f t="shared" si="11"/>
        <v>0</v>
      </c>
    </row>
    <row r="218" spans="1:17" x14ac:dyDescent="0.25">
      <c r="A218" s="14">
        <v>43800</v>
      </c>
      <c r="B218" s="21">
        <v>76.900000000000006</v>
      </c>
      <c r="C218" s="7">
        <v>85.8</v>
      </c>
      <c r="E218" s="22">
        <v>86</v>
      </c>
      <c r="F218" s="21">
        <v>86.6</v>
      </c>
      <c r="G218" s="20">
        <v>-0.6</v>
      </c>
      <c r="H218">
        <v>-8.5</v>
      </c>
      <c r="I218">
        <v>-0.6</v>
      </c>
      <c r="J218" t="e">
        <v>#N/A</v>
      </c>
      <c r="K218" t="e">
        <v>#N/A</v>
      </c>
      <c r="L218" t="e">
        <v>#N/A</v>
      </c>
      <c r="N218" s="7">
        <f t="shared" si="9"/>
        <v>76.900000000000006</v>
      </c>
      <c r="O218" s="7">
        <f t="shared" si="10"/>
        <v>86</v>
      </c>
      <c r="Q218" s="9">
        <f t="shared" si="11"/>
        <v>2.3310023310023644E-3</v>
      </c>
    </row>
    <row r="219" spans="1:17" x14ac:dyDescent="0.25">
      <c r="A219" s="14">
        <v>43831</v>
      </c>
      <c r="B219" s="21">
        <v>80</v>
      </c>
      <c r="C219" s="7">
        <v>86.4</v>
      </c>
      <c r="E219" s="22">
        <v>86.5</v>
      </c>
      <c r="F219" s="21">
        <v>86.8</v>
      </c>
      <c r="G219" s="20">
        <v>-0.3</v>
      </c>
      <c r="H219">
        <v>-7.2</v>
      </c>
      <c r="I219">
        <v>0.7</v>
      </c>
      <c r="J219" t="e">
        <v>#N/A</v>
      </c>
      <c r="K219" t="e">
        <v>#N/A</v>
      </c>
      <c r="L219" t="e">
        <v>#N/A</v>
      </c>
      <c r="N219" s="7">
        <f t="shared" si="9"/>
        <v>80</v>
      </c>
      <c r="O219" s="7">
        <f t="shared" si="10"/>
        <v>86.5</v>
      </c>
      <c r="Q219" s="9">
        <f t="shared" si="11"/>
        <v>1.1574074074073416E-3</v>
      </c>
    </row>
    <row r="220" spans="1:17" x14ac:dyDescent="0.25">
      <c r="A220" s="14">
        <v>43862</v>
      </c>
      <c r="B220" s="21">
        <v>78.900000000000006</v>
      </c>
      <c r="C220" s="7">
        <v>87.4</v>
      </c>
      <c r="E220" s="22">
        <v>87.5</v>
      </c>
      <c r="F220" s="21">
        <v>87.2</v>
      </c>
      <c r="G220" s="20">
        <v>0.4</v>
      </c>
      <c r="H220">
        <v>-9.6999999999999993</v>
      </c>
      <c r="I220">
        <v>1.1000000000000001</v>
      </c>
      <c r="J220" t="e">
        <v>#N/A</v>
      </c>
      <c r="K220" t="e">
        <v>#N/A</v>
      </c>
      <c r="L220" t="e">
        <v>#N/A</v>
      </c>
      <c r="N220" s="7">
        <f t="shared" si="9"/>
        <v>79</v>
      </c>
      <c r="O220" s="7">
        <f t="shared" si="10"/>
        <v>87.600000000000009</v>
      </c>
      <c r="Q220" s="9">
        <f t="shared" si="11"/>
        <v>1.1441647597253354E-3</v>
      </c>
    </row>
    <row r="221" spans="1:17" x14ac:dyDescent="0.25">
      <c r="A221" s="14">
        <v>43891</v>
      </c>
      <c r="B221" s="21">
        <v>77.900000000000006</v>
      </c>
      <c r="C221" s="7">
        <v>80.7</v>
      </c>
      <c r="E221" s="22">
        <v>80.7</v>
      </c>
      <c r="F221" s="21">
        <v>87.7</v>
      </c>
      <c r="G221" s="20">
        <v>-7</v>
      </c>
      <c r="H221">
        <v>-3.4</v>
      </c>
      <c r="I221">
        <v>0.6</v>
      </c>
      <c r="J221" t="e">
        <v>#N/A</v>
      </c>
      <c r="K221" t="e">
        <v>#N/A</v>
      </c>
      <c r="L221" t="e">
        <v>#N/A</v>
      </c>
      <c r="N221" s="7">
        <f t="shared" si="9"/>
        <v>77.899999999999991</v>
      </c>
      <c r="O221" s="7">
        <f t="shared" si="10"/>
        <v>80.7</v>
      </c>
      <c r="Q221" s="9">
        <f t="shared" si="11"/>
        <v>0</v>
      </c>
    </row>
    <row r="222" spans="1:17" x14ac:dyDescent="0.25">
      <c r="A222" s="14">
        <v>43922</v>
      </c>
      <c r="B222" s="21">
        <v>60.3</v>
      </c>
      <c r="C222" s="7">
        <v>64.900000000000006</v>
      </c>
      <c r="E222" s="22">
        <v>65</v>
      </c>
      <c r="F222" s="21">
        <v>88.4</v>
      </c>
      <c r="G222" s="20">
        <v>-23.5</v>
      </c>
      <c r="H222">
        <v>-4.7</v>
      </c>
      <c r="I222">
        <v>0</v>
      </c>
      <c r="J222" t="e">
        <v>#N/A</v>
      </c>
      <c r="K222" t="e">
        <v>#N/A</v>
      </c>
      <c r="L222" t="e">
        <v>#N/A</v>
      </c>
      <c r="N222" s="7">
        <f t="shared" si="9"/>
        <v>60.2</v>
      </c>
      <c r="O222" s="7">
        <f t="shared" si="10"/>
        <v>64.900000000000006</v>
      </c>
      <c r="Q222" s="9">
        <f t="shared" si="11"/>
        <v>1.5408320493065378E-3</v>
      </c>
    </row>
    <row r="223" spans="1:17" x14ac:dyDescent="0.25">
      <c r="A223" s="14">
        <v>43952</v>
      </c>
      <c r="B223" s="21">
        <v>71.2</v>
      </c>
      <c r="C223" s="7">
        <v>70.099999999999994</v>
      </c>
      <c r="E223" s="22">
        <v>70.099999999999994</v>
      </c>
      <c r="F223" s="21">
        <v>89.3</v>
      </c>
      <c r="G223" s="20">
        <v>-19.2</v>
      </c>
      <c r="H223">
        <v>2.5</v>
      </c>
      <c r="I223">
        <v>-1.3</v>
      </c>
      <c r="J223" t="e">
        <v>#N/A</v>
      </c>
      <c r="K223" t="e">
        <v>#N/A</v>
      </c>
      <c r="L223" t="e">
        <v>#N/A</v>
      </c>
      <c r="N223" s="7">
        <f t="shared" si="9"/>
        <v>71.3</v>
      </c>
      <c r="O223" s="7">
        <f t="shared" si="10"/>
        <v>70.099999999999994</v>
      </c>
      <c r="Q223" s="9">
        <f t="shared" si="11"/>
        <v>0</v>
      </c>
    </row>
    <row r="224" spans="1:17" x14ac:dyDescent="0.25">
      <c r="A224" s="14">
        <v>43983</v>
      </c>
      <c r="B224" s="21">
        <v>78.400000000000006</v>
      </c>
      <c r="C224" s="7">
        <v>76.8</v>
      </c>
      <c r="E224" s="22">
        <v>76.599999999999994</v>
      </c>
      <c r="F224" s="21">
        <v>90.2</v>
      </c>
      <c r="G224" s="20">
        <v>-13.7</v>
      </c>
      <c r="H224">
        <v>1.2</v>
      </c>
      <c r="I224">
        <v>0.7</v>
      </c>
      <c r="J224" t="e">
        <v>#N/A</v>
      </c>
      <c r="K224" t="e">
        <v>#N/A</v>
      </c>
      <c r="L224" t="e">
        <v>#N/A</v>
      </c>
      <c r="N224" s="7">
        <f t="shared" si="9"/>
        <v>78.400000000000006</v>
      </c>
      <c r="O224" s="7">
        <f t="shared" si="10"/>
        <v>76.5</v>
      </c>
      <c r="Q224" s="9">
        <f t="shared" si="11"/>
        <v>-2.6041666666667038E-3</v>
      </c>
    </row>
    <row r="225" spans="1:17" x14ac:dyDescent="0.25">
      <c r="A225" s="14">
        <v>44013</v>
      </c>
      <c r="B225" s="21">
        <v>91</v>
      </c>
      <c r="C225" s="7">
        <v>83.9</v>
      </c>
      <c r="E225" s="22">
        <v>83.8</v>
      </c>
      <c r="F225" s="21">
        <v>91.1</v>
      </c>
      <c r="G225" s="20">
        <v>-7.3</v>
      </c>
      <c r="H225">
        <v>6.5</v>
      </c>
      <c r="I225">
        <v>0.7</v>
      </c>
      <c r="J225" t="e">
        <v>#N/A</v>
      </c>
      <c r="K225" t="e">
        <v>#N/A</v>
      </c>
      <c r="L225" t="e">
        <v>#N/A</v>
      </c>
      <c r="N225" s="7">
        <f t="shared" si="9"/>
        <v>91</v>
      </c>
      <c r="O225" s="7">
        <f t="shared" si="10"/>
        <v>83.8</v>
      </c>
      <c r="Q225" s="9">
        <f t="shared" si="11"/>
        <v>-1.1918951132301374E-3</v>
      </c>
    </row>
    <row r="226" spans="1:17" x14ac:dyDescent="0.25">
      <c r="A226" s="14">
        <v>44044</v>
      </c>
      <c r="B226" s="21">
        <v>93.9</v>
      </c>
      <c r="C226" s="7">
        <v>86.3</v>
      </c>
      <c r="E226" s="22">
        <v>86.2</v>
      </c>
      <c r="F226" s="21">
        <v>91.8</v>
      </c>
      <c r="G226" s="20">
        <v>-5.5</v>
      </c>
      <c r="H226">
        <v>8.9</v>
      </c>
      <c r="I226">
        <v>-1.3</v>
      </c>
      <c r="J226" t="e">
        <v>#N/A</v>
      </c>
      <c r="K226" t="e">
        <v>#N/A</v>
      </c>
      <c r="L226" t="e">
        <v>#N/A</v>
      </c>
      <c r="N226" s="7">
        <f t="shared" si="9"/>
        <v>93.9</v>
      </c>
      <c r="O226" s="7">
        <f t="shared" si="10"/>
        <v>86.3</v>
      </c>
      <c r="Q226" s="9">
        <f t="shared" si="11"/>
        <v>-1.1587485515642446E-3</v>
      </c>
    </row>
    <row r="227" spans="1:17" x14ac:dyDescent="0.25">
      <c r="A227" s="14">
        <v>44075</v>
      </c>
      <c r="B227" s="21">
        <v>95.4</v>
      </c>
      <c r="C227" s="7">
        <v>88.7</v>
      </c>
      <c r="E227" s="22">
        <v>88.6</v>
      </c>
      <c r="F227" s="21">
        <v>92.3</v>
      </c>
      <c r="G227" s="20">
        <v>-3.7</v>
      </c>
      <c r="H227">
        <v>6.2</v>
      </c>
      <c r="I227">
        <v>0.6</v>
      </c>
      <c r="J227" t="e">
        <v>#N/A</v>
      </c>
      <c r="K227" t="e">
        <v>#N/A</v>
      </c>
      <c r="L227" t="e">
        <v>#N/A</v>
      </c>
      <c r="N227" s="7">
        <f t="shared" si="9"/>
        <v>95.399999999999991</v>
      </c>
      <c r="O227" s="7">
        <f t="shared" si="10"/>
        <v>88.6</v>
      </c>
      <c r="Q227" s="9">
        <f t="shared" si="11"/>
        <v>-1.1273957158963756E-3</v>
      </c>
    </row>
    <row r="228" spans="1:17" x14ac:dyDescent="0.25">
      <c r="A228" s="14">
        <v>44105</v>
      </c>
      <c r="B228" s="21">
        <v>97.3</v>
      </c>
      <c r="C228" s="7">
        <v>89.7</v>
      </c>
      <c r="E228" s="22">
        <v>89.7</v>
      </c>
      <c r="F228" s="21">
        <v>92.5</v>
      </c>
      <c r="G228" s="20">
        <v>-2.8</v>
      </c>
      <c r="H228">
        <v>7.1</v>
      </c>
      <c r="I228">
        <v>0.5</v>
      </c>
      <c r="J228" t="e">
        <v>#N/A</v>
      </c>
      <c r="K228" t="e">
        <v>#N/A</v>
      </c>
      <c r="L228" t="e">
        <v>#N/A</v>
      </c>
      <c r="N228" s="7">
        <f t="shared" si="9"/>
        <v>97.3</v>
      </c>
      <c r="O228" s="7">
        <f t="shared" si="10"/>
        <v>89.7</v>
      </c>
      <c r="Q228" s="9">
        <f t="shared" si="11"/>
        <v>0</v>
      </c>
    </row>
    <row r="229" spans="1:17" x14ac:dyDescent="0.25">
      <c r="A229" s="14">
        <v>44136</v>
      </c>
      <c r="B229" s="21">
        <v>90.2</v>
      </c>
      <c r="C229" s="7">
        <v>90.2</v>
      </c>
      <c r="E229" s="22">
        <v>90.2</v>
      </c>
      <c r="F229" s="21">
        <v>92.3</v>
      </c>
      <c r="G229" s="20">
        <v>-2.1</v>
      </c>
      <c r="H229">
        <v>1.2</v>
      </c>
      <c r="I229">
        <v>-1.1000000000000001</v>
      </c>
      <c r="J229" t="e">
        <v>#N/A</v>
      </c>
      <c r="K229" t="e">
        <v>#N/A</v>
      </c>
      <c r="L229" t="e">
        <v>#N/A</v>
      </c>
      <c r="N229" s="7">
        <f t="shared" si="9"/>
        <v>90.300000000000011</v>
      </c>
      <c r="O229" s="7">
        <f t="shared" si="10"/>
        <v>90.2</v>
      </c>
      <c r="Q229" s="9">
        <f t="shared" si="11"/>
        <v>0</v>
      </c>
    </row>
    <row r="230" spans="1:17" x14ac:dyDescent="0.25">
      <c r="A230" s="14">
        <v>44166</v>
      </c>
      <c r="B230">
        <v>83.3</v>
      </c>
      <c r="C230" s="7">
        <v>90.3</v>
      </c>
      <c r="E230" s="22">
        <v>90.6</v>
      </c>
      <c r="F230" s="21">
        <v>91.8</v>
      </c>
      <c r="G230" s="20">
        <v>-1.2</v>
      </c>
      <c r="H230">
        <v>-8.5</v>
      </c>
      <c r="I230">
        <v>1.2</v>
      </c>
      <c r="J230" t="e">
        <v>#N/A</v>
      </c>
      <c r="K230" t="e">
        <v>#N/A</v>
      </c>
      <c r="L230" t="e">
        <v>#N/A</v>
      </c>
      <c r="N230" s="7">
        <f t="shared" si="9"/>
        <v>83.3</v>
      </c>
      <c r="O230" s="7">
        <f t="shared" si="10"/>
        <v>90.6</v>
      </c>
      <c r="Q230" s="9">
        <f t="shared" si="11"/>
        <v>3.322259136212593E-3</v>
      </c>
    </row>
    <row r="231" spans="1:17" x14ac:dyDescent="0.25">
      <c r="A231" s="14">
        <v>44197</v>
      </c>
      <c r="B231">
        <v>81.900000000000006</v>
      </c>
      <c r="C231" s="7">
        <v>90.5</v>
      </c>
      <c r="E231" s="22">
        <v>90.6</v>
      </c>
      <c r="F231" s="21">
        <v>91</v>
      </c>
      <c r="G231" s="20">
        <v>-0.4</v>
      </c>
      <c r="H231">
        <v>-7.1</v>
      </c>
      <c r="I231">
        <v>-1.6</v>
      </c>
      <c r="J231" t="e">
        <v>#N/A</v>
      </c>
      <c r="K231" t="e">
        <v>#N/A</v>
      </c>
      <c r="L231" t="e">
        <v>#N/A</v>
      </c>
      <c r="N231" s="7">
        <f t="shared" si="9"/>
        <v>81.900000000000006</v>
      </c>
      <c r="O231" s="7">
        <f t="shared" si="10"/>
        <v>90.6</v>
      </c>
      <c r="Q231" s="9">
        <f t="shared" si="11"/>
        <v>1.1049723756905449E-3</v>
      </c>
    </row>
    <row r="232" spans="1:17" x14ac:dyDescent="0.25">
      <c r="A232" s="14">
        <v>44228</v>
      </c>
      <c r="B232">
        <v>79.099999999999994</v>
      </c>
      <c r="C232" s="7">
        <v>89.6</v>
      </c>
      <c r="E232" s="22">
        <v>89.7</v>
      </c>
      <c r="F232" s="21">
        <v>90.1</v>
      </c>
      <c r="G232" s="20">
        <v>-0.4</v>
      </c>
      <c r="H232">
        <v>-9.5</v>
      </c>
      <c r="I232">
        <v>-1.1000000000000001</v>
      </c>
      <c r="J232" t="e">
        <v>#N/A</v>
      </c>
      <c r="K232" t="e">
        <v>#N/A</v>
      </c>
      <c r="L232" t="e">
        <v>#N/A</v>
      </c>
      <c r="N232" s="7">
        <f t="shared" si="9"/>
        <v>79.099999999999994</v>
      </c>
      <c r="O232" s="7">
        <f t="shared" si="10"/>
        <v>89.699999999999989</v>
      </c>
      <c r="Q232" s="9">
        <f t="shared" si="11"/>
        <v>1.1160714285715237E-3</v>
      </c>
    </row>
    <row r="233" spans="1:17" x14ac:dyDescent="0.25">
      <c r="A233" s="14">
        <v>44256</v>
      </c>
      <c r="B233">
        <v>86.1</v>
      </c>
      <c r="C233" s="7">
        <v>87.5</v>
      </c>
      <c r="E233" s="22">
        <v>87.5</v>
      </c>
      <c r="F233" s="21">
        <v>89.1</v>
      </c>
      <c r="G233" s="20">
        <v>-1.5</v>
      </c>
      <c r="H233">
        <v>-3.6</v>
      </c>
      <c r="I233">
        <v>2.1</v>
      </c>
      <c r="J233" t="e">
        <v>#N/A</v>
      </c>
      <c r="K233" t="e">
        <v>#N/A</v>
      </c>
      <c r="L233" t="e">
        <v>#N/A</v>
      </c>
      <c r="N233" s="7">
        <f t="shared" si="9"/>
        <v>86.1</v>
      </c>
      <c r="O233" s="7">
        <f t="shared" si="10"/>
        <v>87.6</v>
      </c>
      <c r="Q233" s="9">
        <f t="shared" si="11"/>
        <v>0</v>
      </c>
    </row>
    <row r="234" spans="1:17" x14ac:dyDescent="0.25">
      <c r="A234" s="14">
        <v>44287</v>
      </c>
      <c r="B234">
        <v>81.3</v>
      </c>
      <c r="C234" s="7">
        <v>86.1</v>
      </c>
      <c r="E234" s="22">
        <v>86.2</v>
      </c>
      <c r="F234" s="21">
        <v>88.1</v>
      </c>
      <c r="G234" s="20">
        <v>-1.9</v>
      </c>
      <c r="H234">
        <v>-4.8</v>
      </c>
      <c r="I234">
        <v>0</v>
      </c>
      <c r="J234" t="e">
        <v>#N/A</v>
      </c>
      <c r="K234" t="e">
        <v>#N/A</v>
      </c>
      <c r="L234" t="e">
        <v>#N/A</v>
      </c>
      <c r="N234" s="7">
        <f t="shared" si="9"/>
        <v>81.399999999999991</v>
      </c>
      <c r="O234" s="7">
        <f t="shared" si="10"/>
        <v>86.199999999999989</v>
      </c>
      <c r="Q234" s="9">
        <f t="shared" si="11"/>
        <v>1.1614401858305288E-3</v>
      </c>
    </row>
    <row r="235" spans="1:17" x14ac:dyDescent="0.25">
      <c r="A235" s="14">
        <v>44317</v>
      </c>
      <c r="B235">
        <v>88.4</v>
      </c>
      <c r="C235" s="7">
        <v>87.1</v>
      </c>
      <c r="E235" s="22">
        <v>87.1</v>
      </c>
      <c r="F235" s="21">
        <v>87.1</v>
      </c>
      <c r="G235" s="20">
        <v>0</v>
      </c>
      <c r="H235">
        <v>2.2999999999999998</v>
      </c>
      <c r="I235">
        <v>-1</v>
      </c>
      <c r="J235" t="e">
        <v>#N/A</v>
      </c>
      <c r="K235" t="e">
        <v>#N/A</v>
      </c>
      <c r="L235" t="e">
        <v>#N/A</v>
      </c>
      <c r="N235" s="7">
        <f t="shared" si="9"/>
        <v>88.399999999999991</v>
      </c>
      <c r="O235" s="7">
        <f t="shared" si="10"/>
        <v>87.1</v>
      </c>
      <c r="Q235" s="9">
        <f t="shared" si="11"/>
        <v>0</v>
      </c>
    </row>
    <row r="236" spans="1:17" x14ac:dyDescent="0.25">
      <c r="A236" s="14">
        <v>44348</v>
      </c>
      <c r="B236">
        <v>87.9</v>
      </c>
      <c r="C236" s="7">
        <v>86.7</v>
      </c>
      <c r="E236" s="22">
        <v>86.4</v>
      </c>
      <c r="F236" s="21">
        <v>86.3</v>
      </c>
      <c r="G236" s="20">
        <v>0.2</v>
      </c>
      <c r="H236">
        <v>1.1000000000000001</v>
      </c>
      <c r="I236">
        <v>0.3</v>
      </c>
      <c r="J236" t="e">
        <v>#N/A</v>
      </c>
      <c r="K236" t="e">
        <v>#N/A</v>
      </c>
      <c r="L236" t="e">
        <v>#N/A</v>
      </c>
      <c r="N236" s="7">
        <f t="shared" si="9"/>
        <v>87.899999999999991</v>
      </c>
      <c r="O236" s="7">
        <f t="shared" si="10"/>
        <v>86.5</v>
      </c>
      <c r="Q236" s="9">
        <f t="shared" si="11"/>
        <v>-3.4602076124567146E-3</v>
      </c>
    </row>
    <row r="237" spans="1:17" x14ac:dyDescent="0.25">
      <c r="A237" s="14">
        <v>44378</v>
      </c>
      <c r="B237">
        <v>92.2</v>
      </c>
      <c r="C237" s="7">
        <v>85.3</v>
      </c>
      <c r="E237" s="22">
        <v>85.2</v>
      </c>
      <c r="F237" s="21">
        <v>85.5</v>
      </c>
      <c r="G237" s="20">
        <v>-0.4</v>
      </c>
      <c r="H237">
        <v>6.5</v>
      </c>
      <c r="I237">
        <v>0.5</v>
      </c>
      <c r="J237" t="e">
        <v>#N/A</v>
      </c>
      <c r="K237" t="e">
        <v>#N/A</v>
      </c>
      <c r="L237" t="e">
        <v>#N/A</v>
      </c>
      <c r="N237" s="7">
        <f t="shared" si="9"/>
        <v>92.1</v>
      </c>
      <c r="O237" s="7">
        <f t="shared" si="10"/>
        <v>85.1</v>
      </c>
      <c r="Q237" s="9">
        <f t="shared" si="11"/>
        <v>-1.1723329425556192E-3</v>
      </c>
    </row>
    <row r="238" spans="1:17" x14ac:dyDescent="0.25">
      <c r="A238" s="14">
        <v>44409</v>
      </c>
      <c r="B238">
        <v>93.4</v>
      </c>
      <c r="C238" s="7">
        <v>85.1</v>
      </c>
      <c r="E238" s="22">
        <v>85</v>
      </c>
      <c r="F238" s="21">
        <v>85</v>
      </c>
      <c r="G238" s="20">
        <v>0</v>
      </c>
      <c r="H238">
        <v>9</v>
      </c>
      <c r="I238">
        <v>-0.6</v>
      </c>
      <c r="J238" t="e">
        <v>#N/A</v>
      </c>
      <c r="K238" t="e">
        <v>#N/A</v>
      </c>
      <c r="L238" t="e">
        <v>#N/A</v>
      </c>
      <c r="N238" s="7">
        <f t="shared" si="9"/>
        <v>93.4</v>
      </c>
      <c r="O238" s="7">
        <f t="shared" si="10"/>
        <v>85</v>
      </c>
      <c r="Q238" s="9">
        <f t="shared" si="11"/>
        <v>-1.1750881316098039E-3</v>
      </c>
    </row>
    <row r="239" spans="1:17" x14ac:dyDescent="0.25">
      <c r="A239" s="14">
        <v>44440</v>
      </c>
      <c r="B239">
        <v>91.5</v>
      </c>
      <c r="C239" s="7">
        <v>84.6</v>
      </c>
      <c r="E239" s="22">
        <v>84.5</v>
      </c>
      <c r="F239" s="21">
        <v>84.6</v>
      </c>
      <c r="G239" s="20">
        <v>-0.1</v>
      </c>
      <c r="H239">
        <v>6.4</v>
      </c>
      <c r="I239">
        <v>0.7</v>
      </c>
      <c r="J239" t="e">
        <v>#N/A</v>
      </c>
      <c r="K239" t="e">
        <v>#N/A</v>
      </c>
      <c r="L239" t="e">
        <v>#N/A</v>
      </c>
      <c r="N239" s="7">
        <f t="shared" si="9"/>
        <v>91.600000000000009</v>
      </c>
      <c r="O239" s="7">
        <f t="shared" si="10"/>
        <v>84.5</v>
      </c>
      <c r="Q239" s="9">
        <f t="shared" si="11"/>
        <v>-1.1820330969266469E-3</v>
      </c>
    </row>
    <row r="240" spans="1:17" x14ac:dyDescent="0.25">
      <c r="A240" s="14">
        <v>44470</v>
      </c>
      <c r="B240">
        <v>89.7</v>
      </c>
      <c r="C240" s="7">
        <v>84.2</v>
      </c>
      <c r="E240" s="22">
        <v>84.2</v>
      </c>
      <c r="F240" s="21">
        <v>84.5</v>
      </c>
      <c r="G240" s="20">
        <v>-0.3</v>
      </c>
      <c r="H240">
        <v>7.1</v>
      </c>
      <c r="I240">
        <v>-1.6</v>
      </c>
      <c r="J240" t="e">
        <v>#N/A</v>
      </c>
      <c r="K240" t="e">
        <v>#N/A</v>
      </c>
      <c r="L240" t="e">
        <v>#N/A</v>
      </c>
      <c r="N240" s="7">
        <f t="shared" si="9"/>
        <v>89.7</v>
      </c>
      <c r="O240" s="7">
        <f t="shared" si="10"/>
        <v>84.2</v>
      </c>
      <c r="Q240" s="9">
        <f t="shared" si="11"/>
        <v>0</v>
      </c>
    </row>
    <row r="241" spans="1:17" x14ac:dyDescent="0.25">
      <c r="A241" s="14">
        <v>44501</v>
      </c>
      <c r="B241">
        <v>86.2</v>
      </c>
      <c r="C241" s="7">
        <v>84.2</v>
      </c>
      <c r="E241" s="22">
        <v>84.1</v>
      </c>
      <c r="F241" s="21">
        <v>84.7</v>
      </c>
      <c r="G241" s="20">
        <v>-0.5</v>
      </c>
      <c r="H241">
        <v>1.1000000000000001</v>
      </c>
      <c r="I241">
        <v>0.9</v>
      </c>
      <c r="J241" t="e">
        <v>#N/A</v>
      </c>
      <c r="K241" t="e">
        <v>#N/A</v>
      </c>
      <c r="L241" t="e">
        <v>#N/A</v>
      </c>
      <c r="N241" s="7">
        <f t="shared" si="9"/>
        <v>86.2</v>
      </c>
      <c r="O241" s="7">
        <f t="shared" si="10"/>
        <v>84.2</v>
      </c>
      <c r="Q241" s="9">
        <f t="shared" si="11"/>
        <v>-1.1876484560571084E-3</v>
      </c>
    </row>
    <row r="242" spans="1:17" x14ac:dyDescent="0.25">
      <c r="A242" s="14">
        <v>44531</v>
      </c>
      <c r="B242">
        <v>79.2</v>
      </c>
      <c r="C242" s="7">
        <v>86.6</v>
      </c>
      <c r="E242" s="22">
        <v>87</v>
      </c>
      <c r="F242" s="21">
        <v>85</v>
      </c>
      <c r="G242" s="20">
        <v>2</v>
      </c>
      <c r="H242">
        <v>-8.6</v>
      </c>
      <c r="I242">
        <v>0.7</v>
      </c>
      <c r="J242" t="e">
        <v>#N/A</v>
      </c>
      <c r="K242" t="e">
        <v>#N/A</v>
      </c>
      <c r="L242" t="e">
        <v>#N/A</v>
      </c>
      <c r="N242" s="7">
        <f t="shared" si="9"/>
        <v>79.100000000000009</v>
      </c>
      <c r="O242" s="7">
        <f t="shared" si="10"/>
        <v>87</v>
      </c>
      <c r="Q242" s="9">
        <f t="shared" si="11"/>
        <v>4.6189376443418672E-3</v>
      </c>
    </row>
    <row r="243" spans="1:17" x14ac:dyDescent="0.25">
      <c r="A243" s="1"/>
    </row>
    <row r="244" spans="1:17" x14ac:dyDescent="0.25">
      <c r="A244" s="1"/>
    </row>
    <row r="245" spans="1:17" x14ac:dyDescent="0.25">
      <c r="A245" s="1"/>
    </row>
    <row r="246" spans="1:17" x14ac:dyDescent="0.25">
      <c r="A246" s="1"/>
    </row>
  </sheetData>
  <pageMargins left="0.511811024" right="0.511811024" top="0.78740157499999996" bottom="0.78740157499999996" header="0.31496062000000002" footer="0.31496062000000002"/>
  <drawing r:id="rId1"/>
  <legacy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8386114-2A19-42A8-8F3E-A524AA339E11}">
  <sheetPr codeName="Planilha7"/>
  <dimension ref="A1:F247"/>
  <sheetViews>
    <sheetView zoomScale="115" zoomScaleNormal="115" workbookViewId="0">
      <selection activeCell="M33" sqref="M33"/>
    </sheetView>
  </sheetViews>
  <sheetFormatPr defaultRowHeight="15" x14ac:dyDescent="0.25"/>
  <cols>
    <col min="1" max="1" width="11.85546875" bestFit="1" customWidth="1"/>
    <col min="2" max="2" width="8" bestFit="1" customWidth="1"/>
    <col min="3" max="3" width="10.7109375" bestFit="1" customWidth="1"/>
    <col min="4" max="4" width="5.140625" customWidth="1"/>
    <col min="5" max="5" width="9.140625" customWidth="1"/>
  </cols>
  <sheetData>
    <row r="1" spans="1:6" x14ac:dyDescent="0.25">
      <c r="A1" s="12" t="s">
        <v>17</v>
      </c>
      <c r="E1" s="12" t="s">
        <v>18</v>
      </c>
    </row>
    <row r="2" spans="1:6" x14ac:dyDescent="0.25">
      <c r="A2" s="13" t="s">
        <v>9</v>
      </c>
      <c r="B2" s="13" t="s">
        <v>16</v>
      </c>
      <c r="C2" s="13" t="s">
        <v>19</v>
      </c>
      <c r="E2" s="13" t="s">
        <v>81</v>
      </c>
      <c r="F2" s="13" t="s">
        <v>81</v>
      </c>
    </row>
    <row r="3" spans="1:6" x14ac:dyDescent="0.25">
      <c r="A3" s="13"/>
      <c r="B3" s="13"/>
      <c r="C3" s="13"/>
      <c r="E3" s="13" t="s">
        <v>80</v>
      </c>
      <c r="F3" s="13" t="s">
        <v>7</v>
      </c>
    </row>
    <row r="4" spans="1:6" x14ac:dyDescent="0.25">
      <c r="A4" s="14">
        <v>35065</v>
      </c>
      <c r="B4" s="7">
        <v>96.8</v>
      </c>
      <c r="C4" s="7">
        <v>99.5</v>
      </c>
      <c r="E4" s="7" cm="1">
        <f t="array" ref="E4:E110">ROUND(xlDESSAZ($A$4:$A$106,$B$4:$B$106,$E$3,,,Specs!$D$3),1)</f>
        <v>96.8</v>
      </c>
      <c r="F4" cm="1">
        <f t="array" ref="F4:F110">ROUND(xlDESSAZ($A$4:$A$110,_xlfn.ANCHORARRAY(E4),$F$3,,,Specs!$D$3),1)</f>
        <v>99.4</v>
      </c>
    </row>
    <row r="5" spans="1:6" x14ac:dyDescent="0.25">
      <c r="A5" s="14">
        <v>35156</v>
      </c>
      <c r="B5">
        <v>100.1</v>
      </c>
      <c r="C5" s="7">
        <v>100.4</v>
      </c>
      <c r="E5" s="7">
        <v>100.1</v>
      </c>
      <c r="F5">
        <v>100.5</v>
      </c>
    </row>
    <row r="6" spans="1:6" x14ac:dyDescent="0.25">
      <c r="A6" s="14">
        <v>35247</v>
      </c>
      <c r="B6">
        <v>107.6</v>
      </c>
      <c r="C6">
        <v>104.4</v>
      </c>
      <c r="E6" s="7">
        <v>107.6</v>
      </c>
      <c r="F6">
        <v>104.4</v>
      </c>
    </row>
    <row r="7" spans="1:6" x14ac:dyDescent="0.25">
      <c r="A7" s="14">
        <v>35339</v>
      </c>
      <c r="B7">
        <v>104.3</v>
      </c>
      <c r="C7">
        <v>103.3</v>
      </c>
      <c r="E7" s="7">
        <v>104.3</v>
      </c>
      <c r="F7">
        <v>103.3</v>
      </c>
    </row>
    <row r="8" spans="1:6" x14ac:dyDescent="0.25">
      <c r="A8" s="14">
        <v>35431</v>
      </c>
      <c r="B8">
        <v>100.1</v>
      </c>
      <c r="C8">
        <v>104.3</v>
      </c>
      <c r="E8" s="7">
        <v>100.1</v>
      </c>
      <c r="F8">
        <v>104.4</v>
      </c>
    </row>
    <row r="9" spans="1:6" x14ac:dyDescent="0.25">
      <c r="A9" s="14">
        <v>35521</v>
      </c>
      <c r="B9">
        <v>104.9</v>
      </c>
      <c r="C9">
        <v>105</v>
      </c>
      <c r="E9" s="7">
        <v>104.9</v>
      </c>
      <c r="F9">
        <v>105</v>
      </c>
    </row>
    <row r="10" spans="1:6" x14ac:dyDescent="0.25">
      <c r="A10" s="14">
        <v>35612</v>
      </c>
      <c r="B10">
        <v>109.5</v>
      </c>
      <c r="C10">
        <v>106.3</v>
      </c>
      <c r="E10" s="7">
        <v>109.5</v>
      </c>
      <c r="F10">
        <v>106.3</v>
      </c>
    </row>
    <row r="11" spans="1:6" x14ac:dyDescent="0.25">
      <c r="A11" s="14">
        <v>35704</v>
      </c>
      <c r="B11">
        <v>108.2</v>
      </c>
      <c r="C11">
        <v>107.1</v>
      </c>
      <c r="E11" s="7">
        <v>108.2</v>
      </c>
      <c r="F11">
        <v>107.1</v>
      </c>
    </row>
    <row r="12" spans="1:6" x14ac:dyDescent="0.25">
      <c r="A12" s="14">
        <v>35796</v>
      </c>
      <c r="B12">
        <v>101.1</v>
      </c>
      <c r="C12">
        <v>105.1</v>
      </c>
      <c r="E12" s="7">
        <v>101.1</v>
      </c>
      <c r="F12">
        <v>105</v>
      </c>
    </row>
    <row r="13" spans="1:6" x14ac:dyDescent="0.25">
      <c r="A13" s="14">
        <v>35886</v>
      </c>
      <c r="B13">
        <v>106.5</v>
      </c>
      <c r="C13">
        <v>106.8</v>
      </c>
      <c r="E13" s="7">
        <v>106.5</v>
      </c>
      <c r="F13">
        <v>106.9</v>
      </c>
    </row>
    <row r="14" spans="1:6" x14ac:dyDescent="0.25">
      <c r="A14" s="14">
        <v>35977</v>
      </c>
      <c r="B14">
        <v>109.9</v>
      </c>
      <c r="C14">
        <v>106.9</v>
      </c>
      <c r="E14" s="7">
        <v>109.9</v>
      </c>
      <c r="F14">
        <v>106.8</v>
      </c>
    </row>
    <row r="15" spans="1:6" x14ac:dyDescent="0.25">
      <c r="A15" s="14">
        <v>36069</v>
      </c>
      <c r="B15">
        <v>106.7</v>
      </c>
      <c r="C15">
        <v>105.6</v>
      </c>
      <c r="E15" s="7">
        <v>106.7</v>
      </c>
      <c r="F15">
        <v>105.6</v>
      </c>
    </row>
    <row r="16" spans="1:6" x14ac:dyDescent="0.25">
      <c r="A16" s="14">
        <v>36161</v>
      </c>
      <c r="B16">
        <v>101.9</v>
      </c>
      <c r="C16">
        <v>105.9</v>
      </c>
      <c r="E16" s="7">
        <v>101.9</v>
      </c>
      <c r="F16">
        <v>105.8</v>
      </c>
    </row>
    <row r="17" spans="1:6" x14ac:dyDescent="0.25">
      <c r="A17" s="14">
        <v>36251</v>
      </c>
      <c r="B17">
        <v>106</v>
      </c>
      <c r="C17">
        <v>106.2</v>
      </c>
      <c r="E17" s="7">
        <v>106</v>
      </c>
      <c r="F17">
        <v>106.3</v>
      </c>
    </row>
    <row r="18" spans="1:6" x14ac:dyDescent="0.25">
      <c r="A18" s="14">
        <v>36342</v>
      </c>
      <c r="B18">
        <v>109.2</v>
      </c>
      <c r="C18">
        <v>106.4</v>
      </c>
      <c r="E18" s="7">
        <v>109.2</v>
      </c>
      <c r="F18">
        <v>106.3</v>
      </c>
    </row>
    <row r="19" spans="1:6" x14ac:dyDescent="0.25">
      <c r="A19" s="14">
        <v>36434</v>
      </c>
      <c r="B19">
        <v>109</v>
      </c>
      <c r="C19">
        <v>107.8</v>
      </c>
      <c r="E19" s="7">
        <v>109</v>
      </c>
      <c r="F19">
        <v>107.9</v>
      </c>
    </row>
    <row r="20" spans="1:6" x14ac:dyDescent="0.25">
      <c r="A20" s="14">
        <v>36526</v>
      </c>
      <c r="B20">
        <v>106.4</v>
      </c>
      <c r="C20">
        <v>109</v>
      </c>
      <c r="E20" s="7">
        <v>106.4</v>
      </c>
      <c r="F20">
        <v>109</v>
      </c>
    </row>
    <row r="21" spans="1:6" x14ac:dyDescent="0.25">
      <c r="A21" s="14">
        <v>36617</v>
      </c>
      <c r="B21">
        <v>110.3</v>
      </c>
      <c r="C21">
        <v>110.5</v>
      </c>
      <c r="E21" s="7">
        <v>110.3</v>
      </c>
      <c r="F21">
        <v>110.6</v>
      </c>
    </row>
    <row r="22" spans="1:6" x14ac:dyDescent="0.25">
      <c r="A22" s="14">
        <v>36708</v>
      </c>
      <c r="B22">
        <v>114.2</v>
      </c>
      <c r="C22">
        <v>111.8</v>
      </c>
      <c r="E22" s="7">
        <v>114.2</v>
      </c>
      <c r="F22">
        <v>111.8</v>
      </c>
    </row>
    <row r="23" spans="1:6" x14ac:dyDescent="0.25">
      <c r="A23" s="14">
        <v>36800</v>
      </c>
      <c r="B23">
        <v>114</v>
      </c>
      <c r="C23">
        <v>113.2</v>
      </c>
      <c r="E23" s="7">
        <v>114</v>
      </c>
      <c r="F23">
        <v>113.2</v>
      </c>
    </row>
    <row r="24" spans="1:6" x14ac:dyDescent="0.25">
      <c r="A24" s="14">
        <v>36892</v>
      </c>
      <c r="B24">
        <v>110.1</v>
      </c>
      <c r="C24">
        <v>113.6</v>
      </c>
      <c r="E24" s="7">
        <v>110.1</v>
      </c>
      <c r="F24">
        <v>113.6</v>
      </c>
    </row>
    <row r="25" spans="1:6" x14ac:dyDescent="0.25">
      <c r="A25" s="14">
        <v>36982</v>
      </c>
      <c r="B25">
        <v>112.8</v>
      </c>
      <c r="C25">
        <v>113.1</v>
      </c>
      <c r="E25" s="7">
        <v>112.8</v>
      </c>
      <c r="F25">
        <v>113</v>
      </c>
    </row>
    <row r="26" spans="1:6" x14ac:dyDescent="0.25">
      <c r="A26" s="14">
        <v>37073</v>
      </c>
      <c r="B26">
        <v>114.7</v>
      </c>
      <c r="C26">
        <v>112.5</v>
      </c>
      <c r="E26" s="7">
        <v>114.7</v>
      </c>
      <c r="F26">
        <v>112.5</v>
      </c>
    </row>
    <row r="27" spans="1:6" x14ac:dyDescent="0.25">
      <c r="A27" s="14">
        <v>37165</v>
      </c>
      <c r="B27">
        <v>113.4</v>
      </c>
      <c r="C27">
        <v>112.2</v>
      </c>
      <c r="E27" s="7">
        <v>113.4</v>
      </c>
      <c r="F27">
        <v>112.2</v>
      </c>
    </row>
    <row r="28" spans="1:6" x14ac:dyDescent="0.25">
      <c r="A28" s="14">
        <v>37257</v>
      </c>
      <c r="B28">
        <v>110.6</v>
      </c>
      <c r="C28">
        <v>114.7</v>
      </c>
      <c r="E28" s="7">
        <v>110.6</v>
      </c>
      <c r="F28">
        <v>114.9</v>
      </c>
    </row>
    <row r="29" spans="1:6" x14ac:dyDescent="0.25">
      <c r="A29" s="14">
        <v>37347</v>
      </c>
      <c r="B29">
        <v>115.4</v>
      </c>
      <c r="C29">
        <v>115.4</v>
      </c>
      <c r="E29" s="7">
        <v>115.4</v>
      </c>
      <c r="F29">
        <v>115.2</v>
      </c>
    </row>
    <row r="30" spans="1:6" x14ac:dyDescent="0.25">
      <c r="A30" s="14">
        <v>37438</v>
      </c>
      <c r="B30">
        <v>119.5</v>
      </c>
      <c r="C30">
        <v>116.8</v>
      </c>
      <c r="E30" s="7">
        <v>119.5</v>
      </c>
      <c r="F30">
        <v>116.8</v>
      </c>
    </row>
    <row r="31" spans="1:6" x14ac:dyDescent="0.25">
      <c r="A31" s="14">
        <v>37530</v>
      </c>
      <c r="B31">
        <v>119.2</v>
      </c>
      <c r="C31">
        <v>118</v>
      </c>
      <c r="E31" s="7">
        <v>119.2</v>
      </c>
      <c r="F31">
        <v>118</v>
      </c>
    </row>
    <row r="32" spans="1:6" x14ac:dyDescent="0.25">
      <c r="A32" s="14">
        <v>37622</v>
      </c>
      <c r="B32">
        <v>113.6</v>
      </c>
      <c r="C32">
        <v>117.5</v>
      </c>
      <c r="E32" s="7">
        <v>113.6</v>
      </c>
      <c r="F32">
        <v>117.5</v>
      </c>
    </row>
    <row r="33" spans="1:6" x14ac:dyDescent="0.25">
      <c r="A33" s="14">
        <v>37712</v>
      </c>
      <c r="B33">
        <v>116.3</v>
      </c>
      <c r="C33">
        <v>116.5</v>
      </c>
      <c r="E33" s="7">
        <v>116.3</v>
      </c>
      <c r="F33">
        <v>116.5</v>
      </c>
    </row>
    <row r="34" spans="1:6" x14ac:dyDescent="0.25">
      <c r="A34" s="14">
        <v>37803</v>
      </c>
      <c r="B34">
        <v>120.2</v>
      </c>
      <c r="C34">
        <v>117.6</v>
      </c>
      <c r="E34" s="7">
        <v>120.2</v>
      </c>
      <c r="F34">
        <v>117.5</v>
      </c>
    </row>
    <row r="35" spans="1:6" x14ac:dyDescent="0.25">
      <c r="A35" s="14">
        <v>37895</v>
      </c>
      <c r="B35">
        <v>119.9</v>
      </c>
      <c r="C35">
        <v>118.8</v>
      </c>
      <c r="E35" s="7">
        <v>119.9</v>
      </c>
      <c r="F35">
        <v>118.8</v>
      </c>
    </row>
    <row r="36" spans="1:6" x14ac:dyDescent="0.25">
      <c r="A36" s="14">
        <v>37987</v>
      </c>
      <c r="B36">
        <v>118</v>
      </c>
      <c r="C36">
        <v>120.5</v>
      </c>
      <c r="E36" s="7">
        <v>118</v>
      </c>
      <c r="F36">
        <v>120.4</v>
      </c>
    </row>
    <row r="37" spans="1:6" x14ac:dyDescent="0.25">
      <c r="A37" s="14">
        <v>38078</v>
      </c>
      <c r="B37">
        <v>123.7</v>
      </c>
      <c r="C37">
        <v>123.8</v>
      </c>
      <c r="E37" s="7">
        <v>123.7</v>
      </c>
      <c r="F37">
        <v>123.8</v>
      </c>
    </row>
    <row r="38" spans="1:6" x14ac:dyDescent="0.25">
      <c r="A38" s="14">
        <v>38169</v>
      </c>
      <c r="B38">
        <v>128.1</v>
      </c>
      <c r="C38">
        <v>125.3</v>
      </c>
      <c r="E38" s="7">
        <v>128.1</v>
      </c>
      <c r="F38">
        <v>125.3</v>
      </c>
    </row>
    <row r="39" spans="1:6" x14ac:dyDescent="0.25">
      <c r="A39" s="14">
        <v>38261</v>
      </c>
      <c r="B39">
        <v>127.4</v>
      </c>
      <c r="C39">
        <v>126.3</v>
      </c>
      <c r="E39" s="7">
        <v>127.4</v>
      </c>
      <c r="F39">
        <v>126.3</v>
      </c>
    </row>
    <row r="40" spans="1:6" x14ac:dyDescent="0.25">
      <c r="A40" s="14">
        <v>38353</v>
      </c>
      <c r="B40">
        <v>122.9</v>
      </c>
      <c r="C40">
        <v>127.2</v>
      </c>
      <c r="E40" s="7">
        <v>122.9</v>
      </c>
      <c r="F40">
        <v>127.3</v>
      </c>
    </row>
    <row r="41" spans="1:6" x14ac:dyDescent="0.25">
      <c r="A41" s="14">
        <v>38443</v>
      </c>
      <c r="B41">
        <v>129.19999999999999</v>
      </c>
      <c r="C41">
        <v>129</v>
      </c>
      <c r="E41" s="7">
        <v>129.19999999999999</v>
      </c>
      <c r="F41">
        <v>128.80000000000001</v>
      </c>
    </row>
    <row r="42" spans="1:6" x14ac:dyDescent="0.25">
      <c r="A42" s="14">
        <v>38534</v>
      </c>
      <c r="B42">
        <v>130.80000000000001</v>
      </c>
      <c r="C42">
        <v>128</v>
      </c>
      <c r="E42" s="7">
        <v>130.80000000000001</v>
      </c>
      <c r="F42">
        <v>128</v>
      </c>
    </row>
    <row r="43" spans="1:6" x14ac:dyDescent="0.25">
      <c r="A43" s="14">
        <v>38626</v>
      </c>
      <c r="B43">
        <v>130.1</v>
      </c>
      <c r="C43">
        <v>129.6</v>
      </c>
      <c r="E43" s="7">
        <v>130.1</v>
      </c>
      <c r="F43">
        <v>129.6</v>
      </c>
    </row>
    <row r="44" spans="1:6" x14ac:dyDescent="0.25">
      <c r="A44" s="14">
        <v>38718</v>
      </c>
      <c r="B44">
        <v>128.19999999999999</v>
      </c>
      <c r="C44">
        <v>131.80000000000001</v>
      </c>
      <c r="E44" s="7">
        <v>128.19999999999999</v>
      </c>
      <c r="F44">
        <v>131.80000000000001</v>
      </c>
    </row>
    <row r="45" spans="1:6" x14ac:dyDescent="0.25">
      <c r="A45" s="14">
        <v>38808</v>
      </c>
      <c r="B45">
        <v>132.1</v>
      </c>
      <c r="C45">
        <v>132.1</v>
      </c>
      <c r="E45" s="7">
        <v>132.1</v>
      </c>
      <c r="F45">
        <v>132.1</v>
      </c>
    </row>
    <row r="46" spans="1:6" x14ac:dyDescent="0.25">
      <c r="A46" s="14">
        <v>38899</v>
      </c>
      <c r="B46">
        <v>136.69999999999999</v>
      </c>
      <c r="C46">
        <v>134.30000000000001</v>
      </c>
      <c r="E46" s="7">
        <v>136.69999999999999</v>
      </c>
      <c r="F46">
        <v>134.30000000000001</v>
      </c>
    </row>
    <row r="47" spans="1:6" x14ac:dyDescent="0.25">
      <c r="A47" s="14">
        <v>38991</v>
      </c>
      <c r="B47">
        <v>136.4</v>
      </c>
      <c r="C47">
        <v>135.9</v>
      </c>
      <c r="E47" s="7">
        <v>136.4</v>
      </c>
      <c r="F47">
        <v>135.9</v>
      </c>
    </row>
    <row r="48" spans="1:6" x14ac:dyDescent="0.25">
      <c r="A48" s="14">
        <v>39083</v>
      </c>
      <c r="B48">
        <v>134.80000000000001</v>
      </c>
      <c r="C48">
        <v>138.6</v>
      </c>
      <c r="E48" s="7">
        <v>134.80000000000001</v>
      </c>
      <c r="F48">
        <v>138.5</v>
      </c>
    </row>
    <row r="49" spans="1:6" x14ac:dyDescent="0.25">
      <c r="A49" s="14">
        <v>39173</v>
      </c>
      <c r="B49">
        <v>140.80000000000001</v>
      </c>
      <c r="C49">
        <v>140.80000000000001</v>
      </c>
      <c r="E49" s="7">
        <v>140.80000000000001</v>
      </c>
      <c r="F49">
        <v>140.80000000000001</v>
      </c>
    </row>
    <row r="50" spans="1:6" x14ac:dyDescent="0.25">
      <c r="A50" s="14">
        <v>39264</v>
      </c>
      <c r="B50">
        <v>144.80000000000001</v>
      </c>
      <c r="C50">
        <v>142.19999999999999</v>
      </c>
      <c r="E50" s="7">
        <v>144.80000000000001</v>
      </c>
      <c r="F50">
        <v>142.30000000000001</v>
      </c>
    </row>
    <row r="51" spans="1:6" x14ac:dyDescent="0.25">
      <c r="A51" s="14">
        <v>39356</v>
      </c>
      <c r="B51">
        <v>145.4</v>
      </c>
      <c r="C51">
        <v>144.4</v>
      </c>
      <c r="E51" s="7">
        <v>145.4</v>
      </c>
      <c r="F51">
        <v>144.4</v>
      </c>
    </row>
    <row r="52" spans="1:6" x14ac:dyDescent="0.25">
      <c r="A52" s="14">
        <v>39448</v>
      </c>
      <c r="B52">
        <v>143.1</v>
      </c>
      <c r="C52">
        <v>146.1</v>
      </c>
      <c r="E52" s="7">
        <v>143.1</v>
      </c>
      <c r="F52">
        <v>146.19999999999999</v>
      </c>
    </row>
    <row r="53" spans="1:6" x14ac:dyDescent="0.25">
      <c r="A53" s="14">
        <v>39539</v>
      </c>
      <c r="B53">
        <v>149.69999999999999</v>
      </c>
      <c r="C53">
        <v>149.4</v>
      </c>
      <c r="E53" s="7">
        <v>149.69999999999999</v>
      </c>
      <c r="F53">
        <v>149.19999999999999</v>
      </c>
    </row>
    <row r="54" spans="1:6" x14ac:dyDescent="0.25">
      <c r="A54" s="14">
        <v>39630</v>
      </c>
      <c r="B54">
        <v>154.9</v>
      </c>
      <c r="C54">
        <v>151.6</v>
      </c>
      <c r="E54" s="7">
        <v>154.9</v>
      </c>
      <c r="F54">
        <v>151.69999999999999</v>
      </c>
    </row>
    <row r="55" spans="1:6" x14ac:dyDescent="0.25">
      <c r="A55" s="14">
        <v>39722</v>
      </c>
      <c r="B55">
        <v>146.9</v>
      </c>
      <c r="C55">
        <v>145.9</v>
      </c>
      <c r="E55" s="7">
        <v>146.9</v>
      </c>
      <c r="F55">
        <v>145.9</v>
      </c>
    </row>
    <row r="56" spans="1:6" x14ac:dyDescent="0.25">
      <c r="A56" s="14">
        <v>39814</v>
      </c>
      <c r="B56">
        <v>139.69999999999999</v>
      </c>
      <c r="C56">
        <v>143.9</v>
      </c>
      <c r="E56" s="7">
        <v>139.69999999999999</v>
      </c>
      <c r="F56">
        <v>143.9</v>
      </c>
    </row>
    <row r="57" spans="1:6" x14ac:dyDescent="0.25">
      <c r="A57" s="14">
        <v>39904</v>
      </c>
      <c r="B57">
        <v>146.4</v>
      </c>
      <c r="C57">
        <v>146.5</v>
      </c>
      <c r="E57" s="7">
        <v>146.4</v>
      </c>
      <c r="F57">
        <v>146.5</v>
      </c>
    </row>
    <row r="58" spans="1:6" x14ac:dyDescent="0.25">
      <c r="A58" s="14">
        <v>39995</v>
      </c>
      <c r="B58">
        <v>153.1</v>
      </c>
      <c r="C58">
        <v>149.9</v>
      </c>
      <c r="E58" s="7">
        <v>153.1</v>
      </c>
      <c r="F58">
        <v>149.9</v>
      </c>
    </row>
    <row r="59" spans="1:6" x14ac:dyDescent="0.25">
      <c r="A59" s="14">
        <v>40087</v>
      </c>
      <c r="B59">
        <v>154.69999999999999</v>
      </c>
      <c r="C59">
        <v>153.69999999999999</v>
      </c>
      <c r="E59" s="7">
        <v>154.69999999999999</v>
      </c>
      <c r="F59">
        <v>153.69999999999999</v>
      </c>
    </row>
    <row r="60" spans="1:6" x14ac:dyDescent="0.25">
      <c r="A60" s="14">
        <v>40179</v>
      </c>
      <c r="B60">
        <v>152.5</v>
      </c>
      <c r="C60">
        <v>157.19999999999999</v>
      </c>
      <c r="E60" s="7">
        <v>152.5</v>
      </c>
      <c r="F60">
        <v>156.9</v>
      </c>
    </row>
    <row r="61" spans="1:6" x14ac:dyDescent="0.25">
      <c r="A61" s="14">
        <v>40269</v>
      </c>
      <c r="B61">
        <v>158.9</v>
      </c>
      <c r="C61">
        <v>158.69999999999999</v>
      </c>
      <c r="E61" s="7">
        <v>158.9</v>
      </c>
      <c r="F61">
        <v>159</v>
      </c>
    </row>
    <row r="62" spans="1:6" x14ac:dyDescent="0.25">
      <c r="A62" s="14">
        <v>40360</v>
      </c>
      <c r="B62">
        <v>163.6</v>
      </c>
      <c r="C62">
        <v>160.4</v>
      </c>
      <c r="E62" s="7">
        <v>163.6</v>
      </c>
      <c r="F62">
        <v>160.30000000000001</v>
      </c>
    </row>
    <row r="63" spans="1:6" x14ac:dyDescent="0.25">
      <c r="A63" s="14">
        <v>40452</v>
      </c>
      <c r="B63">
        <v>163.5</v>
      </c>
      <c r="C63">
        <v>162.5</v>
      </c>
      <c r="E63" s="7">
        <v>163.5</v>
      </c>
      <c r="F63">
        <v>162.6</v>
      </c>
    </row>
    <row r="64" spans="1:6" x14ac:dyDescent="0.25">
      <c r="A64" s="14">
        <v>40544</v>
      </c>
      <c r="B64">
        <v>160.5</v>
      </c>
      <c r="C64">
        <v>164.9</v>
      </c>
      <c r="E64" s="7">
        <v>160.5</v>
      </c>
      <c r="F64">
        <v>164.9</v>
      </c>
    </row>
    <row r="65" spans="1:6" x14ac:dyDescent="0.25">
      <c r="A65" s="14">
        <v>40634</v>
      </c>
      <c r="B65">
        <v>166.3</v>
      </c>
      <c r="C65">
        <v>166.5</v>
      </c>
      <c r="E65" s="7">
        <v>166.3</v>
      </c>
      <c r="F65">
        <v>166.4</v>
      </c>
    </row>
    <row r="66" spans="1:6" x14ac:dyDescent="0.25">
      <c r="A66" s="14">
        <v>40725</v>
      </c>
      <c r="B66">
        <v>169.4</v>
      </c>
      <c r="C66">
        <v>166.1</v>
      </c>
      <c r="E66" s="7">
        <v>169.4</v>
      </c>
      <c r="F66">
        <v>166.1</v>
      </c>
    </row>
    <row r="67" spans="1:6" x14ac:dyDescent="0.25">
      <c r="A67" s="14">
        <v>40817</v>
      </c>
      <c r="B67">
        <v>167.7</v>
      </c>
      <c r="C67">
        <v>167.5</v>
      </c>
      <c r="E67" s="7">
        <v>167.7</v>
      </c>
      <c r="F67">
        <v>167.5</v>
      </c>
    </row>
    <row r="68" spans="1:6" x14ac:dyDescent="0.25">
      <c r="A68" s="14">
        <v>40909</v>
      </c>
      <c r="B68">
        <v>163.19999999999999</v>
      </c>
      <c r="C68">
        <v>165.3</v>
      </c>
      <c r="E68" s="7">
        <v>163.19999999999999</v>
      </c>
      <c r="F68">
        <v>165.3</v>
      </c>
    </row>
    <row r="69" spans="1:6" x14ac:dyDescent="0.25">
      <c r="A69" s="14">
        <v>41000</v>
      </c>
      <c r="B69">
        <v>168</v>
      </c>
      <c r="C69">
        <v>168.2</v>
      </c>
      <c r="E69" s="7">
        <v>168</v>
      </c>
      <c r="F69">
        <v>168.2</v>
      </c>
    </row>
    <row r="70" spans="1:6" x14ac:dyDescent="0.25">
      <c r="A70" s="14">
        <v>41091</v>
      </c>
      <c r="B70">
        <v>173.6</v>
      </c>
      <c r="C70">
        <v>171.1</v>
      </c>
      <c r="E70" s="7">
        <v>173.6</v>
      </c>
      <c r="F70">
        <v>171.1</v>
      </c>
    </row>
    <row r="71" spans="1:6" x14ac:dyDescent="0.25">
      <c r="A71" s="14">
        <v>41183</v>
      </c>
      <c r="B71">
        <v>171.9</v>
      </c>
      <c r="C71">
        <v>171.1</v>
      </c>
      <c r="E71" s="7">
        <v>171.9</v>
      </c>
      <c r="F71">
        <v>171.1</v>
      </c>
    </row>
    <row r="72" spans="1:6" x14ac:dyDescent="0.25">
      <c r="A72" s="14">
        <v>41275</v>
      </c>
      <c r="B72">
        <v>167.6</v>
      </c>
      <c r="C72">
        <v>171.8</v>
      </c>
      <c r="E72" s="7">
        <v>167.6</v>
      </c>
      <c r="F72">
        <v>172</v>
      </c>
    </row>
    <row r="73" spans="1:6" x14ac:dyDescent="0.25">
      <c r="A73" s="14">
        <v>41365</v>
      </c>
      <c r="B73">
        <v>174.7</v>
      </c>
      <c r="C73">
        <v>174.7</v>
      </c>
      <c r="E73" s="7">
        <v>174.7</v>
      </c>
      <c r="F73">
        <v>174.5</v>
      </c>
    </row>
    <row r="74" spans="1:6" x14ac:dyDescent="0.25">
      <c r="A74" s="14">
        <v>41456</v>
      </c>
      <c r="B74">
        <v>178.4</v>
      </c>
      <c r="C74">
        <v>175.3</v>
      </c>
      <c r="E74" s="7">
        <v>178.4</v>
      </c>
      <c r="F74">
        <v>175.3</v>
      </c>
    </row>
    <row r="75" spans="1:6" x14ac:dyDescent="0.25">
      <c r="A75" s="14">
        <v>41548</v>
      </c>
      <c r="B75">
        <v>176.3</v>
      </c>
      <c r="C75">
        <v>175.5</v>
      </c>
      <c r="E75" s="7">
        <v>176.3</v>
      </c>
      <c r="F75">
        <v>175.6</v>
      </c>
    </row>
    <row r="76" spans="1:6" x14ac:dyDescent="0.25">
      <c r="A76" s="14">
        <v>41640</v>
      </c>
      <c r="B76">
        <v>173.4</v>
      </c>
      <c r="C76">
        <v>177.1</v>
      </c>
      <c r="E76" s="7">
        <v>173.4</v>
      </c>
      <c r="F76">
        <v>177</v>
      </c>
    </row>
    <row r="77" spans="1:6" x14ac:dyDescent="0.25">
      <c r="A77" s="14">
        <v>41730</v>
      </c>
      <c r="B77">
        <v>174</v>
      </c>
      <c r="C77">
        <v>174.4</v>
      </c>
      <c r="E77" s="7">
        <v>174</v>
      </c>
      <c r="F77">
        <v>174.4</v>
      </c>
    </row>
    <row r="78" spans="1:6" x14ac:dyDescent="0.25">
      <c r="A78" s="14">
        <v>41821</v>
      </c>
      <c r="B78">
        <v>177.3</v>
      </c>
      <c r="C78">
        <v>174.4</v>
      </c>
      <c r="E78" s="7">
        <v>177.3</v>
      </c>
      <c r="F78">
        <v>174.4</v>
      </c>
    </row>
    <row r="79" spans="1:6" x14ac:dyDescent="0.25">
      <c r="A79" s="14">
        <v>41913</v>
      </c>
      <c r="B79">
        <v>175.9</v>
      </c>
      <c r="C79">
        <v>175.2</v>
      </c>
      <c r="E79" s="7">
        <v>175.9</v>
      </c>
      <c r="F79">
        <v>175.3</v>
      </c>
    </row>
    <row r="80" spans="1:6" x14ac:dyDescent="0.25">
      <c r="A80" s="14">
        <v>42005</v>
      </c>
      <c r="B80">
        <v>170.6</v>
      </c>
      <c r="C80">
        <v>174.1</v>
      </c>
      <c r="E80" s="7">
        <v>170.6</v>
      </c>
      <c r="F80">
        <v>173.8</v>
      </c>
    </row>
    <row r="81" spans="1:6" x14ac:dyDescent="0.25">
      <c r="A81" s="14">
        <v>42095</v>
      </c>
      <c r="B81">
        <v>169.2</v>
      </c>
      <c r="C81">
        <v>169.5</v>
      </c>
      <c r="E81" s="7">
        <v>169.2</v>
      </c>
      <c r="F81">
        <v>169.7</v>
      </c>
    </row>
    <row r="82" spans="1:6" x14ac:dyDescent="0.25">
      <c r="A82" s="14">
        <v>42186</v>
      </c>
      <c r="B82">
        <v>169.7</v>
      </c>
      <c r="C82">
        <v>167</v>
      </c>
      <c r="E82" s="7">
        <v>169.7</v>
      </c>
      <c r="F82">
        <v>167</v>
      </c>
    </row>
    <row r="83" spans="1:6" x14ac:dyDescent="0.25">
      <c r="A83" s="14">
        <v>42278</v>
      </c>
      <c r="B83">
        <v>166.2</v>
      </c>
      <c r="C83">
        <v>165.7</v>
      </c>
      <c r="E83" s="7">
        <v>166.2</v>
      </c>
      <c r="F83">
        <v>165.7</v>
      </c>
    </row>
    <row r="84" spans="1:6" x14ac:dyDescent="0.25">
      <c r="A84" s="14">
        <v>42370</v>
      </c>
      <c r="B84">
        <v>161.9</v>
      </c>
      <c r="C84">
        <v>163</v>
      </c>
      <c r="E84" s="7">
        <v>161.9</v>
      </c>
      <c r="F84">
        <v>163.30000000000001</v>
      </c>
    </row>
    <row r="85" spans="1:6" x14ac:dyDescent="0.25">
      <c r="A85" s="14">
        <v>42461</v>
      </c>
      <c r="B85">
        <v>163.80000000000001</v>
      </c>
      <c r="C85">
        <v>164</v>
      </c>
      <c r="E85" s="7">
        <v>163.80000000000001</v>
      </c>
      <c r="F85">
        <v>163.80000000000001</v>
      </c>
    </row>
    <row r="86" spans="1:6" x14ac:dyDescent="0.25">
      <c r="A86" s="14">
        <v>42552</v>
      </c>
      <c r="B86">
        <v>165.6</v>
      </c>
      <c r="C86">
        <v>162.9</v>
      </c>
      <c r="E86" s="7">
        <v>165.6</v>
      </c>
      <c r="F86">
        <v>163</v>
      </c>
    </row>
    <row r="87" spans="1:6" x14ac:dyDescent="0.25">
      <c r="A87" s="14">
        <v>42644</v>
      </c>
      <c r="B87">
        <v>162.4</v>
      </c>
      <c r="C87">
        <v>162.6</v>
      </c>
      <c r="E87" s="7">
        <v>162.4</v>
      </c>
      <c r="F87">
        <v>162.6</v>
      </c>
    </row>
    <row r="88" spans="1:6" x14ac:dyDescent="0.25">
      <c r="A88" s="14">
        <v>42736</v>
      </c>
      <c r="B88">
        <v>162.30000000000001</v>
      </c>
      <c r="C88">
        <v>164.4</v>
      </c>
      <c r="E88" s="7">
        <v>162.30000000000001</v>
      </c>
      <c r="F88">
        <v>164.4</v>
      </c>
    </row>
    <row r="89" spans="1:6" x14ac:dyDescent="0.25">
      <c r="A89" s="14">
        <v>42826</v>
      </c>
      <c r="B89">
        <v>165.1</v>
      </c>
      <c r="C89">
        <v>165.7</v>
      </c>
      <c r="E89" s="7">
        <v>165.1</v>
      </c>
      <c r="F89">
        <v>165.7</v>
      </c>
    </row>
    <row r="90" spans="1:6" x14ac:dyDescent="0.25">
      <c r="A90" s="14">
        <v>42917</v>
      </c>
      <c r="B90">
        <v>168.3</v>
      </c>
      <c r="C90">
        <v>166.2</v>
      </c>
      <c r="E90" s="7">
        <v>168.3</v>
      </c>
      <c r="F90">
        <v>166.2</v>
      </c>
    </row>
    <row r="91" spans="1:6" x14ac:dyDescent="0.25">
      <c r="A91" s="14">
        <v>43009</v>
      </c>
      <c r="B91">
        <v>166.6</v>
      </c>
      <c r="C91">
        <v>166.9</v>
      </c>
      <c r="E91" s="7">
        <v>166.6</v>
      </c>
      <c r="F91">
        <v>166.9</v>
      </c>
    </row>
    <row r="92" spans="1:6" x14ac:dyDescent="0.25">
      <c r="A92" s="14">
        <v>43101</v>
      </c>
      <c r="B92">
        <v>165.4</v>
      </c>
      <c r="C92">
        <v>167.8</v>
      </c>
      <c r="E92" s="7">
        <v>165.4</v>
      </c>
      <c r="F92">
        <v>168</v>
      </c>
    </row>
    <row r="93" spans="1:6" x14ac:dyDescent="0.25">
      <c r="A93" s="14">
        <v>43191</v>
      </c>
      <c r="B93">
        <v>167.7</v>
      </c>
      <c r="C93">
        <v>168.1</v>
      </c>
      <c r="E93" s="7">
        <v>167.7</v>
      </c>
      <c r="F93">
        <v>167.9</v>
      </c>
    </row>
    <row r="94" spans="1:6" x14ac:dyDescent="0.25">
      <c r="A94" s="14">
        <v>43282</v>
      </c>
      <c r="B94">
        <v>171.7</v>
      </c>
      <c r="C94">
        <v>169.5</v>
      </c>
      <c r="E94" s="7">
        <v>171.7</v>
      </c>
      <c r="F94">
        <v>169.5</v>
      </c>
    </row>
    <row r="95" spans="1:6" x14ac:dyDescent="0.25">
      <c r="A95" s="14">
        <v>43374</v>
      </c>
      <c r="B95">
        <v>169.2</v>
      </c>
      <c r="C95">
        <v>168.9</v>
      </c>
      <c r="E95" s="7">
        <v>169.2</v>
      </c>
      <c r="F95">
        <v>168.9</v>
      </c>
    </row>
    <row r="96" spans="1:6" x14ac:dyDescent="0.25">
      <c r="A96" s="14">
        <v>43466</v>
      </c>
      <c r="B96">
        <v>167.1</v>
      </c>
      <c r="C96">
        <v>169.8</v>
      </c>
      <c r="E96" s="7">
        <v>167.1</v>
      </c>
      <c r="F96">
        <v>169.7</v>
      </c>
    </row>
    <row r="97" spans="1:6" x14ac:dyDescent="0.25">
      <c r="A97" s="14">
        <v>43556</v>
      </c>
      <c r="B97">
        <v>169.8</v>
      </c>
      <c r="C97">
        <v>170.7</v>
      </c>
      <c r="E97" s="7">
        <v>169.8</v>
      </c>
      <c r="F97">
        <v>170.7</v>
      </c>
    </row>
    <row r="98" spans="1:6" x14ac:dyDescent="0.25">
      <c r="A98" s="14">
        <v>43647</v>
      </c>
      <c r="B98">
        <v>173.6</v>
      </c>
      <c r="C98">
        <v>170.7</v>
      </c>
      <c r="E98" s="7">
        <v>173.6</v>
      </c>
      <c r="F98">
        <v>170.7</v>
      </c>
    </row>
    <row r="99" spans="1:6" x14ac:dyDescent="0.25">
      <c r="A99" s="14">
        <v>43739</v>
      </c>
      <c r="B99">
        <v>171.7</v>
      </c>
      <c r="C99">
        <v>171.3</v>
      </c>
      <c r="E99" s="7">
        <v>171.7</v>
      </c>
      <c r="F99">
        <v>171.3</v>
      </c>
    </row>
    <row r="100" spans="1:6" x14ac:dyDescent="0.25">
      <c r="A100" s="14">
        <v>43831</v>
      </c>
      <c r="B100">
        <v>166.9</v>
      </c>
      <c r="C100">
        <v>167.4</v>
      </c>
      <c r="E100" s="7">
        <v>166.9</v>
      </c>
      <c r="F100">
        <v>167.4</v>
      </c>
    </row>
    <row r="101" spans="1:6" x14ac:dyDescent="0.25">
      <c r="A101" s="14">
        <v>43922</v>
      </c>
      <c r="B101">
        <v>151.6</v>
      </c>
      <c r="C101">
        <v>152.6</v>
      </c>
      <c r="E101" s="7">
        <v>151.6</v>
      </c>
      <c r="F101">
        <v>152.5</v>
      </c>
    </row>
    <row r="102" spans="1:6" x14ac:dyDescent="0.25">
      <c r="A102" s="14">
        <v>44013</v>
      </c>
      <c r="B102">
        <v>167.2</v>
      </c>
      <c r="C102">
        <v>164.4</v>
      </c>
      <c r="E102" s="7">
        <v>167.2</v>
      </c>
      <c r="F102">
        <v>164.5</v>
      </c>
    </row>
    <row r="103" spans="1:6" x14ac:dyDescent="0.25">
      <c r="A103" s="14">
        <v>44105</v>
      </c>
      <c r="B103">
        <v>170.1</v>
      </c>
      <c r="C103">
        <v>169.5</v>
      </c>
      <c r="E103" s="7">
        <v>170.1</v>
      </c>
      <c r="F103">
        <v>169.5</v>
      </c>
    </row>
    <row r="104" spans="1:6" x14ac:dyDescent="0.25">
      <c r="A104" s="14">
        <v>44197</v>
      </c>
      <c r="B104">
        <v>169</v>
      </c>
      <c r="C104">
        <v>171.8</v>
      </c>
      <c r="E104" s="7">
        <v>169</v>
      </c>
      <c r="F104">
        <v>171.6</v>
      </c>
    </row>
    <row r="105" spans="1:6" x14ac:dyDescent="0.25">
      <c r="A105" s="14">
        <v>44287</v>
      </c>
      <c r="B105">
        <v>170.3</v>
      </c>
      <c r="C105">
        <v>171.2</v>
      </c>
      <c r="E105" s="7">
        <v>170.3</v>
      </c>
      <c r="F105">
        <v>171.4</v>
      </c>
    </row>
    <row r="106" spans="1:6" x14ac:dyDescent="0.25">
      <c r="A106" s="14">
        <v>44378</v>
      </c>
      <c r="B106">
        <v>173.9</v>
      </c>
      <c r="C106">
        <v>171.1</v>
      </c>
      <c r="E106" s="7">
        <v>173.9</v>
      </c>
      <c r="F106">
        <v>171.1</v>
      </c>
    </row>
    <row r="107" spans="1:6" x14ac:dyDescent="0.25">
      <c r="A107" s="14">
        <v>44470</v>
      </c>
      <c r="E107">
        <v>172</v>
      </c>
      <c r="F107">
        <v>171.3</v>
      </c>
    </row>
    <row r="108" spans="1:6" x14ac:dyDescent="0.25">
      <c r="A108" s="14">
        <v>44562</v>
      </c>
      <c r="E108">
        <v>168.9</v>
      </c>
      <c r="F108">
        <v>171.5</v>
      </c>
    </row>
    <row r="109" spans="1:6" x14ac:dyDescent="0.25">
      <c r="A109" s="14">
        <v>44652</v>
      </c>
      <c r="E109">
        <v>170.4</v>
      </c>
      <c r="F109">
        <v>171.6</v>
      </c>
    </row>
    <row r="110" spans="1:6" x14ac:dyDescent="0.25">
      <c r="A110" s="14">
        <v>44743</v>
      </c>
      <c r="E110">
        <v>174.5</v>
      </c>
      <c r="F110">
        <v>171.7</v>
      </c>
    </row>
    <row r="111" spans="1:6" x14ac:dyDescent="0.25">
      <c r="A111" s="1"/>
    </row>
    <row r="112" spans="1:6" x14ac:dyDescent="0.25">
      <c r="A112" s="1"/>
    </row>
    <row r="113" spans="1:1" x14ac:dyDescent="0.25">
      <c r="A113" s="1"/>
    </row>
    <row r="114" spans="1:1" x14ac:dyDescent="0.25">
      <c r="A114" s="1"/>
    </row>
    <row r="115" spans="1:1" x14ac:dyDescent="0.25">
      <c r="A115" s="1"/>
    </row>
    <row r="116" spans="1:1" x14ac:dyDescent="0.25">
      <c r="A116" s="1"/>
    </row>
    <row r="117" spans="1:1" x14ac:dyDescent="0.25">
      <c r="A117" s="1"/>
    </row>
    <row r="118" spans="1:1" x14ac:dyDescent="0.25">
      <c r="A118" s="1"/>
    </row>
    <row r="119" spans="1:1" x14ac:dyDescent="0.25">
      <c r="A119" s="1"/>
    </row>
    <row r="120" spans="1:1" x14ac:dyDescent="0.25">
      <c r="A120" s="1"/>
    </row>
    <row r="121" spans="1:1" x14ac:dyDescent="0.25">
      <c r="A121" s="1"/>
    </row>
    <row r="122" spans="1:1" x14ac:dyDescent="0.25">
      <c r="A122" s="1"/>
    </row>
    <row r="123" spans="1:1" x14ac:dyDescent="0.25">
      <c r="A123" s="1"/>
    </row>
    <row r="124" spans="1:1" x14ac:dyDescent="0.25">
      <c r="A124" s="1"/>
    </row>
    <row r="125" spans="1:1" x14ac:dyDescent="0.25">
      <c r="A125" s="1"/>
    </row>
    <row r="126" spans="1:1" x14ac:dyDescent="0.25">
      <c r="A126" s="1"/>
    </row>
    <row r="127" spans="1:1" x14ac:dyDescent="0.25">
      <c r="A127" s="1"/>
    </row>
    <row r="128" spans="1:1" x14ac:dyDescent="0.25">
      <c r="A128" s="1"/>
    </row>
    <row r="129" spans="1:1" x14ac:dyDescent="0.25">
      <c r="A129" s="1"/>
    </row>
    <row r="130" spans="1:1" x14ac:dyDescent="0.25">
      <c r="A130" s="1"/>
    </row>
    <row r="131" spans="1:1" x14ac:dyDescent="0.25">
      <c r="A131" s="1"/>
    </row>
    <row r="132" spans="1:1" x14ac:dyDescent="0.25">
      <c r="A132" s="1"/>
    </row>
    <row r="133" spans="1:1" x14ac:dyDescent="0.25">
      <c r="A133" s="1"/>
    </row>
    <row r="134" spans="1:1" x14ac:dyDescent="0.25">
      <c r="A134" s="1"/>
    </row>
    <row r="135" spans="1:1" x14ac:dyDescent="0.25">
      <c r="A135" s="1"/>
    </row>
    <row r="136" spans="1:1" x14ac:dyDescent="0.25">
      <c r="A136" s="1"/>
    </row>
    <row r="137" spans="1:1" x14ac:dyDescent="0.25">
      <c r="A137" s="1"/>
    </row>
    <row r="138" spans="1:1" x14ac:dyDescent="0.25">
      <c r="A138" s="1"/>
    </row>
    <row r="139" spans="1:1" x14ac:dyDescent="0.25">
      <c r="A139" s="1"/>
    </row>
    <row r="140" spans="1:1" x14ac:dyDescent="0.25">
      <c r="A140" s="1"/>
    </row>
    <row r="141" spans="1:1" x14ac:dyDescent="0.25">
      <c r="A141" s="1"/>
    </row>
    <row r="142" spans="1:1" x14ac:dyDescent="0.25">
      <c r="A142" s="1"/>
    </row>
    <row r="143" spans="1:1" x14ac:dyDescent="0.25">
      <c r="A143" s="1"/>
    </row>
    <row r="144" spans="1:1" x14ac:dyDescent="0.25">
      <c r="A144" s="1"/>
    </row>
    <row r="145" spans="1:1" x14ac:dyDescent="0.25">
      <c r="A145" s="1"/>
    </row>
    <row r="146" spans="1:1" x14ac:dyDescent="0.25">
      <c r="A146" s="1"/>
    </row>
    <row r="147" spans="1:1" x14ac:dyDescent="0.25">
      <c r="A147" s="1"/>
    </row>
    <row r="148" spans="1:1" x14ac:dyDescent="0.25">
      <c r="A148" s="1"/>
    </row>
    <row r="149" spans="1:1" x14ac:dyDescent="0.25">
      <c r="A149" s="1"/>
    </row>
    <row r="150" spans="1:1" x14ac:dyDescent="0.25">
      <c r="A150" s="1"/>
    </row>
    <row r="151" spans="1:1" x14ac:dyDescent="0.25">
      <c r="A151" s="1"/>
    </row>
    <row r="152" spans="1:1" x14ac:dyDescent="0.25">
      <c r="A152" s="1"/>
    </row>
    <row r="153" spans="1:1" x14ac:dyDescent="0.25">
      <c r="A153" s="1"/>
    </row>
    <row r="154" spans="1:1" x14ac:dyDescent="0.25">
      <c r="A154" s="1"/>
    </row>
    <row r="155" spans="1:1" x14ac:dyDescent="0.25">
      <c r="A155" s="1"/>
    </row>
    <row r="156" spans="1:1" x14ac:dyDescent="0.25">
      <c r="A156" s="1"/>
    </row>
    <row r="157" spans="1:1" x14ac:dyDescent="0.25">
      <c r="A157" s="1"/>
    </row>
    <row r="158" spans="1:1" x14ac:dyDescent="0.25">
      <c r="A158" s="1"/>
    </row>
    <row r="159" spans="1:1" x14ac:dyDescent="0.25">
      <c r="A159" s="1"/>
    </row>
    <row r="160" spans="1:1" x14ac:dyDescent="0.25">
      <c r="A160" s="1"/>
    </row>
    <row r="161" spans="1:1" x14ac:dyDescent="0.25">
      <c r="A161" s="1"/>
    </row>
    <row r="162" spans="1:1" x14ac:dyDescent="0.25">
      <c r="A162" s="1"/>
    </row>
    <row r="163" spans="1:1" x14ac:dyDescent="0.25">
      <c r="A163" s="1"/>
    </row>
    <row r="164" spans="1:1" x14ac:dyDescent="0.25">
      <c r="A164" s="1"/>
    </row>
    <row r="165" spans="1:1" x14ac:dyDescent="0.25">
      <c r="A165" s="1"/>
    </row>
    <row r="166" spans="1:1" x14ac:dyDescent="0.25">
      <c r="A166" s="1"/>
    </row>
    <row r="167" spans="1:1" x14ac:dyDescent="0.25">
      <c r="A167" s="1"/>
    </row>
    <row r="168" spans="1:1" x14ac:dyDescent="0.25">
      <c r="A168" s="1"/>
    </row>
    <row r="169" spans="1:1" x14ac:dyDescent="0.25">
      <c r="A169" s="1"/>
    </row>
    <row r="170" spans="1:1" x14ac:dyDescent="0.25">
      <c r="A170" s="1"/>
    </row>
    <row r="171" spans="1:1" x14ac:dyDescent="0.25">
      <c r="A171" s="1"/>
    </row>
    <row r="172" spans="1:1" x14ac:dyDescent="0.25">
      <c r="A172" s="1"/>
    </row>
    <row r="173" spans="1:1" x14ac:dyDescent="0.25">
      <c r="A173" s="1"/>
    </row>
    <row r="174" spans="1:1" x14ac:dyDescent="0.25">
      <c r="A174" s="1"/>
    </row>
    <row r="175" spans="1:1" x14ac:dyDescent="0.25">
      <c r="A175" s="1"/>
    </row>
    <row r="176" spans="1:1" x14ac:dyDescent="0.25">
      <c r="A176" s="1"/>
    </row>
    <row r="177" spans="1:1" x14ac:dyDescent="0.25">
      <c r="A177" s="1"/>
    </row>
    <row r="178" spans="1:1" x14ac:dyDescent="0.25">
      <c r="A178" s="1"/>
    </row>
    <row r="179" spans="1:1" x14ac:dyDescent="0.25">
      <c r="A179" s="1"/>
    </row>
    <row r="180" spans="1:1" x14ac:dyDescent="0.25">
      <c r="A180" s="1"/>
    </row>
    <row r="181" spans="1:1" x14ac:dyDescent="0.25">
      <c r="A181" s="1"/>
    </row>
    <row r="182" spans="1:1" x14ac:dyDescent="0.25">
      <c r="A182" s="1"/>
    </row>
    <row r="183" spans="1:1" x14ac:dyDescent="0.25">
      <c r="A183" s="1"/>
    </row>
    <row r="184" spans="1:1" x14ac:dyDescent="0.25">
      <c r="A184" s="1"/>
    </row>
    <row r="185" spans="1:1" x14ac:dyDescent="0.25">
      <c r="A185" s="1"/>
    </row>
    <row r="186" spans="1:1" x14ac:dyDescent="0.25">
      <c r="A186" s="1"/>
    </row>
    <row r="187" spans="1:1" x14ac:dyDescent="0.25">
      <c r="A187" s="1"/>
    </row>
    <row r="188" spans="1:1" x14ac:dyDescent="0.25">
      <c r="A188" s="1"/>
    </row>
    <row r="189" spans="1:1" x14ac:dyDescent="0.25">
      <c r="A189" s="1"/>
    </row>
    <row r="190" spans="1:1" x14ac:dyDescent="0.25">
      <c r="A190" s="1"/>
    </row>
    <row r="191" spans="1:1" x14ac:dyDescent="0.25">
      <c r="A191" s="1"/>
    </row>
    <row r="192" spans="1:1" x14ac:dyDescent="0.25">
      <c r="A192" s="1"/>
    </row>
    <row r="193" spans="1:1" x14ac:dyDescent="0.25">
      <c r="A193" s="1"/>
    </row>
    <row r="194" spans="1:1" x14ac:dyDescent="0.25">
      <c r="A194" s="1"/>
    </row>
    <row r="195" spans="1:1" x14ac:dyDescent="0.25">
      <c r="A195" s="1"/>
    </row>
    <row r="196" spans="1:1" x14ac:dyDescent="0.25">
      <c r="A196" s="1"/>
    </row>
    <row r="197" spans="1:1" x14ac:dyDescent="0.25">
      <c r="A197" s="1"/>
    </row>
    <row r="198" spans="1:1" x14ac:dyDescent="0.25">
      <c r="A198" s="1"/>
    </row>
    <row r="199" spans="1:1" x14ac:dyDescent="0.25">
      <c r="A199" s="1"/>
    </row>
    <row r="200" spans="1:1" x14ac:dyDescent="0.25">
      <c r="A200" s="1"/>
    </row>
    <row r="201" spans="1:1" x14ac:dyDescent="0.25">
      <c r="A201" s="1"/>
    </row>
    <row r="202" spans="1:1" x14ac:dyDescent="0.25">
      <c r="A202" s="1"/>
    </row>
    <row r="203" spans="1:1" x14ac:dyDescent="0.25">
      <c r="A203" s="1"/>
    </row>
    <row r="204" spans="1:1" x14ac:dyDescent="0.25">
      <c r="A204" s="1"/>
    </row>
    <row r="205" spans="1:1" x14ac:dyDescent="0.25">
      <c r="A205" s="1"/>
    </row>
    <row r="206" spans="1:1" x14ac:dyDescent="0.25">
      <c r="A206" s="1"/>
    </row>
    <row r="207" spans="1:1" x14ac:dyDescent="0.25">
      <c r="A207" s="1"/>
    </row>
    <row r="208" spans="1:1" x14ac:dyDescent="0.25">
      <c r="A208" s="1"/>
    </row>
    <row r="209" spans="1:1" x14ac:dyDescent="0.25">
      <c r="A209" s="1"/>
    </row>
    <row r="210" spans="1:1" x14ac:dyDescent="0.25">
      <c r="A210" s="1"/>
    </row>
    <row r="211" spans="1:1" x14ac:dyDescent="0.25">
      <c r="A211" s="1"/>
    </row>
    <row r="212" spans="1:1" x14ac:dyDescent="0.25">
      <c r="A212" s="1"/>
    </row>
    <row r="213" spans="1:1" x14ac:dyDescent="0.25">
      <c r="A213" s="1"/>
    </row>
    <row r="214" spans="1:1" x14ac:dyDescent="0.25">
      <c r="A214" s="1"/>
    </row>
    <row r="215" spans="1:1" x14ac:dyDescent="0.25">
      <c r="A215" s="1"/>
    </row>
    <row r="216" spans="1:1" x14ac:dyDescent="0.25">
      <c r="A216" s="1"/>
    </row>
    <row r="217" spans="1:1" x14ac:dyDescent="0.25">
      <c r="A217" s="1"/>
    </row>
    <row r="218" spans="1:1" x14ac:dyDescent="0.25">
      <c r="A218" s="1"/>
    </row>
    <row r="219" spans="1:1" x14ac:dyDescent="0.25">
      <c r="A219" s="1"/>
    </row>
    <row r="220" spans="1:1" x14ac:dyDescent="0.25">
      <c r="A220" s="1"/>
    </row>
    <row r="221" spans="1:1" x14ac:dyDescent="0.25">
      <c r="A221" s="1"/>
    </row>
    <row r="222" spans="1:1" x14ac:dyDescent="0.25">
      <c r="A222" s="1"/>
    </row>
    <row r="223" spans="1:1" x14ac:dyDescent="0.25">
      <c r="A223" s="1"/>
    </row>
    <row r="224" spans="1:1" x14ac:dyDescent="0.25">
      <c r="A224" s="1"/>
    </row>
    <row r="225" spans="1:1" x14ac:dyDescent="0.25">
      <c r="A225" s="1"/>
    </row>
    <row r="226" spans="1:1" x14ac:dyDescent="0.25">
      <c r="A226" s="1"/>
    </row>
    <row r="227" spans="1:1" x14ac:dyDescent="0.25">
      <c r="A227" s="1"/>
    </row>
    <row r="228" spans="1:1" x14ac:dyDescent="0.25">
      <c r="A228" s="1"/>
    </row>
    <row r="229" spans="1:1" x14ac:dyDescent="0.25">
      <c r="A229" s="1"/>
    </row>
    <row r="230" spans="1:1" x14ac:dyDescent="0.25">
      <c r="A230" s="1"/>
    </row>
    <row r="231" spans="1:1" x14ac:dyDescent="0.25">
      <c r="A231" s="1"/>
    </row>
    <row r="232" spans="1:1" x14ac:dyDescent="0.25">
      <c r="A232" s="1"/>
    </row>
    <row r="233" spans="1:1" x14ac:dyDescent="0.25">
      <c r="A233" s="1"/>
    </row>
    <row r="234" spans="1:1" x14ac:dyDescent="0.25">
      <c r="A234" s="1"/>
    </row>
    <row r="235" spans="1:1" x14ac:dyDescent="0.25">
      <c r="A235" s="1"/>
    </row>
    <row r="236" spans="1:1" x14ac:dyDescent="0.25">
      <c r="A236" s="1"/>
    </row>
    <row r="237" spans="1:1" x14ac:dyDescent="0.25">
      <c r="A237" s="1"/>
    </row>
    <row r="238" spans="1:1" x14ac:dyDescent="0.25">
      <c r="A238" s="1"/>
    </row>
    <row r="239" spans="1:1" x14ac:dyDescent="0.25">
      <c r="A239" s="1"/>
    </row>
    <row r="240" spans="1:1" x14ac:dyDescent="0.25">
      <c r="A240" s="1"/>
    </row>
    <row r="241" spans="1:1" x14ac:dyDescent="0.25">
      <c r="A241" s="1"/>
    </row>
    <row r="242" spans="1:1" x14ac:dyDescent="0.25">
      <c r="A242" s="1"/>
    </row>
    <row r="243" spans="1:1" x14ac:dyDescent="0.25">
      <c r="A243" s="1"/>
    </row>
    <row r="244" spans="1:1" x14ac:dyDescent="0.25">
      <c r="A244" s="1"/>
    </row>
    <row r="245" spans="1:1" x14ac:dyDescent="0.25">
      <c r="A245" s="1"/>
    </row>
    <row r="246" spans="1:1" x14ac:dyDescent="0.25">
      <c r="A246" s="1"/>
    </row>
    <row r="247" spans="1:1" x14ac:dyDescent="0.25">
      <c r="A247" s="1"/>
    </row>
  </sheetData>
  <pageMargins left="0.511811024" right="0.511811024" top="0.78740157499999996" bottom="0.78740157499999996" header="0.31496062000000002" footer="0.31496062000000002"/>
  <drawing r:id="rId1"/>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14B5607-37AD-45B8-9F12-5C0FB25A57C8}">
  <sheetPr codeName="Planilha4"/>
  <dimension ref="A1:K247"/>
  <sheetViews>
    <sheetView zoomScale="115" zoomScaleNormal="115" workbookViewId="0"/>
  </sheetViews>
  <sheetFormatPr defaultRowHeight="15" x14ac:dyDescent="0.25"/>
  <cols>
    <col min="1" max="1" width="11.85546875" bestFit="1" customWidth="1"/>
    <col min="2" max="5" width="20.28515625" customWidth="1"/>
    <col min="6" max="6" width="5.140625" customWidth="1"/>
    <col min="7" max="7" width="12.28515625" bestFit="1" customWidth="1"/>
    <col min="8" max="8" width="12.5703125" bestFit="1" customWidth="1"/>
    <col min="10" max="10" width="11" bestFit="1" customWidth="1"/>
    <col min="11" max="11" width="16.28515625" bestFit="1" customWidth="1"/>
  </cols>
  <sheetData>
    <row r="1" spans="1:11" x14ac:dyDescent="0.25">
      <c r="A1" s="12" t="s">
        <v>117</v>
      </c>
      <c r="G1" s="12" t="s">
        <v>18</v>
      </c>
      <c r="H1" s="12"/>
    </row>
    <row r="2" spans="1:11" x14ac:dyDescent="0.25">
      <c r="A2" s="12" t="s">
        <v>17</v>
      </c>
      <c r="G2" s="12" t="s">
        <v>27</v>
      </c>
      <c r="H2" s="12" t="s">
        <v>116</v>
      </c>
    </row>
    <row r="3" spans="1:11" x14ac:dyDescent="0.25">
      <c r="A3" s="13" t="s">
        <v>9</v>
      </c>
      <c r="B3" s="26" t="s">
        <v>27</v>
      </c>
      <c r="C3" s="26" t="s">
        <v>111</v>
      </c>
      <c r="D3" s="26" t="s">
        <v>112</v>
      </c>
      <c r="E3" s="26" t="s">
        <v>113</v>
      </c>
      <c r="G3" s="13" t="s">
        <v>7</v>
      </c>
      <c r="H3" s="13"/>
      <c r="J3" s="13" t="s">
        <v>114</v>
      </c>
      <c r="K3" s="13" t="s">
        <v>115</v>
      </c>
    </row>
    <row r="4" spans="1:11" x14ac:dyDescent="0.25">
      <c r="A4" s="14">
        <v>37681</v>
      </c>
      <c r="B4" s="18">
        <v>262484</v>
      </c>
      <c r="C4" s="18">
        <v>198236</v>
      </c>
      <c r="D4" s="18">
        <v>268879</v>
      </c>
      <c r="E4" s="18">
        <v>202710</v>
      </c>
      <c r="G4" s="19" cm="1">
        <f t="array" ref="G4:H228">ROUND(xlDESSAZ($A$4:$A$228,$B$4:$C$228,$G$3,,,Specs!$B$7),0)</f>
        <v>268879</v>
      </c>
      <c r="H4" s="18">
        <v>202710</v>
      </c>
      <c r="I4" s="7"/>
      <c r="J4" s="9">
        <f>(G4-D4)/D4</f>
        <v>0</v>
      </c>
      <c r="K4" s="9">
        <f>(H4-E4)/E4</f>
        <v>0</v>
      </c>
    </row>
    <row r="5" spans="1:11" x14ac:dyDescent="0.25">
      <c r="A5" s="14">
        <v>37712</v>
      </c>
      <c r="B5" s="18">
        <v>257147</v>
      </c>
      <c r="C5" s="18">
        <v>192139</v>
      </c>
      <c r="D5" s="18">
        <v>267570</v>
      </c>
      <c r="E5" s="18">
        <v>201456</v>
      </c>
      <c r="G5" s="18">
        <v>267570</v>
      </c>
      <c r="H5" s="18">
        <v>201456</v>
      </c>
      <c r="I5" s="7"/>
      <c r="J5" s="9">
        <f t="shared" ref="J5:J68" si="0">(G5-D5)/D5</f>
        <v>0</v>
      </c>
      <c r="K5" s="9">
        <f t="shared" ref="K5:K68" si="1">(H5-E5)/E5</f>
        <v>0</v>
      </c>
    </row>
    <row r="6" spans="1:11" x14ac:dyDescent="0.25">
      <c r="A6" s="14">
        <v>37742</v>
      </c>
      <c r="B6" s="18">
        <v>258073</v>
      </c>
      <c r="C6" s="18">
        <v>192688</v>
      </c>
      <c r="D6" s="18">
        <v>267384</v>
      </c>
      <c r="E6" s="18">
        <v>201750</v>
      </c>
      <c r="G6" s="18">
        <v>267384</v>
      </c>
      <c r="H6" s="18">
        <v>201750</v>
      </c>
      <c r="I6" s="7"/>
      <c r="J6" s="9">
        <f t="shared" si="0"/>
        <v>0</v>
      </c>
      <c r="K6" s="9">
        <f t="shared" si="1"/>
        <v>0</v>
      </c>
    </row>
    <row r="7" spans="1:11" x14ac:dyDescent="0.25">
      <c r="A7" s="14">
        <v>37773</v>
      </c>
      <c r="B7" s="18">
        <v>264112</v>
      </c>
      <c r="C7" s="18">
        <v>199071</v>
      </c>
      <c r="D7" s="18">
        <v>266756</v>
      </c>
      <c r="E7" s="18">
        <v>201326</v>
      </c>
      <c r="G7" s="18">
        <v>266756</v>
      </c>
      <c r="H7" s="18">
        <v>201326</v>
      </c>
      <c r="I7" s="7"/>
      <c r="J7" s="9">
        <f t="shared" si="0"/>
        <v>0</v>
      </c>
      <c r="K7" s="9">
        <f t="shared" si="1"/>
        <v>0</v>
      </c>
    </row>
    <row r="8" spans="1:11" x14ac:dyDescent="0.25">
      <c r="A8" s="14">
        <v>37803</v>
      </c>
      <c r="B8" s="18">
        <v>270529</v>
      </c>
      <c r="C8" s="18">
        <v>205289</v>
      </c>
      <c r="D8" s="18">
        <v>266652</v>
      </c>
      <c r="E8" s="18">
        <v>201258</v>
      </c>
      <c r="G8" s="18">
        <v>266652</v>
      </c>
      <c r="H8" s="18">
        <v>201258</v>
      </c>
      <c r="I8" s="7"/>
      <c r="J8" s="9">
        <f t="shared" si="0"/>
        <v>0</v>
      </c>
      <c r="K8" s="9">
        <f t="shared" si="1"/>
        <v>0</v>
      </c>
    </row>
    <row r="9" spans="1:11" x14ac:dyDescent="0.25">
      <c r="A9" s="14">
        <v>37834</v>
      </c>
      <c r="B9" s="18">
        <v>271841</v>
      </c>
      <c r="C9" s="18">
        <v>206296</v>
      </c>
      <c r="D9" s="18">
        <v>265634</v>
      </c>
      <c r="E9" s="18">
        <v>200256</v>
      </c>
      <c r="G9" s="18">
        <v>265634</v>
      </c>
      <c r="H9" s="18">
        <v>200256</v>
      </c>
      <c r="I9" s="7"/>
      <c r="J9" s="9">
        <f t="shared" si="0"/>
        <v>0</v>
      </c>
      <c r="K9" s="9">
        <f t="shared" si="1"/>
        <v>0</v>
      </c>
    </row>
    <row r="10" spans="1:11" x14ac:dyDescent="0.25">
      <c r="A10" s="14">
        <v>37865</v>
      </c>
      <c r="B10" s="18">
        <v>265512</v>
      </c>
      <c r="C10" s="18">
        <v>199057</v>
      </c>
      <c r="D10" s="18">
        <v>264252</v>
      </c>
      <c r="E10" s="18">
        <v>198347</v>
      </c>
      <c r="G10" s="18">
        <v>264252</v>
      </c>
      <c r="H10" s="18">
        <v>198347</v>
      </c>
      <c r="I10" s="7"/>
      <c r="J10" s="9">
        <f t="shared" si="0"/>
        <v>0</v>
      </c>
      <c r="K10" s="9">
        <f t="shared" si="1"/>
        <v>0</v>
      </c>
    </row>
    <row r="11" spans="1:11" x14ac:dyDescent="0.25">
      <c r="A11" s="14">
        <v>37895</v>
      </c>
      <c r="B11" s="18">
        <v>262726</v>
      </c>
      <c r="C11" s="18">
        <v>195056</v>
      </c>
      <c r="D11" s="18">
        <v>262570</v>
      </c>
      <c r="E11" s="18">
        <v>196257</v>
      </c>
      <c r="G11" s="18">
        <v>262570</v>
      </c>
      <c r="H11" s="18">
        <v>196257</v>
      </c>
      <c r="I11" s="7"/>
      <c r="J11" s="9">
        <f t="shared" si="0"/>
        <v>0</v>
      </c>
      <c r="K11" s="9">
        <f t="shared" si="1"/>
        <v>0</v>
      </c>
    </row>
    <row r="12" spans="1:11" x14ac:dyDescent="0.25">
      <c r="A12" s="14">
        <v>37926</v>
      </c>
      <c r="B12" s="18">
        <v>264452</v>
      </c>
      <c r="C12" s="18">
        <v>195850</v>
      </c>
      <c r="D12" s="18">
        <v>262807</v>
      </c>
      <c r="E12" s="18">
        <v>195379</v>
      </c>
      <c r="G12" s="18">
        <v>262807</v>
      </c>
      <c r="H12" s="18">
        <v>195379</v>
      </c>
      <c r="I12" s="7"/>
      <c r="J12" s="9">
        <f t="shared" si="0"/>
        <v>0</v>
      </c>
      <c r="K12" s="9">
        <f t="shared" si="1"/>
        <v>0</v>
      </c>
    </row>
    <row r="13" spans="1:11" x14ac:dyDescent="0.25">
      <c r="A13" s="14">
        <v>37956</v>
      </c>
      <c r="B13" s="18">
        <v>272399</v>
      </c>
      <c r="C13" s="18">
        <v>203984</v>
      </c>
      <c r="D13" s="18">
        <v>264712</v>
      </c>
      <c r="E13" s="18">
        <v>198560</v>
      </c>
      <c r="G13" s="18">
        <v>264712</v>
      </c>
      <c r="H13" s="18">
        <v>198560</v>
      </c>
      <c r="I13" s="7"/>
      <c r="J13" s="9">
        <f t="shared" si="0"/>
        <v>0</v>
      </c>
      <c r="K13" s="9">
        <f t="shared" si="1"/>
        <v>0</v>
      </c>
    </row>
    <row r="14" spans="1:11" x14ac:dyDescent="0.25">
      <c r="A14" s="14">
        <v>37987</v>
      </c>
      <c r="B14" s="18">
        <v>273273</v>
      </c>
      <c r="C14" s="18">
        <v>206796</v>
      </c>
      <c r="D14" s="18">
        <v>267284</v>
      </c>
      <c r="E14" s="18">
        <v>200609</v>
      </c>
      <c r="G14" s="18">
        <v>267284</v>
      </c>
      <c r="H14" s="18">
        <v>200609</v>
      </c>
      <c r="I14" s="7"/>
      <c r="J14" s="9">
        <f t="shared" si="0"/>
        <v>0</v>
      </c>
      <c r="K14" s="9">
        <f t="shared" si="1"/>
        <v>0</v>
      </c>
    </row>
    <row r="15" spans="1:11" x14ac:dyDescent="0.25">
      <c r="A15" s="14">
        <v>38018</v>
      </c>
      <c r="B15" s="18">
        <v>270253</v>
      </c>
      <c r="C15" s="18">
        <v>205684</v>
      </c>
      <c r="D15" s="18">
        <v>268461</v>
      </c>
      <c r="E15" s="18">
        <v>202333</v>
      </c>
      <c r="G15" s="18">
        <v>268461</v>
      </c>
      <c r="H15" s="18">
        <v>202333</v>
      </c>
      <c r="I15" s="7"/>
      <c r="J15" s="9">
        <f t="shared" si="0"/>
        <v>0</v>
      </c>
      <c r="K15" s="9">
        <f t="shared" si="1"/>
        <v>0</v>
      </c>
    </row>
    <row r="16" spans="1:11" x14ac:dyDescent="0.25">
      <c r="A16" s="14">
        <v>38047</v>
      </c>
      <c r="B16" s="18">
        <v>263746</v>
      </c>
      <c r="C16" s="18">
        <v>198997</v>
      </c>
      <c r="D16" s="18">
        <v>270088</v>
      </c>
      <c r="E16" s="18">
        <v>203418</v>
      </c>
      <c r="G16" s="18">
        <v>270088</v>
      </c>
      <c r="H16" s="18">
        <v>203418</v>
      </c>
      <c r="I16" s="7"/>
      <c r="J16" s="9">
        <f t="shared" si="0"/>
        <v>0</v>
      </c>
      <c r="K16" s="9">
        <f t="shared" si="1"/>
        <v>0</v>
      </c>
    </row>
    <row r="17" spans="1:11" x14ac:dyDescent="0.25">
      <c r="A17" s="14">
        <v>38078</v>
      </c>
      <c r="B17" s="18">
        <v>261988</v>
      </c>
      <c r="C17" s="18">
        <v>196232</v>
      </c>
      <c r="D17" s="18">
        <v>272510</v>
      </c>
      <c r="E17" s="18">
        <v>205696</v>
      </c>
      <c r="G17" s="18">
        <v>272510</v>
      </c>
      <c r="H17" s="18">
        <v>205696</v>
      </c>
      <c r="I17" s="7"/>
      <c r="J17" s="9">
        <f t="shared" si="0"/>
        <v>0</v>
      </c>
      <c r="K17" s="9">
        <f t="shared" si="1"/>
        <v>0</v>
      </c>
    </row>
    <row r="18" spans="1:11" x14ac:dyDescent="0.25">
      <c r="A18" s="14">
        <v>38108</v>
      </c>
      <c r="B18" s="18">
        <v>264863</v>
      </c>
      <c r="C18" s="18">
        <v>197780</v>
      </c>
      <c r="D18" s="18">
        <v>274555</v>
      </c>
      <c r="E18" s="18">
        <v>207167</v>
      </c>
      <c r="G18" s="18">
        <v>274555</v>
      </c>
      <c r="H18" s="18">
        <v>207167</v>
      </c>
      <c r="I18" s="7"/>
      <c r="J18" s="9">
        <f t="shared" si="0"/>
        <v>0</v>
      </c>
      <c r="K18" s="9">
        <f t="shared" si="1"/>
        <v>0</v>
      </c>
    </row>
    <row r="19" spans="1:11" x14ac:dyDescent="0.25">
      <c r="A19" s="14">
        <v>38139</v>
      </c>
      <c r="B19" s="18">
        <v>272828</v>
      </c>
      <c r="C19" s="18">
        <v>205781</v>
      </c>
      <c r="D19" s="18">
        <v>275649</v>
      </c>
      <c r="E19" s="18">
        <v>208183</v>
      </c>
      <c r="G19" s="18">
        <v>275649</v>
      </c>
      <c r="H19" s="18">
        <v>208183</v>
      </c>
      <c r="I19" s="7"/>
      <c r="J19" s="9">
        <f t="shared" si="0"/>
        <v>0</v>
      </c>
      <c r="K19" s="9">
        <f t="shared" si="1"/>
        <v>0</v>
      </c>
    </row>
    <row r="20" spans="1:11" x14ac:dyDescent="0.25">
      <c r="A20" s="14">
        <v>38169</v>
      </c>
      <c r="B20" s="18">
        <v>279906</v>
      </c>
      <c r="C20" s="18">
        <v>212585</v>
      </c>
      <c r="D20" s="18">
        <v>276101</v>
      </c>
      <c r="E20" s="18">
        <v>208658</v>
      </c>
      <c r="G20" s="18">
        <v>276101</v>
      </c>
      <c r="H20" s="18">
        <v>208658</v>
      </c>
      <c r="I20" s="7"/>
      <c r="J20" s="9">
        <f t="shared" si="0"/>
        <v>0</v>
      </c>
      <c r="K20" s="9">
        <f t="shared" si="1"/>
        <v>0</v>
      </c>
    </row>
    <row r="21" spans="1:11" x14ac:dyDescent="0.25">
      <c r="A21" s="14">
        <v>38200</v>
      </c>
      <c r="B21" s="18">
        <v>283530</v>
      </c>
      <c r="C21" s="18">
        <v>215996</v>
      </c>
      <c r="D21" s="18">
        <v>277356</v>
      </c>
      <c r="E21" s="18">
        <v>210043</v>
      </c>
      <c r="G21" s="18">
        <v>277356</v>
      </c>
      <c r="H21" s="18">
        <v>210043</v>
      </c>
      <c r="I21" s="7"/>
      <c r="J21" s="9">
        <f t="shared" si="0"/>
        <v>0</v>
      </c>
      <c r="K21" s="9">
        <f t="shared" si="1"/>
        <v>0</v>
      </c>
    </row>
    <row r="22" spans="1:11" x14ac:dyDescent="0.25">
      <c r="A22" s="14">
        <v>38231</v>
      </c>
      <c r="B22" s="18">
        <v>279398</v>
      </c>
      <c r="C22" s="18">
        <v>211418</v>
      </c>
      <c r="D22" s="18">
        <v>277983</v>
      </c>
      <c r="E22" s="18">
        <v>210541</v>
      </c>
      <c r="G22" s="18">
        <v>277983</v>
      </c>
      <c r="H22" s="18">
        <v>210541</v>
      </c>
      <c r="I22" s="7"/>
      <c r="J22" s="9">
        <f t="shared" si="0"/>
        <v>0</v>
      </c>
      <c r="K22" s="9">
        <f t="shared" si="1"/>
        <v>0</v>
      </c>
    </row>
    <row r="23" spans="1:11" x14ac:dyDescent="0.25">
      <c r="A23" s="14">
        <v>38261</v>
      </c>
      <c r="B23" s="18">
        <v>280402</v>
      </c>
      <c r="C23" s="18">
        <v>211430</v>
      </c>
      <c r="D23" s="18">
        <v>279960</v>
      </c>
      <c r="E23" s="18">
        <v>212372</v>
      </c>
      <c r="G23" s="18">
        <v>279960</v>
      </c>
      <c r="H23" s="18">
        <v>212372</v>
      </c>
      <c r="I23" s="7"/>
      <c r="J23" s="9">
        <f t="shared" si="0"/>
        <v>0</v>
      </c>
      <c r="K23" s="9">
        <f t="shared" si="1"/>
        <v>0</v>
      </c>
    </row>
    <row r="24" spans="1:11" x14ac:dyDescent="0.25">
      <c r="A24" s="14">
        <v>38292</v>
      </c>
      <c r="B24" s="18">
        <v>280504</v>
      </c>
      <c r="C24" s="18">
        <v>210204</v>
      </c>
      <c r="D24" s="18">
        <v>278425</v>
      </c>
      <c r="E24" s="18">
        <v>209473</v>
      </c>
      <c r="G24" s="18">
        <v>278425</v>
      </c>
      <c r="H24" s="18">
        <v>209473</v>
      </c>
      <c r="I24" s="7"/>
      <c r="J24" s="9">
        <f t="shared" si="0"/>
        <v>0</v>
      </c>
      <c r="K24" s="9">
        <f t="shared" si="1"/>
        <v>0</v>
      </c>
    </row>
    <row r="25" spans="1:11" x14ac:dyDescent="0.25">
      <c r="A25" s="14">
        <v>38322</v>
      </c>
      <c r="B25" s="18">
        <v>288010</v>
      </c>
      <c r="C25" s="18">
        <v>217266</v>
      </c>
      <c r="D25" s="18">
        <v>279976</v>
      </c>
      <c r="E25" s="18">
        <v>211460</v>
      </c>
      <c r="G25" s="18">
        <v>279976</v>
      </c>
      <c r="H25" s="18">
        <v>211460</v>
      </c>
      <c r="I25" s="7"/>
      <c r="J25" s="9">
        <f t="shared" si="0"/>
        <v>0</v>
      </c>
      <c r="K25" s="9">
        <f t="shared" si="1"/>
        <v>0</v>
      </c>
    </row>
    <row r="26" spans="1:11" x14ac:dyDescent="0.25">
      <c r="A26" s="14">
        <v>38353</v>
      </c>
      <c r="B26" s="18">
        <v>284842</v>
      </c>
      <c r="C26" s="18">
        <v>215712</v>
      </c>
      <c r="D26" s="18">
        <v>278471</v>
      </c>
      <c r="E26" s="18">
        <v>209050</v>
      </c>
      <c r="G26" s="18">
        <v>278471</v>
      </c>
      <c r="H26" s="18">
        <v>209050</v>
      </c>
      <c r="I26" s="7"/>
      <c r="J26" s="9">
        <f t="shared" si="0"/>
        <v>0</v>
      </c>
      <c r="K26" s="9">
        <f t="shared" si="1"/>
        <v>0</v>
      </c>
    </row>
    <row r="27" spans="1:11" x14ac:dyDescent="0.25">
      <c r="A27" s="14">
        <v>38384</v>
      </c>
      <c r="B27" s="18">
        <v>281944</v>
      </c>
      <c r="C27" s="18">
        <v>215126</v>
      </c>
      <c r="D27" s="18">
        <v>280264</v>
      </c>
      <c r="E27" s="18">
        <v>211889</v>
      </c>
      <c r="G27" s="18">
        <v>280264</v>
      </c>
      <c r="H27" s="18">
        <v>211889</v>
      </c>
      <c r="I27" s="7"/>
      <c r="J27" s="9">
        <f t="shared" si="0"/>
        <v>0</v>
      </c>
      <c r="K27" s="9">
        <f t="shared" si="1"/>
        <v>0</v>
      </c>
    </row>
    <row r="28" spans="1:11" x14ac:dyDescent="0.25">
      <c r="A28" s="14">
        <v>38412</v>
      </c>
      <c r="B28" s="18">
        <v>273142</v>
      </c>
      <c r="C28" s="18">
        <v>206867</v>
      </c>
      <c r="D28" s="18">
        <v>279419</v>
      </c>
      <c r="E28" s="18">
        <v>211221</v>
      </c>
      <c r="G28" s="18">
        <v>279419</v>
      </c>
      <c r="H28" s="18">
        <v>211221</v>
      </c>
      <c r="I28" s="7"/>
      <c r="J28" s="9">
        <f t="shared" si="0"/>
        <v>0</v>
      </c>
      <c r="K28" s="9">
        <f t="shared" si="1"/>
        <v>0</v>
      </c>
    </row>
    <row r="29" spans="1:11" x14ac:dyDescent="0.25">
      <c r="A29" s="14">
        <v>38443</v>
      </c>
      <c r="B29" s="18">
        <v>269774</v>
      </c>
      <c r="C29" s="18">
        <v>202856</v>
      </c>
      <c r="D29" s="18">
        <v>280476</v>
      </c>
      <c r="E29" s="18">
        <v>212528</v>
      </c>
      <c r="G29" s="18">
        <v>280476</v>
      </c>
      <c r="H29" s="18">
        <v>212528</v>
      </c>
      <c r="I29" s="7"/>
      <c r="J29" s="9">
        <f t="shared" si="0"/>
        <v>0</v>
      </c>
      <c r="K29" s="9">
        <f t="shared" si="1"/>
        <v>0</v>
      </c>
    </row>
    <row r="30" spans="1:11" x14ac:dyDescent="0.25">
      <c r="A30" s="14">
        <v>38473</v>
      </c>
      <c r="B30" s="18">
        <v>270683</v>
      </c>
      <c r="C30" s="18">
        <v>202756</v>
      </c>
      <c r="D30" s="18">
        <v>280631</v>
      </c>
      <c r="E30" s="18">
        <v>212366</v>
      </c>
      <c r="G30" s="18">
        <v>280631</v>
      </c>
      <c r="H30" s="18">
        <v>212366</v>
      </c>
      <c r="I30" s="7"/>
      <c r="J30" s="9">
        <f t="shared" si="0"/>
        <v>0</v>
      </c>
      <c r="K30" s="9">
        <f t="shared" si="1"/>
        <v>0</v>
      </c>
    </row>
    <row r="31" spans="1:11" x14ac:dyDescent="0.25">
      <c r="A31" s="14">
        <v>38504</v>
      </c>
      <c r="B31" s="18">
        <v>279477</v>
      </c>
      <c r="C31" s="18">
        <v>211572</v>
      </c>
      <c r="D31" s="18">
        <v>282591</v>
      </c>
      <c r="E31" s="18">
        <v>214276</v>
      </c>
      <c r="G31" s="18">
        <v>282591</v>
      </c>
      <c r="H31" s="18">
        <v>214276</v>
      </c>
      <c r="I31" s="7"/>
      <c r="J31" s="9">
        <f t="shared" si="0"/>
        <v>0</v>
      </c>
      <c r="K31" s="9">
        <f t="shared" si="1"/>
        <v>0</v>
      </c>
    </row>
    <row r="32" spans="1:11" x14ac:dyDescent="0.25">
      <c r="A32" s="14">
        <v>38534</v>
      </c>
      <c r="B32" s="18">
        <v>287871</v>
      </c>
      <c r="C32" s="18">
        <v>219802</v>
      </c>
      <c r="D32" s="18">
        <v>284407</v>
      </c>
      <c r="E32" s="18">
        <v>216259</v>
      </c>
      <c r="G32" s="18">
        <v>284407</v>
      </c>
      <c r="H32" s="18">
        <v>216259</v>
      </c>
      <c r="I32" s="7"/>
      <c r="J32" s="9">
        <f t="shared" si="0"/>
        <v>0</v>
      </c>
      <c r="K32" s="9">
        <f t="shared" si="1"/>
        <v>0</v>
      </c>
    </row>
    <row r="33" spans="1:11" x14ac:dyDescent="0.25">
      <c r="A33" s="14">
        <v>38565</v>
      </c>
      <c r="B33" s="18">
        <v>290989</v>
      </c>
      <c r="C33" s="18">
        <v>222394</v>
      </c>
      <c r="D33" s="18">
        <v>285264</v>
      </c>
      <c r="E33" s="18">
        <v>216972</v>
      </c>
      <c r="G33" s="18">
        <v>285264</v>
      </c>
      <c r="H33" s="18">
        <v>216972</v>
      </c>
      <c r="I33" s="7"/>
      <c r="J33" s="9">
        <f t="shared" si="0"/>
        <v>0</v>
      </c>
      <c r="K33" s="9">
        <f t="shared" si="1"/>
        <v>0</v>
      </c>
    </row>
    <row r="34" spans="1:11" x14ac:dyDescent="0.25">
      <c r="A34" s="14">
        <v>38596</v>
      </c>
      <c r="B34" s="18">
        <v>287366</v>
      </c>
      <c r="C34" s="18">
        <v>218587</v>
      </c>
      <c r="D34" s="18">
        <v>285687</v>
      </c>
      <c r="E34" s="18">
        <v>217443</v>
      </c>
      <c r="G34" s="18">
        <v>285687</v>
      </c>
      <c r="H34" s="18">
        <v>217443</v>
      </c>
      <c r="I34" s="7"/>
      <c r="J34" s="9">
        <f t="shared" si="0"/>
        <v>0</v>
      </c>
      <c r="K34" s="9">
        <f t="shared" si="1"/>
        <v>0</v>
      </c>
    </row>
    <row r="35" spans="1:11" x14ac:dyDescent="0.25">
      <c r="A35" s="14">
        <v>38626</v>
      </c>
      <c r="B35" s="18">
        <v>286907</v>
      </c>
      <c r="C35" s="18">
        <v>217551</v>
      </c>
      <c r="D35" s="18">
        <v>286193</v>
      </c>
      <c r="E35" s="18">
        <v>218130</v>
      </c>
      <c r="G35" s="18">
        <v>286193</v>
      </c>
      <c r="H35" s="18">
        <v>218130</v>
      </c>
      <c r="I35" s="7"/>
      <c r="J35" s="9">
        <f t="shared" si="0"/>
        <v>0</v>
      </c>
      <c r="K35" s="9">
        <f t="shared" si="1"/>
        <v>0</v>
      </c>
    </row>
    <row r="36" spans="1:11" x14ac:dyDescent="0.25">
      <c r="A36" s="14">
        <v>38657</v>
      </c>
      <c r="B36" s="18">
        <v>293240</v>
      </c>
      <c r="C36" s="18">
        <v>223539</v>
      </c>
      <c r="D36" s="18">
        <v>290556</v>
      </c>
      <c r="E36" s="18">
        <v>222314</v>
      </c>
      <c r="G36" s="18">
        <v>290556</v>
      </c>
      <c r="H36" s="18">
        <v>222314</v>
      </c>
      <c r="I36" s="7"/>
      <c r="J36" s="9">
        <f t="shared" si="0"/>
        <v>0</v>
      </c>
      <c r="K36" s="9">
        <f t="shared" si="1"/>
        <v>0</v>
      </c>
    </row>
    <row r="37" spans="1:11" x14ac:dyDescent="0.25">
      <c r="A37" s="14">
        <v>38687</v>
      </c>
      <c r="B37" s="18">
        <v>298268</v>
      </c>
      <c r="C37" s="18">
        <v>228410</v>
      </c>
      <c r="D37" s="18">
        <v>290028</v>
      </c>
      <c r="E37" s="18">
        <v>222191</v>
      </c>
      <c r="G37" s="18">
        <v>290028</v>
      </c>
      <c r="H37" s="18">
        <v>222191</v>
      </c>
      <c r="I37" s="7"/>
      <c r="J37" s="9">
        <f t="shared" si="0"/>
        <v>0</v>
      </c>
      <c r="K37" s="9">
        <f t="shared" si="1"/>
        <v>0</v>
      </c>
    </row>
    <row r="38" spans="1:11" x14ac:dyDescent="0.25">
      <c r="A38" s="14">
        <v>38718</v>
      </c>
      <c r="B38" s="18">
        <v>300675</v>
      </c>
      <c r="C38" s="18">
        <v>232185</v>
      </c>
      <c r="D38" s="18">
        <v>293621</v>
      </c>
      <c r="E38" s="18">
        <v>224638</v>
      </c>
      <c r="G38" s="18">
        <v>293621</v>
      </c>
      <c r="H38" s="18">
        <v>224638</v>
      </c>
      <c r="I38" s="7"/>
      <c r="J38" s="9">
        <f t="shared" si="0"/>
        <v>0</v>
      </c>
      <c r="K38" s="9">
        <f t="shared" si="1"/>
        <v>0</v>
      </c>
    </row>
    <row r="39" spans="1:11" x14ac:dyDescent="0.25">
      <c r="A39" s="14">
        <v>38749</v>
      </c>
      <c r="B39" s="18">
        <v>292348</v>
      </c>
      <c r="C39" s="18">
        <v>225813</v>
      </c>
      <c r="D39" s="18">
        <v>290833</v>
      </c>
      <c r="E39" s="18">
        <v>222738</v>
      </c>
      <c r="G39" s="18">
        <v>290833</v>
      </c>
      <c r="H39" s="18">
        <v>222738</v>
      </c>
      <c r="I39" s="7"/>
      <c r="J39" s="9">
        <f t="shared" si="0"/>
        <v>0</v>
      </c>
      <c r="K39" s="9">
        <f t="shared" si="1"/>
        <v>0</v>
      </c>
    </row>
    <row r="40" spans="1:11" x14ac:dyDescent="0.25">
      <c r="A40" s="14">
        <v>38777</v>
      </c>
      <c r="B40" s="18">
        <v>285626</v>
      </c>
      <c r="C40" s="18">
        <v>219533</v>
      </c>
      <c r="D40" s="18">
        <v>291841</v>
      </c>
      <c r="E40" s="18">
        <v>223880</v>
      </c>
      <c r="G40" s="18">
        <v>291841</v>
      </c>
      <c r="H40" s="18">
        <v>223880</v>
      </c>
      <c r="I40" s="7"/>
      <c r="J40" s="9">
        <f t="shared" si="0"/>
        <v>0</v>
      </c>
      <c r="K40" s="9">
        <f t="shared" si="1"/>
        <v>0</v>
      </c>
    </row>
    <row r="41" spans="1:11" x14ac:dyDescent="0.25">
      <c r="A41" s="14">
        <v>38808</v>
      </c>
      <c r="B41" s="18">
        <v>279303</v>
      </c>
      <c r="C41" s="18">
        <v>213127</v>
      </c>
      <c r="D41" s="18">
        <v>290370</v>
      </c>
      <c r="E41" s="18">
        <v>223310</v>
      </c>
      <c r="G41" s="18">
        <v>290370</v>
      </c>
      <c r="H41" s="18">
        <v>223310</v>
      </c>
      <c r="I41" s="7"/>
      <c r="J41" s="9">
        <f t="shared" si="0"/>
        <v>0</v>
      </c>
      <c r="K41" s="9">
        <f t="shared" si="1"/>
        <v>0</v>
      </c>
    </row>
    <row r="42" spans="1:11" x14ac:dyDescent="0.25">
      <c r="A42" s="14">
        <v>38838</v>
      </c>
      <c r="B42" s="18">
        <v>283399</v>
      </c>
      <c r="C42" s="18">
        <v>215993</v>
      </c>
      <c r="D42" s="18">
        <v>293624</v>
      </c>
      <c r="E42" s="18">
        <v>225934</v>
      </c>
      <c r="G42" s="18">
        <v>293624</v>
      </c>
      <c r="H42" s="18">
        <v>225934</v>
      </c>
      <c r="I42" s="7"/>
      <c r="J42" s="9">
        <f t="shared" si="0"/>
        <v>0</v>
      </c>
      <c r="K42" s="9">
        <f t="shared" si="1"/>
        <v>0</v>
      </c>
    </row>
    <row r="43" spans="1:11" x14ac:dyDescent="0.25">
      <c r="A43" s="14">
        <v>38869</v>
      </c>
      <c r="B43" s="18">
        <v>292689</v>
      </c>
      <c r="C43" s="18">
        <v>225361</v>
      </c>
      <c r="D43" s="18">
        <v>296293</v>
      </c>
      <c r="E43" s="18">
        <v>228587</v>
      </c>
      <c r="G43" s="18">
        <v>296293</v>
      </c>
      <c r="H43" s="18">
        <v>228587</v>
      </c>
      <c r="I43" s="7"/>
      <c r="J43" s="9">
        <f t="shared" si="0"/>
        <v>0</v>
      </c>
      <c r="K43" s="9">
        <f t="shared" si="1"/>
        <v>0</v>
      </c>
    </row>
    <row r="44" spans="1:11" x14ac:dyDescent="0.25">
      <c r="A44" s="14">
        <v>38899</v>
      </c>
      <c r="B44" s="18">
        <v>301748</v>
      </c>
      <c r="C44" s="18">
        <v>233429</v>
      </c>
      <c r="D44" s="18">
        <v>298836</v>
      </c>
      <c r="E44" s="18">
        <v>230502</v>
      </c>
      <c r="G44" s="18">
        <v>298836</v>
      </c>
      <c r="H44" s="18">
        <v>230502</v>
      </c>
      <c r="I44" s="7"/>
      <c r="J44" s="9">
        <f t="shared" si="0"/>
        <v>0</v>
      </c>
      <c r="K44" s="9">
        <f t="shared" si="1"/>
        <v>0</v>
      </c>
    </row>
    <row r="45" spans="1:11" x14ac:dyDescent="0.25">
      <c r="A45" s="14">
        <v>38930</v>
      </c>
      <c r="B45" s="18">
        <v>304333</v>
      </c>
      <c r="C45" s="18">
        <v>235310</v>
      </c>
      <c r="D45" s="18">
        <v>299078</v>
      </c>
      <c r="E45" s="18">
        <v>230407</v>
      </c>
      <c r="G45" s="18">
        <v>299078</v>
      </c>
      <c r="H45" s="18">
        <v>230407</v>
      </c>
      <c r="I45" s="7"/>
      <c r="J45" s="9">
        <f t="shared" si="0"/>
        <v>0</v>
      </c>
      <c r="K45" s="9">
        <f t="shared" si="1"/>
        <v>0</v>
      </c>
    </row>
    <row r="46" spans="1:11" x14ac:dyDescent="0.25">
      <c r="A46" s="14">
        <v>38961</v>
      </c>
      <c r="B46" s="18">
        <v>306318</v>
      </c>
      <c r="C46" s="18">
        <v>236593</v>
      </c>
      <c r="D46" s="18">
        <v>304008</v>
      </c>
      <c r="E46" s="18">
        <v>234852</v>
      </c>
      <c r="G46" s="18">
        <v>304008</v>
      </c>
      <c r="H46" s="18">
        <v>234852</v>
      </c>
      <c r="I46" s="7"/>
      <c r="J46" s="9">
        <f t="shared" si="0"/>
        <v>0</v>
      </c>
      <c r="K46" s="9">
        <f t="shared" si="1"/>
        <v>0</v>
      </c>
    </row>
    <row r="47" spans="1:11" x14ac:dyDescent="0.25">
      <c r="A47" s="14">
        <v>38991</v>
      </c>
      <c r="B47" s="18">
        <v>308073</v>
      </c>
      <c r="C47" s="18">
        <v>237355</v>
      </c>
      <c r="D47" s="18">
        <v>306810</v>
      </c>
      <c r="E47" s="18">
        <v>237378</v>
      </c>
      <c r="G47" s="18">
        <v>306810</v>
      </c>
      <c r="H47" s="18">
        <v>237378</v>
      </c>
      <c r="I47" s="7"/>
      <c r="J47" s="9">
        <f t="shared" si="0"/>
        <v>0</v>
      </c>
      <c r="K47" s="9">
        <f t="shared" si="1"/>
        <v>0</v>
      </c>
    </row>
    <row r="48" spans="1:11" x14ac:dyDescent="0.25">
      <c r="A48" s="14">
        <v>39022</v>
      </c>
      <c r="B48" s="18">
        <v>315160</v>
      </c>
      <c r="C48" s="18">
        <v>243736</v>
      </c>
      <c r="D48" s="18">
        <v>312091</v>
      </c>
      <c r="E48" s="18">
        <v>242274</v>
      </c>
      <c r="G48" s="18">
        <v>312091</v>
      </c>
      <c r="H48" s="18">
        <v>242274</v>
      </c>
      <c r="I48" s="7"/>
      <c r="J48" s="9">
        <f t="shared" si="0"/>
        <v>0</v>
      </c>
      <c r="K48" s="9">
        <f t="shared" si="1"/>
        <v>0</v>
      </c>
    </row>
    <row r="49" spans="1:11" x14ac:dyDescent="0.25">
      <c r="A49" s="14">
        <v>39052</v>
      </c>
      <c r="B49" s="18">
        <v>316677</v>
      </c>
      <c r="C49" s="18">
        <v>244804</v>
      </c>
      <c r="D49" s="18">
        <v>308045</v>
      </c>
      <c r="E49" s="18">
        <v>237925</v>
      </c>
      <c r="G49" s="18">
        <v>308045</v>
      </c>
      <c r="H49" s="18">
        <v>237925</v>
      </c>
      <c r="I49" s="7"/>
      <c r="J49" s="9">
        <f t="shared" si="0"/>
        <v>0</v>
      </c>
      <c r="K49" s="9">
        <f t="shared" si="1"/>
        <v>0</v>
      </c>
    </row>
    <row r="50" spans="1:11" x14ac:dyDescent="0.25">
      <c r="A50" s="14">
        <v>39083</v>
      </c>
      <c r="B50" s="18">
        <v>319326</v>
      </c>
      <c r="C50" s="18">
        <v>248494</v>
      </c>
      <c r="D50" s="18">
        <v>311531</v>
      </c>
      <c r="E50" s="18">
        <v>240232</v>
      </c>
      <c r="G50" s="18">
        <v>311531</v>
      </c>
      <c r="H50" s="18">
        <v>240232</v>
      </c>
      <c r="I50" s="7"/>
      <c r="J50" s="9">
        <f t="shared" si="0"/>
        <v>0</v>
      </c>
      <c r="K50" s="9">
        <f t="shared" si="1"/>
        <v>0</v>
      </c>
    </row>
    <row r="51" spans="1:11" x14ac:dyDescent="0.25">
      <c r="A51" s="14">
        <v>39114</v>
      </c>
      <c r="B51" s="18">
        <v>314603</v>
      </c>
      <c r="C51" s="18">
        <v>245229</v>
      </c>
      <c r="D51" s="18">
        <v>313202</v>
      </c>
      <c r="E51" s="18">
        <v>242131</v>
      </c>
      <c r="G51" s="18">
        <v>313202</v>
      </c>
      <c r="H51" s="18">
        <v>242131</v>
      </c>
      <c r="I51" s="7"/>
      <c r="J51" s="9">
        <f t="shared" si="0"/>
        <v>0</v>
      </c>
      <c r="K51" s="9">
        <f t="shared" si="1"/>
        <v>0</v>
      </c>
    </row>
    <row r="52" spans="1:11" x14ac:dyDescent="0.25">
      <c r="A52" s="14">
        <v>39142</v>
      </c>
      <c r="B52" s="18">
        <v>311740</v>
      </c>
      <c r="C52" s="18">
        <v>242007</v>
      </c>
      <c r="D52" s="18">
        <v>318267</v>
      </c>
      <c r="E52" s="18">
        <v>246666</v>
      </c>
      <c r="G52" s="18">
        <v>318267</v>
      </c>
      <c r="H52" s="18">
        <v>246666</v>
      </c>
      <c r="I52" s="7"/>
      <c r="J52" s="9">
        <f t="shared" si="0"/>
        <v>0</v>
      </c>
      <c r="K52" s="9">
        <f t="shared" si="1"/>
        <v>0</v>
      </c>
    </row>
    <row r="53" spans="1:11" x14ac:dyDescent="0.25">
      <c r="A53" s="14">
        <v>39173</v>
      </c>
      <c r="B53" s="18">
        <v>308309</v>
      </c>
      <c r="C53" s="18">
        <v>237660</v>
      </c>
      <c r="D53" s="18">
        <v>320377</v>
      </c>
      <c r="E53" s="18">
        <v>248735</v>
      </c>
      <c r="G53" s="18">
        <v>320377</v>
      </c>
      <c r="H53" s="18">
        <v>248735</v>
      </c>
      <c r="I53" s="7"/>
      <c r="J53" s="9">
        <f t="shared" si="0"/>
        <v>0</v>
      </c>
      <c r="K53" s="9">
        <f t="shared" si="1"/>
        <v>0</v>
      </c>
    </row>
    <row r="54" spans="1:11" x14ac:dyDescent="0.25">
      <c r="A54" s="14">
        <v>39203</v>
      </c>
      <c r="B54" s="18">
        <v>311748</v>
      </c>
      <c r="C54" s="18">
        <v>239276</v>
      </c>
      <c r="D54" s="18">
        <v>322501</v>
      </c>
      <c r="E54" s="18">
        <v>249776</v>
      </c>
      <c r="G54" s="18">
        <v>322501</v>
      </c>
      <c r="H54" s="18">
        <v>249776</v>
      </c>
      <c r="I54" s="7"/>
      <c r="J54" s="9">
        <f t="shared" si="0"/>
        <v>0</v>
      </c>
      <c r="K54" s="9">
        <f t="shared" si="1"/>
        <v>0</v>
      </c>
    </row>
    <row r="55" spans="1:11" x14ac:dyDescent="0.25">
      <c r="A55" s="14">
        <v>39234</v>
      </c>
      <c r="B55" s="18">
        <v>317903</v>
      </c>
      <c r="C55" s="18">
        <v>245181</v>
      </c>
      <c r="D55" s="18">
        <v>322402</v>
      </c>
      <c r="E55" s="18">
        <v>249334</v>
      </c>
      <c r="G55" s="18">
        <v>322402</v>
      </c>
      <c r="H55" s="18">
        <v>249334</v>
      </c>
      <c r="I55" s="7"/>
      <c r="J55" s="9">
        <f t="shared" si="0"/>
        <v>0</v>
      </c>
      <c r="K55" s="9">
        <f t="shared" si="1"/>
        <v>0</v>
      </c>
    </row>
    <row r="56" spans="1:11" x14ac:dyDescent="0.25">
      <c r="A56" s="14">
        <v>39264</v>
      </c>
      <c r="B56" s="18">
        <v>324368</v>
      </c>
      <c r="C56" s="18">
        <v>251043</v>
      </c>
      <c r="D56" s="18">
        <v>321878</v>
      </c>
      <c r="E56" s="18">
        <v>248610</v>
      </c>
      <c r="G56" s="18">
        <v>321878</v>
      </c>
      <c r="H56" s="18">
        <v>248610</v>
      </c>
      <c r="I56" s="7"/>
      <c r="J56" s="9">
        <f t="shared" si="0"/>
        <v>0</v>
      </c>
      <c r="K56" s="9">
        <f t="shared" si="1"/>
        <v>0</v>
      </c>
    </row>
    <row r="57" spans="1:11" x14ac:dyDescent="0.25">
      <c r="A57" s="14">
        <v>39295</v>
      </c>
      <c r="B57" s="18">
        <v>327919</v>
      </c>
      <c r="C57" s="18">
        <v>254456</v>
      </c>
      <c r="D57" s="18">
        <v>322674</v>
      </c>
      <c r="E57" s="18">
        <v>249597</v>
      </c>
      <c r="G57" s="18">
        <v>322674</v>
      </c>
      <c r="H57" s="18">
        <v>249597</v>
      </c>
      <c r="I57" s="7"/>
      <c r="J57" s="9">
        <f t="shared" si="0"/>
        <v>0</v>
      </c>
      <c r="K57" s="9">
        <f t="shared" si="1"/>
        <v>0</v>
      </c>
    </row>
    <row r="58" spans="1:11" x14ac:dyDescent="0.25">
      <c r="A58" s="14">
        <v>39326</v>
      </c>
      <c r="B58" s="18">
        <v>328447</v>
      </c>
      <c r="C58" s="18">
        <v>254906</v>
      </c>
      <c r="D58" s="18">
        <v>325247</v>
      </c>
      <c r="E58" s="18">
        <v>252376</v>
      </c>
      <c r="G58" s="18">
        <v>325247</v>
      </c>
      <c r="H58" s="18">
        <v>252376</v>
      </c>
      <c r="I58" s="7"/>
      <c r="J58" s="9">
        <f t="shared" si="0"/>
        <v>0</v>
      </c>
      <c r="K58" s="9">
        <f t="shared" si="1"/>
        <v>0</v>
      </c>
    </row>
    <row r="59" spans="1:11" x14ac:dyDescent="0.25">
      <c r="A59" s="14">
        <v>39356</v>
      </c>
      <c r="B59" s="18">
        <v>329735</v>
      </c>
      <c r="C59" s="18">
        <v>255136</v>
      </c>
      <c r="D59" s="18">
        <v>328428</v>
      </c>
      <c r="E59" s="18">
        <v>255175</v>
      </c>
      <c r="G59" s="18">
        <v>328428</v>
      </c>
      <c r="H59" s="18">
        <v>255175</v>
      </c>
      <c r="I59" s="7"/>
      <c r="J59" s="9">
        <f t="shared" si="0"/>
        <v>0</v>
      </c>
      <c r="K59" s="9">
        <f t="shared" si="1"/>
        <v>0</v>
      </c>
    </row>
    <row r="60" spans="1:11" x14ac:dyDescent="0.25">
      <c r="A60" s="14">
        <v>39387</v>
      </c>
      <c r="B60" s="18">
        <v>334203</v>
      </c>
      <c r="C60" s="18">
        <v>258711</v>
      </c>
      <c r="D60" s="18">
        <v>330980</v>
      </c>
      <c r="E60" s="18">
        <v>257141</v>
      </c>
      <c r="G60" s="18">
        <v>330980</v>
      </c>
      <c r="H60" s="18">
        <v>257141</v>
      </c>
      <c r="I60" s="7"/>
      <c r="J60" s="9">
        <f t="shared" si="0"/>
        <v>0</v>
      </c>
      <c r="K60" s="9">
        <f t="shared" si="1"/>
        <v>0</v>
      </c>
    </row>
    <row r="61" spans="1:11" x14ac:dyDescent="0.25">
      <c r="A61" s="14">
        <v>39417</v>
      </c>
      <c r="B61" s="18">
        <v>344549</v>
      </c>
      <c r="C61" s="18">
        <v>268325</v>
      </c>
      <c r="D61" s="18">
        <v>335078</v>
      </c>
      <c r="E61" s="18">
        <v>260501</v>
      </c>
      <c r="G61" s="18">
        <v>335078</v>
      </c>
      <c r="H61" s="18">
        <v>260501</v>
      </c>
      <c r="I61" s="7"/>
      <c r="J61" s="9">
        <f t="shared" si="0"/>
        <v>0</v>
      </c>
      <c r="K61" s="9">
        <f t="shared" si="1"/>
        <v>0</v>
      </c>
    </row>
    <row r="62" spans="1:11" x14ac:dyDescent="0.25">
      <c r="A62" s="14">
        <v>39448</v>
      </c>
      <c r="B62" s="18">
        <v>344289</v>
      </c>
      <c r="C62" s="18">
        <v>268969</v>
      </c>
      <c r="D62" s="18">
        <v>335784</v>
      </c>
      <c r="E62" s="18">
        <v>260049</v>
      </c>
      <c r="G62" s="18">
        <v>335784</v>
      </c>
      <c r="H62" s="18">
        <v>260049</v>
      </c>
      <c r="I62" s="7"/>
      <c r="J62" s="9">
        <f t="shared" si="0"/>
        <v>0</v>
      </c>
      <c r="K62" s="9">
        <f t="shared" si="1"/>
        <v>0</v>
      </c>
    </row>
    <row r="63" spans="1:11" x14ac:dyDescent="0.25">
      <c r="A63" s="14">
        <v>39479</v>
      </c>
      <c r="B63" s="18">
        <v>339873</v>
      </c>
      <c r="C63" s="18">
        <v>265505</v>
      </c>
      <c r="D63" s="18">
        <v>338384</v>
      </c>
      <c r="E63" s="18">
        <v>262124</v>
      </c>
      <c r="G63" s="18">
        <v>338384</v>
      </c>
      <c r="H63" s="18">
        <v>262124</v>
      </c>
      <c r="I63" s="7"/>
      <c r="J63" s="9">
        <f t="shared" si="0"/>
        <v>0</v>
      </c>
      <c r="K63" s="9">
        <f t="shared" si="1"/>
        <v>0</v>
      </c>
    </row>
    <row r="64" spans="1:11" x14ac:dyDescent="0.25">
      <c r="A64" s="14">
        <v>39508</v>
      </c>
      <c r="B64" s="18">
        <v>328214</v>
      </c>
      <c r="C64" s="18">
        <v>253511</v>
      </c>
      <c r="D64" s="18">
        <v>335191</v>
      </c>
      <c r="E64" s="18">
        <v>258604</v>
      </c>
      <c r="G64" s="18">
        <v>335191</v>
      </c>
      <c r="H64" s="18">
        <v>258604</v>
      </c>
      <c r="I64" s="7"/>
      <c r="J64" s="9">
        <f t="shared" si="0"/>
        <v>0</v>
      </c>
      <c r="K64" s="9">
        <f t="shared" si="1"/>
        <v>0</v>
      </c>
    </row>
    <row r="65" spans="1:11" x14ac:dyDescent="0.25">
      <c r="A65" s="14">
        <v>39539</v>
      </c>
      <c r="B65" s="18">
        <v>327351</v>
      </c>
      <c r="C65" s="18">
        <v>251554</v>
      </c>
      <c r="D65" s="18">
        <v>339858</v>
      </c>
      <c r="E65" s="18">
        <v>262909</v>
      </c>
      <c r="G65" s="18">
        <v>339858</v>
      </c>
      <c r="H65" s="18">
        <v>262909</v>
      </c>
      <c r="I65" s="7"/>
      <c r="J65" s="9">
        <f t="shared" si="0"/>
        <v>0</v>
      </c>
      <c r="K65" s="9">
        <f t="shared" si="1"/>
        <v>0</v>
      </c>
    </row>
    <row r="66" spans="1:11" x14ac:dyDescent="0.25">
      <c r="A66" s="14">
        <v>39569</v>
      </c>
      <c r="B66" s="18">
        <v>332318</v>
      </c>
      <c r="C66" s="18">
        <v>255195</v>
      </c>
      <c r="D66" s="18">
        <v>343484</v>
      </c>
      <c r="E66" s="18">
        <v>266083</v>
      </c>
      <c r="G66" s="18">
        <v>343484</v>
      </c>
      <c r="H66" s="18">
        <v>266083</v>
      </c>
      <c r="I66" s="7"/>
      <c r="J66" s="9">
        <f t="shared" si="0"/>
        <v>0</v>
      </c>
      <c r="K66" s="9">
        <f t="shared" si="1"/>
        <v>0</v>
      </c>
    </row>
    <row r="67" spans="1:11" x14ac:dyDescent="0.25">
      <c r="A67" s="14">
        <v>39600</v>
      </c>
      <c r="B67" s="18">
        <v>341324</v>
      </c>
      <c r="C67" s="18">
        <v>263450</v>
      </c>
      <c r="D67" s="18">
        <v>346902</v>
      </c>
      <c r="E67" s="18">
        <v>268664</v>
      </c>
      <c r="G67" s="18">
        <v>346902</v>
      </c>
      <c r="H67" s="18">
        <v>268664</v>
      </c>
      <c r="I67" s="7"/>
      <c r="J67" s="9">
        <f t="shared" si="0"/>
        <v>0</v>
      </c>
      <c r="K67" s="9">
        <f t="shared" si="1"/>
        <v>0</v>
      </c>
    </row>
    <row r="68" spans="1:11" x14ac:dyDescent="0.25">
      <c r="A68" s="14">
        <v>39630</v>
      </c>
      <c r="B68" s="18">
        <v>351534</v>
      </c>
      <c r="C68" s="18">
        <v>272624</v>
      </c>
      <c r="D68" s="18">
        <v>349304</v>
      </c>
      <c r="E68" s="18">
        <v>270469</v>
      </c>
      <c r="G68" s="18">
        <v>349304</v>
      </c>
      <c r="H68" s="18">
        <v>270469</v>
      </c>
      <c r="I68" s="7"/>
      <c r="J68" s="9">
        <f t="shared" si="0"/>
        <v>0</v>
      </c>
      <c r="K68" s="9">
        <f t="shared" si="1"/>
        <v>0</v>
      </c>
    </row>
    <row r="69" spans="1:11" x14ac:dyDescent="0.25">
      <c r="A69" s="14">
        <v>39661</v>
      </c>
      <c r="B69" s="18">
        <v>357466</v>
      </c>
      <c r="C69" s="18">
        <v>277776</v>
      </c>
      <c r="D69" s="18">
        <v>351515</v>
      </c>
      <c r="E69" s="18">
        <v>272212</v>
      </c>
      <c r="G69" s="18">
        <v>351515</v>
      </c>
      <c r="H69" s="18">
        <v>272212</v>
      </c>
      <c r="I69" s="7"/>
      <c r="J69" s="9">
        <f t="shared" ref="J69:J106" si="2">(G69-D69)/D69</f>
        <v>0</v>
      </c>
      <c r="K69" s="9">
        <f t="shared" ref="K69:K106" si="3">(H69-E69)/E69</f>
        <v>0</v>
      </c>
    </row>
    <row r="70" spans="1:11" x14ac:dyDescent="0.25">
      <c r="A70" s="14">
        <v>39692</v>
      </c>
      <c r="B70" s="18">
        <v>358028</v>
      </c>
      <c r="C70" s="18">
        <v>277678</v>
      </c>
      <c r="D70" s="18">
        <v>353412</v>
      </c>
      <c r="E70" s="18">
        <v>273845</v>
      </c>
      <c r="G70" s="18">
        <v>353412</v>
      </c>
      <c r="H70" s="18">
        <v>273845</v>
      </c>
      <c r="I70" s="7"/>
      <c r="J70" s="9">
        <f t="shared" si="2"/>
        <v>0</v>
      </c>
      <c r="K70" s="9">
        <f t="shared" si="3"/>
        <v>0</v>
      </c>
    </row>
    <row r="71" spans="1:11" x14ac:dyDescent="0.25">
      <c r="A71" s="14">
        <v>39722</v>
      </c>
      <c r="B71" s="18">
        <v>356414</v>
      </c>
      <c r="C71" s="18">
        <v>275627</v>
      </c>
      <c r="D71" s="18">
        <v>354902</v>
      </c>
      <c r="E71" s="18">
        <v>275667</v>
      </c>
      <c r="G71" s="18">
        <v>354902</v>
      </c>
      <c r="H71" s="18">
        <v>275667</v>
      </c>
      <c r="I71" s="7"/>
      <c r="J71" s="9">
        <f t="shared" si="2"/>
        <v>0</v>
      </c>
      <c r="K71" s="9">
        <f t="shared" si="3"/>
        <v>0</v>
      </c>
    </row>
    <row r="72" spans="1:11" x14ac:dyDescent="0.25">
      <c r="A72" s="14">
        <v>39753</v>
      </c>
      <c r="B72" s="18">
        <v>360056</v>
      </c>
      <c r="C72" s="18">
        <v>279490</v>
      </c>
      <c r="D72" s="18">
        <v>356785</v>
      </c>
      <c r="E72" s="18">
        <v>278088</v>
      </c>
      <c r="G72" s="18">
        <v>356785</v>
      </c>
      <c r="H72" s="18">
        <v>278088</v>
      </c>
      <c r="I72" s="7"/>
      <c r="J72" s="9">
        <f t="shared" si="2"/>
        <v>0</v>
      </c>
      <c r="K72" s="9">
        <f t="shared" si="3"/>
        <v>0</v>
      </c>
    </row>
    <row r="73" spans="1:11" x14ac:dyDescent="0.25">
      <c r="A73" s="14">
        <v>39783</v>
      </c>
      <c r="B73" s="18">
        <v>368513</v>
      </c>
      <c r="C73" s="18">
        <v>288989</v>
      </c>
      <c r="D73" s="18">
        <v>358760</v>
      </c>
      <c r="E73" s="18">
        <v>280588</v>
      </c>
      <c r="G73" s="18">
        <v>358760</v>
      </c>
      <c r="H73" s="18">
        <v>280588</v>
      </c>
      <c r="I73" s="7"/>
      <c r="J73" s="9">
        <f t="shared" si="2"/>
        <v>0</v>
      </c>
      <c r="K73" s="9">
        <f t="shared" si="3"/>
        <v>0</v>
      </c>
    </row>
    <row r="74" spans="1:11" x14ac:dyDescent="0.25">
      <c r="A74" s="14">
        <v>39814</v>
      </c>
      <c r="B74" s="18">
        <v>369967</v>
      </c>
      <c r="C74" s="18">
        <v>292507</v>
      </c>
      <c r="D74" s="18">
        <v>361282</v>
      </c>
      <c r="E74" s="18">
        <v>283331</v>
      </c>
      <c r="G74" s="18">
        <v>361282</v>
      </c>
      <c r="H74" s="18">
        <v>283331</v>
      </c>
      <c r="I74" s="7"/>
      <c r="J74" s="9">
        <f t="shared" si="2"/>
        <v>0</v>
      </c>
      <c r="K74" s="9">
        <f t="shared" si="3"/>
        <v>0</v>
      </c>
    </row>
    <row r="75" spans="1:11" x14ac:dyDescent="0.25">
      <c r="A75" s="14">
        <v>39845</v>
      </c>
      <c r="B75" s="18">
        <v>363521</v>
      </c>
      <c r="C75" s="18">
        <v>287402</v>
      </c>
      <c r="D75" s="18">
        <v>362179</v>
      </c>
      <c r="E75" s="18">
        <v>283973</v>
      </c>
      <c r="G75" s="18">
        <v>362179</v>
      </c>
      <c r="H75" s="18">
        <v>283973</v>
      </c>
      <c r="I75" s="7"/>
      <c r="J75" s="9">
        <f t="shared" si="2"/>
        <v>0</v>
      </c>
      <c r="K75" s="9">
        <f t="shared" si="3"/>
        <v>0</v>
      </c>
    </row>
    <row r="76" spans="1:11" x14ac:dyDescent="0.25">
      <c r="A76" s="14">
        <v>39873</v>
      </c>
      <c r="B76" s="18">
        <v>356289</v>
      </c>
      <c r="C76" s="18">
        <v>279338</v>
      </c>
      <c r="D76" s="18">
        <v>364154</v>
      </c>
      <c r="E76" s="18">
        <v>285341</v>
      </c>
      <c r="G76" s="18">
        <v>364154</v>
      </c>
      <c r="H76" s="18">
        <v>285341</v>
      </c>
      <c r="I76" s="7"/>
      <c r="J76" s="9">
        <f t="shared" si="2"/>
        <v>0</v>
      </c>
      <c r="K76" s="9">
        <f t="shared" si="3"/>
        <v>0</v>
      </c>
    </row>
    <row r="77" spans="1:11" x14ac:dyDescent="0.25">
      <c r="A77" s="14">
        <v>39904</v>
      </c>
      <c r="B77" s="18">
        <v>353349</v>
      </c>
      <c r="C77" s="18">
        <v>275283</v>
      </c>
      <c r="D77" s="18">
        <v>366013</v>
      </c>
      <c r="E77" s="18">
        <v>286823</v>
      </c>
      <c r="G77" s="18">
        <v>366013</v>
      </c>
      <c r="H77" s="18">
        <v>286823</v>
      </c>
      <c r="I77" s="7"/>
      <c r="J77" s="9">
        <f t="shared" si="2"/>
        <v>0</v>
      </c>
      <c r="K77" s="9">
        <f t="shared" si="3"/>
        <v>0</v>
      </c>
    </row>
    <row r="78" spans="1:11" x14ac:dyDescent="0.25">
      <c r="A78" s="14">
        <v>39934</v>
      </c>
      <c r="B78" s="18">
        <v>355873</v>
      </c>
      <c r="C78" s="18">
        <v>276317</v>
      </c>
      <c r="D78" s="18">
        <v>367713</v>
      </c>
      <c r="E78" s="18">
        <v>288137</v>
      </c>
      <c r="G78" s="18">
        <v>367713</v>
      </c>
      <c r="H78" s="18">
        <v>288137</v>
      </c>
      <c r="I78" s="7"/>
      <c r="J78" s="9">
        <f t="shared" si="2"/>
        <v>0</v>
      </c>
      <c r="K78" s="9">
        <f t="shared" si="3"/>
        <v>0</v>
      </c>
    </row>
    <row r="79" spans="1:11" x14ac:dyDescent="0.25">
      <c r="A79" s="14">
        <v>39965</v>
      </c>
      <c r="B79" s="18">
        <v>361827</v>
      </c>
      <c r="C79" s="18">
        <v>281999</v>
      </c>
      <c r="D79" s="18">
        <v>368241</v>
      </c>
      <c r="E79" s="18">
        <v>288172</v>
      </c>
      <c r="G79" s="18">
        <v>368241</v>
      </c>
      <c r="H79" s="18">
        <v>288172</v>
      </c>
      <c r="I79" s="7"/>
      <c r="J79" s="9">
        <f t="shared" si="2"/>
        <v>0</v>
      </c>
      <c r="K79" s="9">
        <f t="shared" si="3"/>
        <v>0</v>
      </c>
    </row>
    <row r="80" spans="1:11" x14ac:dyDescent="0.25">
      <c r="A80" s="14">
        <v>39995</v>
      </c>
      <c r="B80" s="18">
        <v>373485</v>
      </c>
      <c r="C80" s="18">
        <v>292310</v>
      </c>
      <c r="D80" s="18">
        <v>371308</v>
      </c>
      <c r="E80" s="18">
        <v>290099</v>
      </c>
      <c r="G80" s="18">
        <v>371308</v>
      </c>
      <c r="H80" s="18">
        <v>290099</v>
      </c>
      <c r="I80" s="7"/>
      <c r="J80" s="9">
        <f t="shared" si="2"/>
        <v>0</v>
      </c>
      <c r="K80" s="9">
        <f t="shared" si="3"/>
        <v>0</v>
      </c>
    </row>
    <row r="81" spans="1:11" x14ac:dyDescent="0.25">
      <c r="A81" s="14">
        <v>40026</v>
      </c>
      <c r="B81" s="18">
        <v>379340</v>
      </c>
      <c r="C81" s="18">
        <v>296805</v>
      </c>
      <c r="D81" s="18">
        <v>372391</v>
      </c>
      <c r="E81" s="18">
        <v>290194</v>
      </c>
      <c r="G81" s="18">
        <v>372391</v>
      </c>
      <c r="H81" s="18">
        <v>290194</v>
      </c>
      <c r="I81" s="7"/>
      <c r="J81" s="9">
        <f t="shared" si="2"/>
        <v>0</v>
      </c>
      <c r="K81" s="9">
        <f t="shared" si="3"/>
        <v>0</v>
      </c>
    </row>
    <row r="82" spans="1:11" x14ac:dyDescent="0.25">
      <c r="A82" s="14">
        <v>40057</v>
      </c>
      <c r="B82" s="18">
        <v>379662</v>
      </c>
      <c r="C82" s="18">
        <v>295416</v>
      </c>
      <c r="D82" s="18">
        <v>373687</v>
      </c>
      <c r="E82" s="18">
        <v>290216</v>
      </c>
      <c r="G82" s="18">
        <v>373687</v>
      </c>
      <c r="H82" s="18">
        <v>290216</v>
      </c>
      <c r="I82" s="7"/>
      <c r="J82" s="9">
        <f t="shared" si="2"/>
        <v>0</v>
      </c>
      <c r="K82" s="9">
        <f t="shared" si="3"/>
        <v>0</v>
      </c>
    </row>
    <row r="83" spans="1:11" x14ac:dyDescent="0.25">
      <c r="A83" s="14">
        <v>40087</v>
      </c>
      <c r="B83" s="18">
        <v>376596</v>
      </c>
      <c r="C83" s="18">
        <v>290002</v>
      </c>
      <c r="D83" s="18">
        <v>375186</v>
      </c>
      <c r="E83" s="18">
        <v>290234</v>
      </c>
      <c r="G83" s="18">
        <v>375186</v>
      </c>
      <c r="H83" s="18">
        <v>290234</v>
      </c>
      <c r="I83" s="7"/>
      <c r="J83" s="9">
        <f t="shared" si="2"/>
        <v>0</v>
      </c>
      <c r="K83" s="9">
        <f t="shared" si="3"/>
        <v>0</v>
      </c>
    </row>
    <row r="84" spans="1:11" x14ac:dyDescent="0.25">
      <c r="A84" s="14">
        <v>40118</v>
      </c>
      <c r="B84" s="18">
        <v>381684</v>
      </c>
      <c r="C84" s="18">
        <v>292917</v>
      </c>
      <c r="D84" s="18">
        <v>378154</v>
      </c>
      <c r="E84" s="18">
        <v>291359</v>
      </c>
      <c r="G84" s="18">
        <v>378154</v>
      </c>
      <c r="H84" s="18">
        <v>291359</v>
      </c>
      <c r="I84" s="7"/>
      <c r="J84" s="9">
        <f t="shared" si="2"/>
        <v>0</v>
      </c>
      <c r="K84" s="9">
        <f t="shared" si="3"/>
        <v>0</v>
      </c>
    </row>
    <row r="85" spans="1:11" x14ac:dyDescent="0.25">
      <c r="A85" s="14">
        <v>40148</v>
      </c>
      <c r="B85" s="18">
        <v>391486</v>
      </c>
      <c r="C85" s="18">
        <v>301224</v>
      </c>
      <c r="D85" s="18">
        <v>381695</v>
      </c>
      <c r="E85" s="18">
        <v>292786</v>
      </c>
      <c r="G85" s="18">
        <v>381695</v>
      </c>
      <c r="H85" s="18">
        <v>292786</v>
      </c>
      <c r="I85" s="7"/>
      <c r="J85" s="9">
        <f t="shared" si="2"/>
        <v>0</v>
      </c>
      <c r="K85" s="9">
        <f t="shared" si="3"/>
        <v>0</v>
      </c>
    </row>
    <row r="86" spans="1:11" x14ac:dyDescent="0.25">
      <c r="A86" s="14">
        <v>40179</v>
      </c>
      <c r="B86" s="18">
        <v>392271</v>
      </c>
      <c r="C86" s="18">
        <v>302928</v>
      </c>
      <c r="D86" s="18">
        <v>383990</v>
      </c>
      <c r="E86" s="18">
        <v>294316</v>
      </c>
      <c r="G86" s="18">
        <v>383990</v>
      </c>
      <c r="H86" s="18">
        <v>294316</v>
      </c>
      <c r="I86" s="7"/>
      <c r="J86" s="9">
        <f t="shared" si="2"/>
        <v>0</v>
      </c>
      <c r="K86" s="9">
        <f t="shared" si="3"/>
        <v>0</v>
      </c>
    </row>
    <row r="87" spans="1:11" x14ac:dyDescent="0.25">
      <c r="A87" s="14">
        <v>40210</v>
      </c>
      <c r="B87" s="18">
        <v>388069</v>
      </c>
      <c r="C87" s="18">
        <v>299805</v>
      </c>
      <c r="D87" s="18">
        <v>386982</v>
      </c>
      <c r="E87" s="18">
        <v>296667</v>
      </c>
      <c r="G87" s="18">
        <v>386982</v>
      </c>
      <c r="H87" s="18">
        <v>296667</v>
      </c>
      <c r="I87" s="7"/>
      <c r="J87" s="9">
        <f t="shared" si="2"/>
        <v>0</v>
      </c>
      <c r="K87" s="9">
        <f t="shared" si="3"/>
        <v>0</v>
      </c>
    </row>
    <row r="88" spans="1:11" x14ac:dyDescent="0.25">
      <c r="A88" s="14">
        <v>40238</v>
      </c>
      <c r="B88" s="18">
        <v>381822</v>
      </c>
      <c r="C88" s="18">
        <v>292424</v>
      </c>
      <c r="D88" s="18">
        <v>390550</v>
      </c>
      <c r="E88" s="18">
        <v>299114</v>
      </c>
      <c r="G88" s="18">
        <v>390550</v>
      </c>
      <c r="H88" s="18">
        <v>299114</v>
      </c>
      <c r="I88" s="7"/>
      <c r="J88" s="9">
        <f t="shared" si="2"/>
        <v>0</v>
      </c>
      <c r="K88" s="9">
        <f t="shared" si="3"/>
        <v>0</v>
      </c>
    </row>
    <row r="89" spans="1:11" x14ac:dyDescent="0.25">
      <c r="A89" s="14">
        <v>40269</v>
      </c>
      <c r="B89" s="18">
        <v>380022</v>
      </c>
      <c r="C89" s="18">
        <v>288728</v>
      </c>
      <c r="D89" s="18">
        <v>392665</v>
      </c>
      <c r="E89" s="18">
        <v>300013</v>
      </c>
      <c r="G89" s="18">
        <v>392665</v>
      </c>
      <c r="H89" s="18">
        <v>300013</v>
      </c>
      <c r="I89" s="7"/>
      <c r="J89" s="9">
        <f t="shared" si="2"/>
        <v>0</v>
      </c>
      <c r="K89" s="9">
        <f t="shared" si="3"/>
        <v>0</v>
      </c>
    </row>
    <row r="90" spans="1:11" x14ac:dyDescent="0.25">
      <c r="A90" s="14">
        <v>40299</v>
      </c>
      <c r="B90" s="18">
        <v>381318</v>
      </c>
      <c r="C90" s="18">
        <v>287745</v>
      </c>
      <c r="D90" s="18">
        <v>394057</v>
      </c>
      <c r="E90" s="18">
        <v>300276</v>
      </c>
      <c r="G90" s="18">
        <v>394057</v>
      </c>
      <c r="H90" s="18">
        <v>300276</v>
      </c>
      <c r="I90" s="7"/>
      <c r="J90" s="9">
        <f t="shared" si="2"/>
        <v>0</v>
      </c>
      <c r="K90" s="9">
        <f t="shared" si="3"/>
        <v>0</v>
      </c>
    </row>
    <row r="91" spans="1:11" x14ac:dyDescent="0.25">
      <c r="A91" s="14">
        <v>40330</v>
      </c>
      <c r="B91" s="18">
        <v>386786</v>
      </c>
      <c r="C91" s="18">
        <v>292818</v>
      </c>
      <c r="D91" s="18">
        <v>393712</v>
      </c>
      <c r="E91" s="18">
        <v>299371</v>
      </c>
      <c r="G91" s="18">
        <v>393712</v>
      </c>
      <c r="H91" s="18">
        <v>299371</v>
      </c>
      <c r="I91" s="7"/>
      <c r="J91" s="9">
        <f t="shared" si="2"/>
        <v>0</v>
      </c>
      <c r="K91" s="9">
        <f t="shared" si="3"/>
        <v>0</v>
      </c>
    </row>
    <row r="92" spans="1:11" x14ac:dyDescent="0.25">
      <c r="A92" s="14">
        <v>40360</v>
      </c>
      <c r="B92" s="18">
        <v>400730</v>
      </c>
      <c r="C92" s="18">
        <v>305283</v>
      </c>
      <c r="D92" s="18">
        <v>398597</v>
      </c>
      <c r="E92" s="18">
        <v>303079</v>
      </c>
      <c r="G92" s="18">
        <v>398597</v>
      </c>
      <c r="H92" s="18">
        <v>303079</v>
      </c>
      <c r="I92" s="7"/>
      <c r="J92" s="9">
        <f t="shared" si="2"/>
        <v>0</v>
      </c>
      <c r="K92" s="9">
        <f t="shared" si="3"/>
        <v>0</v>
      </c>
    </row>
    <row r="93" spans="1:11" x14ac:dyDescent="0.25">
      <c r="A93" s="14">
        <v>40391</v>
      </c>
      <c r="B93" s="18">
        <v>411655</v>
      </c>
      <c r="C93" s="18">
        <v>314714</v>
      </c>
      <c r="D93" s="18">
        <v>403648</v>
      </c>
      <c r="E93" s="18">
        <v>307253</v>
      </c>
      <c r="G93" s="18">
        <v>403648</v>
      </c>
      <c r="H93" s="18">
        <v>307253</v>
      </c>
      <c r="I93" s="7"/>
      <c r="J93" s="9">
        <f t="shared" si="2"/>
        <v>0</v>
      </c>
      <c r="K93" s="9">
        <f t="shared" si="3"/>
        <v>0</v>
      </c>
    </row>
    <row r="94" spans="1:11" x14ac:dyDescent="0.25">
      <c r="A94" s="14">
        <v>40422</v>
      </c>
      <c r="B94" s="18">
        <v>415622</v>
      </c>
      <c r="C94" s="18">
        <v>317070</v>
      </c>
      <c r="D94" s="18">
        <v>408183</v>
      </c>
      <c r="E94" s="18">
        <v>310516</v>
      </c>
      <c r="G94" s="18">
        <v>408183</v>
      </c>
      <c r="H94" s="18">
        <v>310516</v>
      </c>
      <c r="I94" s="7"/>
      <c r="J94" s="9">
        <f t="shared" si="2"/>
        <v>0</v>
      </c>
      <c r="K94" s="9">
        <f t="shared" si="3"/>
        <v>0</v>
      </c>
    </row>
    <row r="95" spans="1:11" x14ac:dyDescent="0.25">
      <c r="A95" s="14">
        <v>40452</v>
      </c>
      <c r="B95" s="18">
        <v>415262</v>
      </c>
      <c r="C95" s="18">
        <v>315063</v>
      </c>
      <c r="D95" s="18">
        <v>413292</v>
      </c>
      <c r="E95" s="18">
        <v>314833</v>
      </c>
      <c r="G95" s="18">
        <v>413292</v>
      </c>
      <c r="H95" s="18">
        <v>314833</v>
      </c>
      <c r="I95" s="7"/>
      <c r="J95" s="9">
        <f t="shared" si="2"/>
        <v>0</v>
      </c>
      <c r="K95" s="9">
        <f t="shared" si="3"/>
        <v>0</v>
      </c>
    </row>
    <row r="96" spans="1:11" x14ac:dyDescent="0.25">
      <c r="A96" s="14">
        <v>40483</v>
      </c>
      <c r="B96" s="18">
        <v>415455</v>
      </c>
      <c r="C96" s="18">
        <v>313681</v>
      </c>
      <c r="D96" s="18">
        <v>411311</v>
      </c>
      <c r="E96" s="18">
        <v>311563</v>
      </c>
      <c r="G96" s="18">
        <v>411311</v>
      </c>
      <c r="H96" s="18">
        <v>311563</v>
      </c>
      <c r="I96" s="7"/>
      <c r="J96" s="9">
        <f t="shared" si="2"/>
        <v>0</v>
      </c>
      <c r="K96" s="9">
        <f t="shared" si="3"/>
        <v>0</v>
      </c>
    </row>
    <row r="97" spans="1:11" x14ac:dyDescent="0.25">
      <c r="A97" s="14">
        <v>40513</v>
      </c>
      <c r="B97" s="18">
        <v>420114</v>
      </c>
      <c r="C97" s="18">
        <v>317889</v>
      </c>
      <c r="D97" s="18">
        <v>410468</v>
      </c>
      <c r="E97" s="18">
        <v>309423</v>
      </c>
      <c r="G97" s="18">
        <v>410468</v>
      </c>
      <c r="H97" s="18">
        <v>309423</v>
      </c>
      <c r="I97" s="7"/>
      <c r="J97" s="9">
        <f t="shared" si="2"/>
        <v>0</v>
      </c>
      <c r="K97" s="9">
        <f t="shared" si="3"/>
        <v>0</v>
      </c>
    </row>
    <row r="98" spans="1:11" x14ac:dyDescent="0.25">
      <c r="A98" s="14">
        <v>40544</v>
      </c>
      <c r="B98" s="18">
        <v>418208</v>
      </c>
      <c r="C98" s="18">
        <v>317901</v>
      </c>
      <c r="D98" s="18">
        <v>410397</v>
      </c>
      <c r="E98" s="18">
        <v>309849</v>
      </c>
      <c r="G98" s="18">
        <v>410397</v>
      </c>
      <c r="H98" s="18">
        <v>309849</v>
      </c>
      <c r="I98" s="7"/>
      <c r="J98" s="9">
        <f t="shared" si="2"/>
        <v>0</v>
      </c>
      <c r="K98" s="9">
        <f t="shared" si="3"/>
        <v>0</v>
      </c>
    </row>
    <row r="99" spans="1:11" x14ac:dyDescent="0.25">
      <c r="A99" s="14">
        <v>40575</v>
      </c>
      <c r="B99" s="18">
        <v>416574</v>
      </c>
      <c r="C99" s="18">
        <v>318464</v>
      </c>
      <c r="D99" s="18">
        <v>416027</v>
      </c>
      <c r="E99" s="18">
        <v>315932</v>
      </c>
      <c r="G99" s="18">
        <v>416027</v>
      </c>
      <c r="H99" s="18">
        <v>315932</v>
      </c>
      <c r="I99" s="7"/>
      <c r="J99" s="9">
        <f t="shared" si="2"/>
        <v>0</v>
      </c>
      <c r="K99" s="9">
        <f t="shared" si="3"/>
        <v>0</v>
      </c>
    </row>
    <row r="100" spans="1:11" x14ac:dyDescent="0.25">
      <c r="A100" s="14">
        <v>40603</v>
      </c>
      <c r="B100" s="18">
        <v>407386</v>
      </c>
      <c r="C100" s="18">
        <v>309522</v>
      </c>
      <c r="D100" s="18">
        <v>416978</v>
      </c>
      <c r="E100" s="18">
        <v>317096</v>
      </c>
      <c r="G100" s="18">
        <v>416978</v>
      </c>
      <c r="H100" s="18">
        <v>317096</v>
      </c>
      <c r="I100" s="7"/>
      <c r="J100" s="9">
        <f t="shared" si="2"/>
        <v>0</v>
      </c>
      <c r="K100" s="9">
        <f t="shared" si="3"/>
        <v>0</v>
      </c>
    </row>
    <row r="101" spans="1:11" x14ac:dyDescent="0.25">
      <c r="A101" s="14">
        <v>40634</v>
      </c>
      <c r="B101" s="18">
        <v>407516</v>
      </c>
      <c r="C101" s="18">
        <v>308592</v>
      </c>
      <c r="D101" s="18">
        <v>420233</v>
      </c>
      <c r="E101" s="18">
        <v>320039</v>
      </c>
      <c r="G101" s="18">
        <v>420233</v>
      </c>
      <c r="H101" s="18">
        <v>320039</v>
      </c>
      <c r="I101" s="7"/>
      <c r="J101" s="9">
        <f t="shared" si="2"/>
        <v>0</v>
      </c>
      <c r="K101" s="9">
        <f t="shared" si="3"/>
        <v>0</v>
      </c>
    </row>
    <row r="102" spans="1:11" x14ac:dyDescent="0.25">
      <c r="A102" s="14">
        <v>40664</v>
      </c>
      <c r="B102" s="18">
        <v>408751</v>
      </c>
      <c r="C102" s="18">
        <v>308066</v>
      </c>
      <c r="D102" s="18">
        <v>422043</v>
      </c>
      <c r="E102" s="18">
        <v>321375</v>
      </c>
      <c r="G102" s="18">
        <v>422043</v>
      </c>
      <c r="H102" s="18">
        <v>321375</v>
      </c>
      <c r="I102" s="7"/>
      <c r="J102" s="9">
        <f t="shared" si="2"/>
        <v>0</v>
      </c>
      <c r="K102" s="9">
        <f t="shared" si="3"/>
        <v>0</v>
      </c>
    </row>
    <row r="103" spans="1:11" x14ac:dyDescent="0.25">
      <c r="A103" s="14">
        <v>40695</v>
      </c>
      <c r="B103" s="18">
        <v>420006</v>
      </c>
      <c r="C103" s="18">
        <v>318916</v>
      </c>
      <c r="D103" s="18">
        <v>427030</v>
      </c>
      <c r="E103" s="18">
        <v>325680</v>
      </c>
      <c r="G103" s="18">
        <v>427030</v>
      </c>
      <c r="H103" s="18">
        <v>325680</v>
      </c>
      <c r="I103" s="7"/>
      <c r="J103" s="9">
        <f t="shared" si="2"/>
        <v>0</v>
      </c>
      <c r="K103" s="9">
        <f t="shared" si="3"/>
        <v>0</v>
      </c>
    </row>
    <row r="104" spans="1:11" x14ac:dyDescent="0.25">
      <c r="A104" s="14">
        <v>40725</v>
      </c>
      <c r="B104" s="18">
        <v>432904</v>
      </c>
      <c r="C104" s="18">
        <v>331055</v>
      </c>
      <c r="D104" s="18">
        <v>430855</v>
      </c>
      <c r="E104" s="18">
        <v>328818</v>
      </c>
      <c r="G104" s="18">
        <v>430855</v>
      </c>
      <c r="H104" s="18">
        <v>328818</v>
      </c>
      <c r="I104" s="7"/>
      <c r="J104" s="9">
        <f t="shared" si="2"/>
        <v>0</v>
      </c>
      <c r="K104" s="9">
        <f t="shared" si="3"/>
        <v>0</v>
      </c>
    </row>
    <row r="105" spans="1:11" x14ac:dyDescent="0.25">
      <c r="A105" s="14">
        <v>40756</v>
      </c>
      <c r="B105" s="18">
        <v>438822</v>
      </c>
      <c r="C105" s="18">
        <v>336563</v>
      </c>
      <c r="D105" s="18">
        <v>430767</v>
      </c>
      <c r="E105" s="18">
        <v>329059</v>
      </c>
      <c r="G105" s="18">
        <v>430767</v>
      </c>
      <c r="H105" s="18">
        <v>329059</v>
      </c>
      <c r="I105" s="7"/>
      <c r="J105" s="9">
        <f t="shared" si="2"/>
        <v>0</v>
      </c>
      <c r="K105" s="9">
        <f t="shared" si="3"/>
        <v>0</v>
      </c>
    </row>
    <row r="106" spans="1:11" x14ac:dyDescent="0.25">
      <c r="A106" s="14">
        <v>40787</v>
      </c>
      <c r="B106" s="18">
        <v>436447</v>
      </c>
      <c r="C106" s="18">
        <v>333893</v>
      </c>
      <c r="D106" s="18">
        <v>428706</v>
      </c>
      <c r="E106" s="18">
        <v>326913</v>
      </c>
      <c r="G106" s="18">
        <v>428706</v>
      </c>
      <c r="H106" s="18">
        <v>326913</v>
      </c>
      <c r="I106" s="7"/>
      <c r="J106" s="9">
        <f t="shared" si="2"/>
        <v>0</v>
      </c>
      <c r="K106" s="9">
        <f t="shared" si="3"/>
        <v>0</v>
      </c>
    </row>
    <row r="107" spans="1:11" x14ac:dyDescent="0.25">
      <c r="A107" s="14">
        <v>40817</v>
      </c>
      <c r="B107" s="18">
        <v>429937</v>
      </c>
      <c r="C107" s="18">
        <v>326526</v>
      </c>
      <c r="D107" s="18">
        <v>427535</v>
      </c>
      <c r="E107" s="18">
        <v>325610</v>
      </c>
      <c r="G107" s="18">
        <v>427535</v>
      </c>
      <c r="H107" s="18">
        <v>325610</v>
      </c>
    </row>
    <row r="108" spans="1:11" x14ac:dyDescent="0.25">
      <c r="A108" s="14">
        <v>40848</v>
      </c>
      <c r="B108" s="18">
        <v>435993</v>
      </c>
      <c r="C108" s="18">
        <v>331605</v>
      </c>
      <c r="D108" s="18">
        <v>431076</v>
      </c>
      <c r="E108" s="18">
        <v>328378</v>
      </c>
      <c r="G108" s="18">
        <v>431076</v>
      </c>
      <c r="H108" s="18">
        <v>328378</v>
      </c>
    </row>
    <row r="109" spans="1:11" x14ac:dyDescent="0.25">
      <c r="A109" s="14">
        <v>40878</v>
      </c>
      <c r="B109" s="18">
        <v>443828</v>
      </c>
      <c r="C109" s="18">
        <v>338320</v>
      </c>
      <c r="D109" s="18">
        <v>433344</v>
      </c>
      <c r="E109" s="18">
        <v>329000</v>
      </c>
      <c r="G109" s="18">
        <v>433344</v>
      </c>
      <c r="H109" s="18">
        <v>329000</v>
      </c>
    </row>
    <row r="110" spans="1:11" x14ac:dyDescent="0.25">
      <c r="A110" s="14">
        <v>40909</v>
      </c>
      <c r="B110" s="18">
        <v>444931</v>
      </c>
      <c r="C110" s="18">
        <v>339946</v>
      </c>
      <c r="D110" s="18">
        <v>437186</v>
      </c>
      <c r="E110" s="18">
        <v>331954</v>
      </c>
      <c r="G110" s="18">
        <v>437186</v>
      </c>
      <c r="H110" s="18">
        <v>331954</v>
      </c>
    </row>
    <row r="111" spans="1:11" x14ac:dyDescent="0.25">
      <c r="A111" s="14">
        <v>40940</v>
      </c>
      <c r="B111" s="18">
        <v>440864</v>
      </c>
      <c r="C111" s="18">
        <v>336552</v>
      </c>
      <c r="D111" s="18">
        <v>440475</v>
      </c>
      <c r="E111" s="18">
        <v>334267</v>
      </c>
      <c r="G111" s="18">
        <v>440475</v>
      </c>
      <c r="H111" s="18">
        <v>334267</v>
      </c>
    </row>
    <row r="112" spans="1:11" x14ac:dyDescent="0.25">
      <c r="A112" s="14">
        <v>40969</v>
      </c>
      <c r="B112" s="18">
        <v>433392</v>
      </c>
      <c r="C112" s="18">
        <v>327883</v>
      </c>
      <c r="D112" s="18">
        <v>443565</v>
      </c>
      <c r="E112" s="18">
        <v>336197</v>
      </c>
      <c r="G112" s="18">
        <v>443565</v>
      </c>
      <c r="H112" s="18">
        <v>336197</v>
      </c>
    </row>
    <row r="113" spans="1:8" x14ac:dyDescent="0.25">
      <c r="A113" s="14">
        <v>41000</v>
      </c>
      <c r="B113" s="18">
        <v>433718</v>
      </c>
      <c r="C113" s="18">
        <v>326907</v>
      </c>
      <c r="D113" s="18">
        <v>446809</v>
      </c>
      <c r="E113" s="18">
        <v>338879</v>
      </c>
      <c r="G113" s="18">
        <v>446809</v>
      </c>
      <c r="H113" s="18">
        <v>338879</v>
      </c>
    </row>
    <row r="114" spans="1:8" x14ac:dyDescent="0.25">
      <c r="A114" s="14">
        <v>41030</v>
      </c>
      <c r="B114" s="18">
        <v>434787</v>
      </c>
      <c r="C114" s="18">
        <v>326198</v>
      </c>
      <c r="D114" s="18">
        <v>448482</v>
      </c>
      <c r="E114" s="18">
        <v>339970</v>
      </c>
      <c r="G114" s="18">
        <v>448482</v>
      </c>
      <c r="H114" s="18">
        <v>339970</v>
      </c>
    </row>
    <row r="115" spans="1:8" x14ac:dyDescent="0.25">
      <c r="A115" s="14">
        <v>41061</v>
      </c>
      <c r="B115" s="18">
        <v>442665</v>
      </c>
      <c r="C115" s="18">
        <v>334252</v>
      </c>
      <c r="D115" s="18">
        <v>450328</v>
      </c>
      <c r="E115" s="18">
        <v>341524</v>
      </c>
      <c r="G115" s="18">
        <v>450328</v>
      </c>
      <c r="H115" s="18">
        <v>341524</v>
      </c>
    </row>
    <row r="116" spans="1:8" x14ac:dyDescent="0.25">
      <c r="A116" s="14">
        <v>41091</v>
      </c>
      <c r="B116" s="18">
        <v>454872</v>
      </c>
      <c r="C116" s="18">
        <v>345176</v>
      </c>
      <c r="D116" s="18">
        <v>453713</v>
      </c>
      <c r="E116" s="18">
        <v>343799</v>
      </c>
      <c r="G116" s="18">
        <v>453713</v>
      </c>
      <c r="H116" s="18">
        <v>343799</v>
      </c>
    </row>
    <row r="117" spans="1:8" x14ac:dyDescent="0.25">
      <c r="A117" s="14">
        <v>41122</v>
      </c>
      <c r="B117" s="18">
        <v>462236</v>
      </c>
      <c r="C117" s="18">
        <v>351666</v>
      </c>
      <c r="D117" s="18">
        <v>455429</v>
      </c>
      <c r="E117" s="18">
        <v>345305</v>
      </c>
      <c r="G117" s="18">
        <v>455429</v>
      </c>
      <c r="H117" s="18">
        <v>345305</v>
      </c>
    </row>
    <row r="118" spans="1:8" x14ac:dyDescent="0.25">
      <c r="A118" s="14">
        <v>41153</v>
      </c>
      <c r="B118" s="18">
        <v>463963</v>
      </c>
      <c r="C118" s="18">
        <v>353358</v>
      </c>
      <c r="D118" s="18">
        <v>456423</v>
      </c>
      <c r="E118" s="18">
        <v>346526</v>
      </c>
      <c r="G118" s="18">
        <v>456423</v>
      </c>
      <c r="H118" s="18">
        <v>346526</v>
      </c>
    </row>
    <row r="119" spans="1:8" x14ac:dyDescent="0.25">
      <c r="A119" s="14">
        <v>41183</v>
      </c>
      <c r="B119" s="18">
        <v>462030</v>
      </c>
      <c r="C119" s="18">
        <v>350970</v>
      </c>
      <c r="D119" s="18">
        <v>458707</v>
      </c>
      <c r="E119" s="18">
        <v>349070</v>
      </c>
      <c r="G119" s="18">
        <v>458707</v>
      </c>
      <c r="H119" s="18">
        <v>349070</v>
      </c>
    </row>
    <row r="120" spans="1:8" x14ac:dyDescent="0.25">
      <c r="A120" s="14">
        <v>41214</v>
      </c>
      <c r="B120" s="18">
        <v>464163</v>
      </c>
      <c r="C120" s="18">
        <v>353491</v>
      </c>
      <c r="D120" s="18">
        <v>457633</v>
      </c>
      <c r="E120" s="18">
        <v>348463</v>
      </c>
      <c r="G120" s="18">
        <v>457633</v>
      </c>
      <c r="H120" s="18">
        <v>348463</v>
      </c>
    </row>
    <row r="121" spans="1:8" x14ac:dyDescent="0.25">
      <c r="A121" s="14">
        <v>41244</v>
      </c>
      <c r="B121" s="18">
        <v>470422</v>
      </c>
      <c r="C121" s="18">
        <v>359828</v>
      </c>
      <c r="D121" s="18">
        <v>457680</v>
      </c>
      <c r="E121" s="18">
        <v>348354</v>
      </c>
      <c r="G121" s="18">
        <v>457680</v>
      </c>
      <c r="H121" s="18">
        <v>348354</v>
      </c>
    </row>
    <row r="122" spans="1:8" x14ac:dyDescent="0.25">
      <c r="A122" s="14">
        <v>41275</v>
      </c>
      <c r="B122" s="18">
        <v>467858</v>
      </c>
      <c r="C122" s="18">
        <v>358641</v>
      </c>
      <c r="D122" s="18">
        <v>459237</v>
      </c>
      <c r="E122" s="18">
        <v>349815</v>
      </c>
      <c r="G122" s="18">
        <v>459237</v>
      </c>
      <c r="H122" s="18">
        <v>349815</v>
      </c>
    </row>
    <row r="123" spans="1:8" x14ac:dyDescent="0.25">
      <c r="A123" s="14">
        <v>41306</v>
      </c>
      <c r="B123" s="18">
        <v>461491</v>
      </c>
      <c r="C123" s="18">
        <v>353729</v>
      </c>
      <c r="D123" s="18">
        <v>460796</v>
      </c>
      <c r="E123" s="18">
        <v>351239</v>
      </c>
      <c r="G123" s="18">
        <v>460796</v>
      </c>
      <c r="H123" s="18">
        <v>351239</v>
      </c>
    </row>
    <row r="124" spans="1:8" x14ac:dyDescent="0.25">
      <c r="A124" s="14">
        <v>41334</v>
      </c>
      <c r="B124" s="18">
        <v>454646</v>
      </c>
      <c r="C124" s="18">
        <v>345992</v>
      </c>
      <c r="D124" s="18">
        <v>465148</v>
      </c>
      <c r="E124" s="18">
        <v>354872</v>
      </c>
      <c r="G124" s="18">
        <v>465148</v>
      </c>
      <c r="H124" s="18">
        <v>354872</v>
      </c>
    </row>
    <row r="125" spans="1:8" x14ac:dyDescent="0.25">
      <c r="A125" s="14">
        <v>41365</v>
      </c>
      <c r="B125" s="18">
        <v>455163</v>
      </c>
      <c r="C125" s="18">
        <v>345152</v>
      </c>
      <c r="D125" s="18">
        <v>469100</v>
      </c>
      <c r="E125" s="18">
        <v>358241</v>
      </c>
      <c r="G125" s="18">
        <v>469100</v>
      </c>
      <c r="H125" s="18">
        <v>358241</v>
      </c>
    </row>
    <row r="126" spans="1:8" x14ac:dyDescent="0.25">
      <c r="A126" s="14">
        <v>41395</v>
      </c>
      <c r="B126" s="18">
        <v>461168</v>
      </c>
      <c r="C126" s="18">
        <v>349711</v>
      </c>
      <c r="D126" s="18">
        <v>475360</v>
      </c>
      <c r="E126" s="18">
        <v>364179</v>
      </c>
      <c r="G126" s="18">
        <v>475360</v>
      </c>
      <c r="H126" s="18">
        <v>364179</v>
      </c>
    </row>
    <row r="127" spans="1:8" x14ac:dyDescent="0.25">
      <c r="A127" s="14">
        <v>41426</v>
      </c>
      <c r="B127" s="18">
        <v>470394</v>
      </c>
      <c r="C127" s="18">
        <v>359484</v>
      </c>
      <c r="D127" s="18">
        <v>479386</v>
      </c>
      <c r="E127" s="18">
        <v>368001</v>
      </c>
      <c r="G127" s="18">
        <v>479386</v>
      </c>
      <c r="H127" s="18">
        <v>368001</v>
      </c>
    </row>
    <row r="128" spans="1:8" x14ac:dyDescent="0.25">
      <c r="A128" s="14">
        <v>41456</v>
      </c>
      <c r="B128" s="18">
        <v>481355</v>
      </c>
      <c r="C128" s="18">
        <v>370457</v>
      </c>
      <c r="D128" s="18">
        <v>481901</v>
      </c>
      <c r="E128" s="18">
        <v>370651</v>
      </c>
      <c r="G128" s="18">
        <v>481901</v>
      </c>
      <c r="H128" s="18">
        <v>370651</v>
      </c>
    </row>
    <row r="129" spans="1:8" x14ac:dyDescent="0.25">
      <c r="A129" s="14">
        <v>41487</v>
      </c>
      <c r="B129" s="18">
        <v>486786</v>
      </c>
      <c r="C129" s="18">
        <v>375454</v>
      </c>
      <c r="D129" s="18">
        <v>482515</v>
      </c>
      <c r="E129" s="18">
        <v>371305</v>
      </c>
      <c r="G129" s="18">
        <v>482515</v>
      </c>
      <c r="H129" s="18">
        <v>371305</v>
      </c>
    </row>
    <row r="130" spans="1:8" x14ac:dyDescent="0.25">
      <c r="A130" s="14">
        <v>41518</v>
      </c>
      <c r="B130" s="18">
        <v>490459</v>
      </c>
      <c r="C130" s="18">
        <v>378565</v>
      </c>
      <c r="D130" s="18">
        <v>483939</v>
      </c>
      <c r="E130" s="18">
        <v>372599</v>
      </c>
      <c r="G130" s="18">
        <v>483939</v>
      </c>
      <c r="H130" s="18">
        <v>372599</v>
      </c>
    </row>
    <row r="131" spans="1:8" x14ac:dyDescent="0.25">
      <c r="A131" s="14">
        <v>41548</v>
      </c>
      <c r="B131" s="18">
        <v>489917</v>
      </c>
      <c r="C131" s="18">
        <v>377088</v>
      </c>
      <c r="D131" s="18">
        <v>486764</v>
      </c>
      <c r="E131" s="18">
        <v>375331</v>
      </c>
      <c r="G131" s="18">
        <v>486764</v>
      </c>
      <c r="H131" s="18">
        <v>375331</v>
      </c>
    </row>
    <row r="132" spans="1:8" x14ac:dyDescent="0.25">
      <c r="A132" s="14">
        <v>41579</v>
      </c>
      <c r="B132" s="18">
        <v>494439</v>
      </c>
      <c r="C132" s="18">
        <v>381054</v>
      </c>
      <c r="D132" s="18">
        <v>485392</v>
      </c>
      <c r="E132" s="18">
        <v>373484</v>
      </c>
      <c r="G132" s="18">
        <v>485392</v>
      </c>
      <c r="H132" s="18">
        <v>373484</v>
      </c>
    </row>
    <row r="133" spans="1:8" x14ac:dyDescent="0.25">
      <c r="A133" s="14">
        <v>41609</v>
      </c>
      <c r="B133" s="18">
        <v>499118</v>
      </c>
      <c r="C133" s="18">
        <v>385377</v>
      </c>
      <c r="D133" s="18">
        <v>482142</v>
      </c>
      <c r="E133" s="18">
        <v>369970</v>
      </c>
      <c r="G133" s="18">
        <v>482142</v>
      </c>
      <c r="H133" s="18">
        <v>369970</v>
      </c>
    </row>
    <row r="134" spans="1:8" x14ac:dyDescent="0.25">
      <c r="A134" s="14">
        <v>41640</v>
      </c>
      <c r="B134" s="18">
        <v>498226</v>
      </c>
      <c r="C134" s="18">
        <v>386135</v>
      </c>
      <c r="D134" s="18">
        <v>486975</v>
      </c>
      <c r="E134" s="18">
        <v>374347</v>
      </c>
      <c r="G134" s="18">
        <v>486975</v>
      </c>
      <c r="H134" s="18">
        <v>374347</v>
      </c>
    </row>
    <row r="135" spans="1:8" x14ac:dyDescent="0.25">
      <c r="A135" s="14">
        <v>41671</v>
      </c>
      <c r="B135" s="18">
        <v>491626</v>
      </c>
      <c r="C135" s="18">
        <v>380969</v>
      </c>
      <c r="D135" s="18">
        <v>489037</v>
      </c>
      <c r="E135" s="18">
        <v>376667</v>
      </c>
      <c r="G135" s="18">
        <v>489037</v>
      </c>
      <c r="H135" s="18">
        <v>376667</v>
      </c>
    </row>
    <row r="136" spans="1:8" x14ac:dyDescent="0.25">
      <c r="A136" s="14">
        <v>41699</v>
      </c>
      <c r="B136" s="18">
        <v>479491</v>
      </c>
      <c r="C136" s="18">
        <v>369140</v>
      </c>
      <c r="D136" s="18">
        <v>490720</v>
      </c>
      <c r="E136" s="18">
        <v>378937</v>
      </c>
      <c r="G136" s="18">
        <v>490720</v>
      </c>
      <c r="H136" s="18">
        <v>378937</v>
      </c>
    </row>
    <row r="137" spans="1:8" x14ac:dyDescent="0.25">
      <c r="A137" s="14">
        <v>41730</v>
      </c>
      <c r="B137" s="18">
        <v>475849</v>
      </c>
      <c r="C137" s="18">
        <v>364923</v>
      </c>
      <c r="D137" s="18">
        <v>490767</v>
      </c>
      <c r="E137" s="18">
        <v>379275</v>
      </c>
      <c r="G137" s="18">
        <v>490767</v>
      </c>
      <c r="H137" s="18">
        <v>379275</v>
      </c>
    </row>
    <row r="138" spans="1:8" x14ac:dyDescent="0.25">
      <c r="A138" s="14">
        <v>41760</v>
      </c>
      <c r="B138" s="18">
        <v>474707</v>
      </c>
      <c r="C138" s="18">
        <v>362968</v>
      </c>
      <c r="D138" s="18">
        <v>490055</v>
      </c>
      <c r="E138" s="18">
        <v>378677</v>
      </c>
      <c r="G138" s="18">
        <v>490055</v>
      </c>
      <c r="H138" s="18">
        <v>378677</v>
      </c>
    </row>
    <row r="139" spans="1:8" x14ac:dyDescent="0.25">
      <c r="A139" s="14">
        <v>41791</v>
      </c>
      <c r="B139" s="18">
        <v>479202</v>
      </c>
      <c r="C139" s="18">
        <v>368030</v>
      </c>
      <c r="D139" s="18">
        <v>490383</v>
      </c>
      <c r="E139" s="18">
        <v>378630</v>
      </c>
      <c r="G139" s="18">
        <v>490383</v>
      </c>
      <c r="H139" s="18">
        <v>378630</v>
      </c>
    </row>
    <row r="140" spans="1:8" x14ac:dyDescent="0.25">
      <c r="A140" s="14">
        <v>41821</v>
      </c>
      <c r="B140" s="18">
        <v>489212</v>
      </c>
      <c r="C140" s="18">
        <v>377326</v>
      </c>
      <c r="D140" s="18">
        <v>492204</v>
      </c>
      <c r="E140" s="18">
        <v>379919</v>
      </c>
      <c r="G140" s="18">
        <v>492204</v>
      </c>
      <c r="H140" s="18">
        <v>379919</v>
      </c>
    </row>
    <row r="141" spans="1:8" x14ac:dyDescent="0.25">
      <c r="A141" s="14">
        <v>41852</v>
      </c>
      <c r="B141" s="18">
        <v>498282</v>
      </c>
      <c r="C141" s="18">
        <v>385652</v>
      </c>
      <c r="D141" s="18">
        <v>496892</v>
      </c>
      <c r="E141" s="18">
        <v>384195</v>
      </c>
      <c r="G141" s="18">
        <v>496892</v>
      </c>
      <c r="H141" s="18">
        <v>384195</v>
      </c>
    </row>
    <row r="142" spans="1:8" x14ac:dyDescent="0.25">
      <c r="A142" s="14">
        <v>41883</v>
      </c>
      <c r="B142" s="18">
        <v>505072</v>
      </c>
      <c r="C142" s="18">
        <v>390419</v>
      </c>
      <c r="D142" s="18">
        <v>500213</v>
      </c>
      <c r="E142" s="18">
        <v>386073</v>
      </c>
      <c r="G142" s="18">
        <v>500213</v>
      </c>
      <c r="H142" s="18">
        <v>386073</v>
      </c>
    </row>
    <row r="143" spans="1:8" x14ac:dyDescent="0.25">
      <c r="A143" s="14">
        <v>41913</v>
      </c>
      <c r="B143" s="18">
        <v>505514</v>
      </c>
      <c r="C143" s="18">
        <v>389029</v>
      </c>
      <c r="D143" s="18">
        <v>503330</v>
      </c>
      <c r="E143" s="18">
        <v>388371</v>
      </c>
      <c r="G143" s="18">
        <v>503330</v>
      </c>
      <c r="H143" s="18">
        <v>388371</v>
      </c>
    </row>
    <row r="144" spans="1:8" x14ac:dyDescent="0.25">
      <c r="A144" s="14">
        <v>41944</v>
      </c>
      <c r="B144" s="18">
        <v>509048</v>
      </c>
      <c r="C144" s="18">
        <v>391015</v>
      </c>
      <c r="D144" s="18">
        <v>497328</v>
      </c>
      <c r="E144" s="18">
        <v>381040</v>
      </c>
      <c r="G144" s="18">
        <v>497328</v>
      </c>
      <c r="H144" s="18">
        <v>381040</v>
      </c>
    </row>
    <row r="145" spans="1:8" x14ac:dyDescent="0.25">
      <c r="A145" s="14">
        <v>41974</v>
      </c>
      <c r="B145" s="18">
        <v>513436</v>
      </c>
      <c r="C145" s="18">
        <v>394151</v>
      </c>
      <c r="D145" s="18">
        <v>491526</v>
      </c>
      <c r="E145" s="18">
        <v>374318</v>
      </c>
      <c r="G145" s="18">
        <v>491526</v>
      </c>
      <c r="H145" s="18">
        <v>374318</v>
      </c>
    </row>
    <row r="146" spans="1:8" x14ac:dyDescent="0.25">
      <c r="A146" s="14">
        <v>42005</v>
      </c>
      <c r="B146" s="18">
        <v>502452</v>
      </c>
      <c r="C146" s="18">
        <v>384261</v>
      </c>
      <c r="D146" s="18">
        <v>487983</v>
      </c>
      <c r="E146" s="18">
        <v>368709</v>
      </c>
      <c r="G146" s="18">
        <v>487983</v>
      </c>
      <c r="H146" s="18">
        <v>368709</v>
      </c>
    </row>
    <row r="147" spans="1:8" x14ac:dyDescent="0.25">
      <c r="A147" s="14">
        <v>42036</v>
      </c>
      <c r="B147" s="18">
        <v>488898</v>
      </c>
      <c r="C147" s="18">
        <v>372135</v>
      </c>
      <c r="D147" s="18">
        <v>483706</v>
      </c>
      <c r="E147" s="18">
        <v>365627</v>
      </c>
      <c r="G147" s="18">
        <v>483706</v>
      </c>
      <c r="H147" s="18">
        <v>365627</v>
      </c>
    </row>
    <row r="148" spans="1:8" x14ac:dyDescent="0.25">
      <c r="A148" s="14">
        <v>42064</v>
      </c>
      <c r="B148" s="18">
        <v>473452</v>
      </c>
      <c r="C148" s="18">
        <v>356420</v>
      </c>
      <c r="D148" s="18">
        <v>485473</v>
      </c>
      <c r="E148" s="18">
        <v>366896</v>
      </c>
      <c r="G148" s="18">
        <v>485473</v>
      </c>
      <c r="H148" s="18">
        <v>366896</v>
      </c>
    </row>
    <row r="149" spans="1:8" x14ac:dyDescent="0.25">
      <c r="A149" s="14">
        <v>42095</v>
      </c>
      <c r="B149" s="18">
        <v>466244</v>
      </c>
      <c r="C149" s="18">
        <v>348615</v>
      </c>
      <c r="D149" s="18">
        <v>481810</v>
      </c>
      <c r="E149" s="18">
        <v>363333</v>
      </c>
      <c r="G149" s="18">
        <v>481810</v>
      </c>
      <c r="H149" s="18">
        <v>363333</v>
      </c>
    </row>
    <row r="150" spans="1:8" x14ac:dyDescent="0.25">
      <c r="A150" s="14">
        <v>42125</v>
      </c>
      <c r="B150" s="18">
        <v>465821</v>
      </c>
      <c r="C150" s="18">
        <v>347422</v>
      </c>
      <c r="D150" s="18">
        <v>482187</v>
      </c>
      <c r="E150" s="18">
        <v>363776</v>
      </c>
      <c r="G150" s="18">
        <v>482187</v>
      </c>
      <c r="H150" s="18">
        <v>363776</v>
      </c>
    </row>
    <row r="151" spans="1:8" x14ac:dyDescent="0.25">
      <c r="A151" s="14">
        <v>42156</v>
      </c>
      <c r="B151" s="18">
        <v>467641</v>
      </c>
      <c r="C151" s="18">
        <v>350564</v>
      </c>
      <c r="D151" s="18">
        <v>480119</v>
      </c>
      <c r="E151" s="18">
        <v>362265</v>
      </c>
      <c r="G151" s="18">
        <v>480119</v>
      </c>
      <c r="H151" s="18">
        <v>362265</v>
      </c>
    </row>
    <row r="152" spans="1:8" x14ac:dyDescent="0.25">
      <c r="A152" s="14">
        <v>42186</v>
      </c>
      <c r="B152" s="18">
        <v>473413</v>
      </c>
      <c r="C152" s="18">
        <v>356172</v>
      </c>
      <c r="D152" s="18">
        <v>478064</v>
      </c>
      <c r="E152" s="18">
        <v>360387</v>
      </c>
      <c r="G152" s="18">
        <v>478064</v>
      </c>
      <c r="H152" s="18">
        <v>360387</v>
      </c>
    </row>
    <row r="153" spans="1:8" x14ac:dyDescent="0.25">
      <c r="A153" s="14">
        <v>42217</v>
      </c>
      <c r="B153" s="18">
        <v>474695</v>
      </c>
      <c r="C153" s="18">
        <v>357268</v>
      </c>
      <c r="D153" s="18">
        <v>475649</v>
      </c>
      <c r="E153" s="18">
        <v>358159</v>
      </c>
      <c r="G153" s="18">
        <v>475649</v>
      </c>
      <c r="H153" s="18">
        <v>358159</v>
      </c>
    </row>
    <row r="154" spans="1:8" x14ac:dyDescent="0.25">
      <c r="A154" s="14">
        <v>42248</v>
      </c>
      <c r="B154" s="18">
        <v>471766</v>
      </c>
      <c r="C154" s="18">
        <v>354181</v>
      </c>
      <c r="D154" s="18">
        <v>469352</v>
      </c>
      <c r="E154" s="18">
        <v>352277</v>
      </c>
      <c r="G154" s="18">
        <v>469352</v>
      </c>
      <c r="H154" s="18">
        <v>352277</v>
      </c>
    </row>
    <row r="155" spans="1:8" x14ac:dyDescent="0.25">
      <c r="A155" s="14">
        <v>42278</v>
      </c>
      <c r="B155" s="18">
        <v>475792</v>
      </c>
      <c r="C155" s="18">
        <v>358083</v>
      </c>
      <c r="D155" s="18">
        <v>475332</v>
      </c>
      <c r="E155" s="18">
        <v>358977</v>
      </c>
      <c r="G155" s="18">
        <v>475332</v>
      </c>
      <c r="H155" s="18">
        <v>358977</v>
      </c>
    </row>
    <row r="156" spans="1:8" x14ac:dyDescent="0.25">
      <c r="A156" s="14">
        <v>42309</v>
      </c>
      <c r="B156" s="18">
        <v>492335</v>
      </c>
      <c r="C156" s="18">
        <v>375068</v>
      </c>
      <c r="D156" s="18">
        <v>479560</v>
      </c>
      <c r="E156" s="18">
        <v>364214</v>
      </c>
      <c r="G156" s="18">
        <v>479560</v>
      </c>
      <c r="H156" s="18">
        <v>364214</v>
      </c>
    </row>
    <row r="157" spans="1:8" x14ac:dyDescent="0.25">
      <c r="A157" s="14">
        <v>42339</v>
      </c>
      <c r="B157" s="18">
        <v>516170</v>
      </c>
      <c r="C157" s="18">
        <v>399568</v>
      </c>
      <c r="D157" s="18">
        <v>489514</v>
      </c>
      <c r="E157" s="18">
        <v>375225</v>
      </c>
      <c r="G157" s="18">
        <v>489514</v>
      </c>
      <c r="H157" s="18">
        <v>375225</v>
      </c>
    </row>
    <row r="158" spans="1:8" x14ac:dyDescent="0.25">
      <c r="A158" s="14">
        <v>42370</v>
      </c>
      <c r="B158" s="18">
        <v>503363</v>
      </c>
      <c r="C158" s="18">
        <v>390118</v>
      </c>
      <c r="D158" s="18">
        <v>485363</v>
      </c>
      <c r="E158" s="18">
        <v>369774</v>
      </c>
      <c r="G158" s="18">
        <v>485363</v>
      </c>
      <c r="H158" s="18">
        <v>369774</v>
      </c>
    </row>
    <row r="159" spans="1:8" x14ac:dyDescent="0.25">
      <c r="A159" s="14">
        <v>42401</v>
      </c>
      <c r="B159" s="18">
        <v>485975</v>
      </c>
      <c r="C159" s="18">
        <v>375486</v>
      </c>
      <c r="D159" s="18">
        <v>477969</v>
      </c>
      <c r="E159" s="18">
        <v>366433</v>
      </c>
      <c r="G159" s="18">
        <v>477969</v>
      </c>
      <c r="H159" s="18">
        <v>366433</v>
      </c>
    </row>
    <row r="160" spans="1:8" x14ac:dyDescent="0.25">
      <c r="A160" s="14">
        <v>42430</v>
      </c>
      <c r="B160" s="18">
        <v>458021</v>
      </c>
      <c r="C160" s="18">
        <v>348734</v>
      </c>
      <c r="D160" s="18">
        <v>471433</v>
      </c>
      <c r="E160" s="18">
        <v>360874</v>
      </c>
      <c r="G160" s="18">
        <v>471433</v>
      </c>
      <c r="H160" s="18">
        <v>360874</v>
      </c>
    </row>
    <row r="161" spans="1:8" x14ac:dyDescent="0.25">
      <c r="A161" s="14">
        <v>42461</v>
      </c>
      <c r="B161" s="18">
        <v>455196</v>
      </c>
      <c r="C161" s="18">
        <v>345725</v>
      </c>
      <c r="D161" s="18">
        <v>471634</v>
      </c>
      <c r="E161" s="18">
        <v>361632</v>
      </c>
      <c r="G161" s="18">
        <v>471634</v>
      </c>
      <c r="H161" s="18">
        <v>361632</v>
      </c>
    </row>
    <row r="162" spans="1:8" x14ac:dyDescent="0.25">
      <c r="A162" s="14">
        <v>42491</v>
      </c>
      <c r="B162" s="18">
        <v>449625</v>
      </c>
      <c r="C162" s="18">
        <v>340337</v>
      </c>
      <c r="D162" s="18">
        <v>467365</v>
      </c>
      <c r="E162" s="18">
        <v>358341</v>
      </c>
      <c r="G162" s="18">
        <v>467365</v>
      </c>
      <c r="H162" s="18">
        <v>358341</v>
      </c>
    </row>
    <row r="163" spans="1:8" x14ac:dyDescent="0.25">
      <c r="A163" s="14">
        <v>42522</v>
      </c>
      <c r="B163" s="18">
        <v>452971</v>
      </c>
      <c r="C163" s="18">
        <v>345016</v>
      </c>
      <c r="D163" s="18">
        <v>466506</v>
      </c>
      <c r="E163" s="18">
        <v>358178</v>
      </c>
      <c r="G163" s="18">
        <v>466506</v>
      </c>
      <c r="H163" s="18">
        <v>358178</v>
      </c>
    </row>
    <row r="164" spans="1:8" x14ac:dyDescent="0.25">
      <c r="A164" s="14">
        <v>42552</v>
      </c>
      <c r="B164" s="18">
        <v>461801</v>
      </c>
      <c r="C164" s="18">
        <v>354831</v>
      </c>
      <c r="D164" s="18">
        <v>466978</v>
      </c>
      <c r="E164" s="18">
        <v>359801</v>
      </c>
      <c r="G164" s="18">
        <v>466978</v>
      </c>
      <c r="H164" s="18">
        <v>359801</v>
      </c>
    </row>
    <row r="165" spans="1:8" x14ac:dyDescent="0.25">
      <c r="A165" s="14">
        <v>42583</v>
      </c>
      <c r="B165" s="18">
        <v>465583</v>
      </c>
      <c r="C165" s="18">
        <v>358920</v>
      </c>
      <c r="D165" s="18">
        <v>466693</v>
      </c>
      <c r="E165" s="18">
        <v>360112</v>
      </c>
      <c r="G165" s="18">
        <v>466693</v>
      </c>
      <c r="H165" s="18">
        <v>360112</v>
      </c>
    </row>
    <row r="166" spans="1:8" x14ac:dyDescent="0.25">
      <c r="A166" s="14">
        <v>42614</v>
      </c>
      <c r="B166" s="18">
        <v>466688</v>
      </c>
      <c r="C166" s="18">
        <v>360489</v>
      </c>
      <c r="D166" s="18">
        <v>465573</v>
      </c>
      <c r="E166" s="18">
        <v>359795</v>
      </c>
      <c r="G166" s="18">
        <v>465573</v>
      </c>
      <c r="H166" s="18">
        <v>359795</v>
      </c>
    </row>
    <row r="167" spans="1:8" x14ac:dyDescent="0.25">
      <c r="A167" s="14">
        <v>42644</v>
      </c>
      <c r="B167" s="18">
        <v>467663</v>
      </c>
      <c r="C167" s="18">
        <v>361097</v>
      </c>
      <c r="D167" s="18">
        <v>467695</v>
      </c>
      <c r="E167" s="18">
        <v>362310</v>
      </c>
      <c r="G167" s="18">
        <v>467695</v>
      </c>
      <c r="H167" s="18">
        <v>362310</v>
      </c>
    </row>
    <row r="168" spans="1:8" x14ac:dyDescent="0.25">
      <c r="A168" s="14">
        <v>42675</v>
      </c>
      <c r="B168" s="18">
        <v>483108</v>
      </c>
      <c r="C168" s="18">
        <v>376079</v>
      </c>
      <c r="D168" s="18">
        <v>470264</v>
      </c>
      <c r="E168" s="18">
        <v>364778</v>
      </c>
      <c r="G168" s="18">
        <v>470264</v>
      </c>
      <c r="H168" s="18">
        <v>364778</v>
      </c>
    </row>
    <row r="169" spans="1:8" x14ac:dyDescent="0.25">
      <c r="A169" s="14">
        <v>42705</v>
      </c>
      <c r="B169" s="18">
        <v>506354</v>
      </c>
      <c r="C169" s="18">
        <v>398716</v>
      </c>
      <c r="D169" s="18">
        <v>477357</v>
      </c>
      <c r="E169" s="18">
        <v>371663</v>
      </c>
      <c r="G169" s="18">
        <v>477357</v>
      </c>
      <c r="H169" s="18">
        <v>371663</v>
      </c>
    </row>
    <row r="170" spans="1:8" x14ac:dyDescent="0.25">
      <c r="A170" s="14">
        <v>42736</v>
      </c>
      <c r="B170" s="18">
        <v>503157</v>
      </c>
      <c r="C170" s="18">
        <v>396774</v>
      </c>
      <c r="D170" s="18">
        <v>482881</v>
      </c>
      <c r="E170" s="18">
        <v>373332</v>
      </c>
      <c r="G170" s="18">
        <v>482881</v>
      </c>
      <c r="H170" s="18">
        <v>373332</v>
      </c>
    </row>
    <row r="171" spans="1:8" x14ac:dyDescent="0.25">
      <c r="A171" s="14">
        <v>42767</v>
      </c>
      <c r="B171" s="18">
        <v>489656</v>
      </c>
      <c r="C171" s="18">
        <v>384888</v>
      </c>
      <c r="D171" s="18">
        <v>480991</v>
      </c>
      <c r="E171" s="18">
        <v>375208</v>
      </c>
      <c r="G171" s="18">
        <v>480991</v>
      </c>
      <c r="H171" s="18">
        <v>375208</v>
      </c>
    </row>
    <row r="172" spans="1:8" x14ac:dyDescent="0.25">
      <c r="A172" s="14">
        <v>42795</v>
      </c>
      <c r="B172" s="18">
        <v>464430</v>
      </c>
      <c r="C172" s="18">
        <v>359484</v>
      </c>
      <c r="D172" s="18">
        <v>479574</v>
      </c>
      <c r="E172" s="18">
        <v>373658</v>
      </c>
      <c r="G172" s="18">
        <v>479574</v>
      </c>
      <c r="H172" s="18">
        <v>373658</v>
      </c>
    </row>
    <row r="173" spans="1:8" x14ac:dyDescent="0.25">
      <c r="A173" s="14">
        <v>42826</v>
      </c>
      <c r="B173" s="18">
        <v>462815</v>
      </c>
      <c r="C173" s="18">
        <v>357005</v>
      </c>
      <c r="D173" s="18">
        <v>481594</v>
      </c>
      <c r="E173" s="18">
        <v>375550</v>
      </c>
      <c r="G173" s="18">
        <v>481594</v>
      </c>
      <c r="H173" s="18">
        <v>375550</v>
      </c>
    </row>
    <row r="174" spans="1:8" x14ac:dyDescent="0.25">
      <c r="A174" s="14">
        <v>42856</v>
      </c>
      <c r="B174" s="18">
        <v>463337</v>
      </c>
      <c r="C174" s="18">
        <v>355994</v>
      </c>
      <c r="D174" s="18">
        <v>483359</v>
      </c>
      <c r="E174" s="18">
        <v>376635</v>
      </c>
      <c r="G174" s="18">
        <v>483359</v>
      </c>
      <c r="H174" s="18">
        <v>376635</v>
      </c>
    </row>
    <row r="175" spans="1:8" x14ac:dyDescent="0.25">
      <c r="A175" s="14">
        <v>42887</v>
      </c>
      <c r="B175" s="18">
        <v>469493</v>
      </c>
      <c r="C175" s="18">
        <v>362377</v>
      </c>
      <c r="D175" s="18">
        <v>483493</v>
      </c>
      <c r="E175" s="18">
        <v>376284</v>
      </c>
      <c r="G175" s="18">
        <v>483493</v>
      </c>
      <c r="H175" s="18">
        <v>376284</v>
      </c>
    </row>
    <row r="176" spans="1:8" x14ac:dyDescent="0.25">
      <c r="A176" s="14">
        <v>42917</v>
      </c>
      <c r="B176" s="18">
        <v>478205</v>
      </c>
      <c r="C176" s="18">
        <v>370464</v>
      </c>
      <c r="D176" s="18">
        <v>482180</v>
      </c>
      <c r="E176" s="18">
        <v>374371</v>
      </c>
      <c r="G176" s="18">
        <v>482180</v>
      </c>
      <c r="H176" s="18">
        <v>374371</v>
      </c>
    </row>
    <row r="177" spans="1:8" x14ac:dyDescent="0.25">
      <c r="A177" s="14">
        <v>42948</v>
      </c>
      <c r="B177" s="18">
        <v>482463</v>
      </c>
      <c r="C177" s="18">
        <v>374294</v>
      </c>
      <c r="D177" s="18">
        <v>482012</v>
      </c>
      <c r="E177" s="18">
        <v>374024</v>
      </c>
      <c r="G177" s="18">
        <v>482012</v>
      </c>
      <c r="H177" s="18">
        <v>374024</v>
      </c>
    </row>
    <row r="178" spans="1:8" x14ac:dyDescent="0.25">
      <c r="A178" s="14">
        <v>42979</v>
      </c>
      <c r="B178" s="18">
        <v>484972</v>
      </c>
      <c r="C178" s="18">
        <v>376644</v>
      </c>
      <c r="D178" s="18">
        <v>483889</v>
      </c>
      <c r="E178" s="18">
        <v>376009</v>
      </c>
      <c r="G178" s="18">
        <v>483889</v>
      </c>
      <c r="H178" s="18">
        <v>376009</v>
      </c>
    </row>
    <row r="179" spans="1:8" x14ac:dyDescent="0.25">
      <c r="A179" s="14">
        <v>43009</v>
      </c>
      <c r="B179" s="18">
        <v>487670</v>
      </c>
      <c r="C179" s="18">
        <v>378607</v>
      </c>
      <c r="D179" s="18">
        <v>487466</v>
      </c>
      <c r="E179" s="18">
        <v>379474</v>
      </c>
      <c r="G179" s="18">
        <v>487466</v>
      </c>
      <c r="H179" s="18">
        <v>379474</v>
      </c>
    </row>
    <row r="180" spans="1:8" x14ac:dyDescent="0.25">
      <c r="A180" s="14">
        <v>43040</v>
      </c>
      <c r="B180" s="18">
        <v>502679</v>
      </c>
      <c r="C180" s="18">
        <v>392960</v>
      </c>
      <c r="D180" s="18">
        <v>490105</v>
      </c>
      <c r="E180" s="18">
        <v>381701</v>
      </c>
      <c r="G180" s="18">
        <v>490105</v>
      </c>
      <c r="H180" s="18">
        <v>381701</v>
      </c>
    </row>
    <row r="181" spans="1:8" x14ac:dyDescent="0.25">
      <c r="A181" s="14">
        <v>43070</v>
      </c>
      <c r="B181" s="18">
        <v>526641</v>
      </c>
      <c r="C181" s="18">
        <v>415823</v>
      </c>
      <c r="D181" s="18">
        <v>495631</v>
      </c>
      <c r="E181" s="18">
        <v>386523</v>
      </c>
      <c r="G181" s="18">
        <v>495631</v>
      </c>
      <c r="H181" s="18">
        <v>386523</v>
      </c>
    </row>
    <row r="182" spans="1:8" x14ac:dyDescent="0.25">
      <c r="A182" s="14">
        <v>43101</v>
      </c>
      <c r="B182" s="18">
        <v>522673</v>
      </c>
      <c r="C182" s="18">
        <v>412336</v>
      </c>
      <c r="D182" s="18">
        <v>500868</v>
      </c>
      <c r="E182" s="18">
        <v>387732</v>
      </c>
      <c r="G182" s="18">
        <v>500868</v>
      </c>
      <c r="H182" s="18">
        <v>387732</v>
      </c>
    </row>
    <row r="183" spans="1:8" x14ac:dyDescent="0.25">
      <c r="A183" s="14">
        <v>43132</v>
      </c>
      <c r="B183" s="18">
        <v>503828</v>
      </c>
      <c r="C183" s="18">
        <v>394564</v>
      </c>
      <c r="D183" s="18">
        <v>496525</v>
      </c>
      <c r="E183" s="18">
        <v>386284</v>
      </c>
      <c r="G183" s="18">
        <v>496525</v>
      </c>
      <c r="H183" s="18">
        <v>386284</v>
      </c>
    </row>
    <row r="184" spans="1:8" x14ac:dyDescent="0.25">
      <c r="A184" s="14">
        <v>43160</v>
      </c>
      <c r="B184" s="18">
        <v>476292</v>
      </c>
      <c r="C184" s="18">
        <v>366397</v>
      </c>
      <c r="D184" s="18">
        <v>493912</v>
      </c>
      <c r="E184" s="18">
        <v>383035</v>
      </c>
      <c r="G184" s="18">
        <v>493912</v>
      </c>
      <c r="H184" s="18">
        <v>383035</v>
      </c>
    </row>
    <row r="185" spans="1:8" x14ac:dyDescent="0.25">
      <c r="A185" s="14">
        <v>43191</v>
      </c>
      <c r="B185" s="18">
        <v>470232</v>
      </c>
      <c r="C185" s="18">
        <v>358891</v>
      </c>
      <c r="D185" s="18">
        <v>491181</v>
      </c>
      <c r="E185" s="18">
        <v>379431</v>
      </c>
      <c r="G185" s="18">
        <v>491181</v>
      </c>
      <c r="H185" s="18">
        <v>379431</v>
      </c>
    </row>
    <row r="186" spans="1:8" x14ac:dyDescent="0.25">
      <c r="A186" s="14">
        <v>43221</v>
      </c>
      <c r="B186" s="18">
        <v>468154</v>
      </c>
      <c r="C186" s="18">
        <v>355799</v>
      </c>
      <c r="D186" s="18">
        <v>489708</v>
      </c>
      <c r="E186" s="18">
        <v>377465</v>
      </c>
      <c r="G186" s="18">
        <v>489708</v>
      </c>
      <c r="H186" s="18">
        <v>377465</v>
      </c>
    </row>
    <row r="187" spans="1:8" x14ac:dyDescent="0.25">
      <c r="A187" s="14">
        <v>43252</v>
      </c>
      <c r="B187" s="18">
        <v>473294</v>
      </c>
      <c r="C187" s="18">
        <v>361187</v>
      </c>
      <c r="D187" s="18">
        <v>486239</v>
      </c>
      <c r="E187" s="18">
        <v>373811</v>
      </c>
      <c r="G187" s="18">
        <v>486239</v>
      </c>
      <c r="H187" s="18">
        <v>373811</v>
      </c>
    </row>
    <row r="188" spans="1:8" x14ac:dyDescent="0.25">
      <c r="A188" s="14">
        <v>43282</v>
      </c>
      <c r="B188" s="18">
        <v>485901</v>
      </c>
      <c r="C188" s="18">
        <v>373627</v>
      </c>
      <c r="D188" s="18">
        <v>487171</v>
      </c>
      <c r="E188" s="18">
        <v>374675</v>
      </c>
      <c r="G188" s="18">
        <v>487171</v>
      </c>
      <c r="H188" s="18">
        <v>374675</v>
      </c>
    </row>
    <row r="189" spans="1:8" x14ac:dyDescent="0.25">
      <c r="A189" s="14">
        <v>43313</v>
      </c>
      <c r="B189" s="18">
        <v>495049</v>
      </c>
      <c r="C189" s="18">
        <v>381306</v>
      </c>
      <c r="D189" s="18">
        <v>490518</v>
      </c>
      <c r="E189" s="18">
        <v>377220</v>
      </c>
      <c r="G189" s="18">
        <v>490518</v>
      </c>
      <c r="H189" s="18">
        <v>377220</v>
      </c>
    </row>
    <row r="190" spans="1:8" x14ac:dyDescent="0.25">
      <c r="A190" s="14">
        <v>43344</v>
      </c>
      <c r="B190" s="18">
        <v>496026</v>
      </c>
      <c r="C190" s="18">
        <v>382117</v>
      </c>
      <c r="D190" s="18">
        <v>493371</v>
      </c>
      <c r="E190" s="18">
        <v>379989</v>
      </c>
      <c r="G190" s="18">
        <v>493371</v>
      </c>
      <c r="H190" s="18">
        <v>379989</v>
      </c>
    </row>
    <row r="191" spans="1:8" x14ac:dyDescent="0.25">
      <c r="A191" s="14">
        <v>43374</v>
      </c>
      <c r="B191" s="18">
        <v>494306</v>
      </c>
      <c r="C191" s="18">
        <v>379483</v>
      </c>
      <c r="D191" s="18">
        <v>493946</v>
      </c>
      <c r="E191" s="18">
        <v>380195</v>
      </c>
      <c r="G191" s="18">
        <v>493946</v>
      </c>
      <c r="H191" s="18">
        <v>380195</v>
      </c>
    </row>
    <row r="192" spans="1:8" x14ac:dyDescent="0.25">
      <c r="A192" s="14">
        <v>43405</v>
      </c>
      <c r="B192" s="18">
        <v>503786</v>
      </c>
      <c r="C192" s="18">
        <v>388481</v>
      </c>
      <c r="D192" s="18">
        <v>492443</v>
      </c>
      <c r="E192" s="18">
        <v>378372</v>
      </c>
      <c r="G192" s="18">
        <v>492443</v>
      </c>
      <c r="H192" s="18">
        <v>378372</v>
      </c>
    </row>
    <row r="193" spans="1:8" x14ac:dyDescent="0.25">
      <c r="A193" s="14">
        <v>43435</v>
      </c>
      <c r="B193" s="18">
        <v>516385</v>
      </c>
      <c r="C193" s="18">
        <v>399978</v>
      </c>
      <c r="D193" s="18">
        <v>487466</v>
      </c>
      <c r="E193" s="18">
        <v>372874</v>
      </c>
      <c r="G193" s="18">
        <v>487466</v>
      </c>
      <c r="H193" s="18">
        <v>372874</v>
      </c>
    </row>
    <row r="194" spans="1:8" x14ac:dyDescent="0.25">
      <c r="A194" s="14">
        <v>43466</v>
      </c>
      <c r="B194" s="18">
        <v>512078</v>
      </c>
      <c r="C194" s="18">
        <v>396426</v>
      </c>
      <c r="D194" s="18">
        <v>492243</v>
      </c>
      <c r="E194" s="18">
        <v>375241</v>
      </c>
      <c r="G194" s="18">
        <v>492243</v>
      </c>
      <c r="H194" s="18">
        <v>375241</v>
      </c>
    </row>
    <row r="195" spans="1:8" x14ac:dyDescent="0.25">
      <c r="A195" s="14">
        <v>43497</v>
      </c>
      <c r="B195" s="18">
        <v>495593</v>
      </c>
      <c r="C195" s="18">
        <v>380806</v>
      </c>
      <c r="D195" s="18">
        <v>491356</v>
      </c>
      <c r="E195" s="18">
        <v>375570</v>
      </c>
      <c r="G195" s="18">
        <v>491356</v>
      </c>
      <c r="H195" s="18">
        <v>375570</v>
      </c>
    </row>
    <row r="196" spans="1:8" x14ac:dyDescent="0.25">
      <c r="A196" s="14">
        <v>43525</v>
      </c>
      <c r="B196" s="18">
        <v>478540</v>
      </c>
      <c r="C196" s="18">
        <v>363617</v>
      </c>
      <c r="D196" s="18">
        <v>498387</v>
      </c>
      <c r="E196" s="18">
        <v>382357</v>
      </c>
      <c r="G196" s="18">
        <v>498387</v>
      </c>
      <c r="H196" s="18">
        <v>382357</v>
      </c>
    </row>
    <row r="197" spans="1:8" x14ac:dyDescent="0.25">
      <c r="A197" s="14">
        <v>43556</v>
      </c>
      <c r="B197" s="18">
        <v>472943</v>
      </c>
      <c r="C197" s="18">
        <v>356794</v>
      </c>
      <c r="D197" s="18">
        <v>495113</v>
      </c>
      <c r="E197" s="18">
        <v>378270</v>
      </c>
      <c r="G197" s="18">
        <v>495113</v>
      </c>
      <c r="H197" s="18">
        <v>378270</v>
      </c>
    </row>
    <row r="198" spans="1:8" x14ac:dyDescent="0.25">
      <c r="A198" s="14">
        <v>43586</v>
      </c>
      <c r="B198" s="18">
        <v>473345</v>
      </c>
      <c r="C198" s="18">
        <v>355711</v>
      </c>
      <c r="D198" s="18">
        <v>495478</v>
      </c>
      <c r="E198" s="18">
        <v>377318</v>
      </c>
      <c r="G198" s="18">
        <v>495478</v>
      </c>
      <c r="H198" s="18">
        <v>377318</v>
      </c>
    </row>
    <row r="199" spans="1:8" x14ac:dyDescent="0.25">
      <c r="A199" s="14">
        <v>43617</v>
      </c>
      <c r="B199" s="18">
        <v>471259</v>
      </c>
      <c r="C199" s="18">
        <v>353462</v>
      </c>
      <c r="D199" s="18">
        <v>481160</v>
      </c>
      <c r="E199" s="18">
        <v>362683</v>
      </c>
      <c r="G199" s="18">
        <v>481160</v>
      </c>
      <c r="H199" s="18">
        <v>362683</v>
      </c>
    </row>
    <row r="200" spans="1:8" x14ac:dyDescent="0.25">
      <c r="A200" s="14">
        <v>43647</v>
      </c>
      <c r="B200" s="18">
        <v>491537</v>
      </c>
      <c r="C200" s="18">
        <v>372695</v>
      </c>
      <c r="D200" s="18">
        <v>489500</v>
      </c>
      <c r="E200" s="18">
        <v>370257</v>
      </c>
      <c r="G200" s="18">
        <v>489500</v>
      </c>
      <c r="H200" s="18">
        <v>370257</v>
      </c>
    </row>
    <row r="201" spans="1:8" x14ac:dyDescent="0.25">
      <c r="A201" s="14">
        <v>43678</v>
      </c>
      <c r="B201" s="18">
        <v>497175</v>
      </c>
      <c r="C201" s="18">
        <v>377559</v>
      </c>
      <c r="D201" s="18">
        <v>488607</v>
      </c>
      <c r="E201" s="18">
        <v>369828</v>
      </c>
      <c r="G201" s="18">
        <v>488607</v>
      </c>
      <c r="H201" s="18">
        <v>369828</v>
      </c>
    </row>
    <row r="202" spans="1:8" x14ac:dyDescent="0.25">
      <c r="A202" s="14">
        <v>43709</v>
      </c>
      <c r="B202" s="18">
        <v>513033</v>
      </c>
      <c r="C202" s="18">
        <v>392450</v>
      </c>
      <c r="D202" s="18">
        <v>508597</v>
      </c>
      <c r="E202" s="18">
        <v>388688</v>
      </c>
      <c r="G202" s="18">
        <v>508597</v>
      </c>
      <c r="H202" s="18">
        <v>388688</v>
      </c>
    </row>
    <row r="203" spans="1:8" x14ac:dyDescent="0.25">
      <c r="A203" s="14">
        <v>43739</v>
      </c>
      <c r="B203" s="18">
        <v>513222</v>
      </c>
      <c r="C203" s="18">
        <v>391883</v>
      </c>
      <c r="D203" s="18">
        <v>513934</v>
      </c>
      <c r="E203" s="18">
        <v>393811</v>
      </c>
      <c r="G203" s="18">
        <v>513934</v>
      </c>
      <c r="H203" s="18">
        <v>393811</v>
      </c>
    </row>
    <row r="204" spans="1:8" x14ac:dyDescent="0.25">
      <c r="A204" s="14">
        <v>43770</v>
      </c>
      <c r="B204" s="18">
        <v>525583</v>
      </c>
      <c r="C204" s="18">
        <v>404072</v>
      </c>
      <c r="D204" s="18">
        <v>515495</v>
      </c>
      <c r="E204" s="18">
        <v>395249</v>
      </c>
      <c r="G204" s="18">
        <v>515495</v>
      </c>
      <c r="H204" s="18">
        <v>395249</v>
      </c>
    </row>
    <row r="205" spans="1:8" x14ac:dyDescent="0.25">
      <c r="A205" s="14">
        <v>43800</v>
      </c>
      <c r="B205" s="18">
        <v>550861</v>
      </c>
      <c r="C205" s="18">
        <v>429451</v>
      </c>
      <c r="D205" s="18">
        <v>521581</v>
      </c>
      <c r="E205" s="18">
        <v>401628</v>
      </c>
      <c r="G205" s="18">
        <v>521581</v>
      </c>
      <c r="H205" s="18">
        <v>401628</v>
      </c>
    </row>
    <row r="206" spans="1:8" x14ac:dyDescent="0.25">
      <c r="A206" s="14">
        <v>43831</v>
      </c>
      <c r="B206" s="18">
        <v>539919</v>
      </c>
      <c r="C206" s="18">
        <v>420626</v>
      </c>
      <c r="D206" s="18">
        <v>521189</v>
      </c>
      <c r="E206" s="18">
        <v>400947</v>
      </c>
      <c r="G206" s="18">
        <v>521189</v>
      </c>
      <c r="H206" s="18">
        <v>400947</v>
      </c>
    </row>
    <row r="207" spans="1:8" x14ac:dyDescent="0.25">
      <c r="A207" s="14">
        <v>43862</v>
      </c>
      <c r="B207" s="18">
        <v>521663</v>
      </c>
      <c r="C207" s="18">
        <v>403791</v>
      </c>
      <c r="D207" s="18">
        <v>519330</v>
      </c>
      <c r="E207" s="18">
        <v>400228</v>
      </c>
      <c r="G207" s="18">
        <v>519330</v>
      </c>
      <c r="H207" s="18">
        <v>400228</v>
      </c>
    </row>
    <row r="208" spans="1:8" x14ac:dyDescent="0.25">
      <c r="A208" s="14">
        <v>43891</v>
      </c>
      <c r="B208" s="18">
        <v>475987</v>
      </c>
      <c r="C208" s="18">
        <v>358392</v>
      </c>
      <c r="D208" s="18">
        <v>498320</v>
      </c>
      <c r="E208" s="18">
        <v>379598</v>
      </c>
      <c r="G208" s="18">
        <v>498320</v>
      </c>
      <c r="H208" s="18">
        <v>379598</v>
      </c>
    </row>
    <row r="209" spans="1:8" x14ac:dyDescent="0.25">
      <c r="A209" s="14">
        <v>43922</v>
      </c>
      <c r="B209" s="18">
        <v>476219</v>
      </c>
      <c r="C209" s="18">
        <v>360044</v>
      </c>
      <c r="D209" s="18">
        <v>498536</v>
      </c>
      <c r="E209" s="18">
        <v>381714</v>
      </c>
      <c r="G209" s="18">
        <v>498536</v>
      </c>
      <c r="H209" s="18">
        <v>381714</v>
      </c>
    </row>
    <row r="210" spans="1:8" x14ac:dyDescent="0.25">
      <c r="A210" s="14">
        <v>43952</v>
      </c>
      <c r="B210" s="18">
        <v>493548</v>
      </c>
      <c r="C210" s="18">
        <v>378336</v>
      </c>
      <c r="D210" s="18">
        <v>516208</v>
      </c>
      <c r="E210" s="18">
        <v>400383</v>
      </c>
      <c r="G210" s="18">
        <v>516208</v>
      </c>
      <c r="H210" s="18">
        <v>400383</v>
      </c>
    </row>
    <row r="211" spans="1:8" x14ac:dyDescent="0.25">
      <c r="A211" s="14">
        <v>43983</v>
      </c>
      <c r="B211" s="18">
        <v>522724</v>
      </c>
      <c r="C211" s="18">
        <v>408082</v>
      </c>
      <c r="D211" s="18">
        <v>530720</v>
      </c>
      <c r="E211" s="18">
        <v>415569</v>
      </c>
      <c r="G211" s="18">
        <v>530720</v>
      </c>
      <c r="H211" s="18">
        <v>415569</v>
      </c>
    </row>
    <row r="212" spans="1:8" x14ac:dyDescent="0.25">
      <c r="A212" s="14">
        <v>44013</v>
      </c>
      <c r="B212" s="18">
        <v>541807</v>
      </c>
      <c r="C212" s="18">
        <v>424462</v>
      </c>
      <c r="D212" s="18">
        <v>537488</v>
      </c>
      <c r="E212" s="18">
        <v>419274</v>
      </c>
      <c r="G212" s="18">
        <v>537488</v>
      </c>
      <c r="H212" s="18">
        <v>419274</v>
      </c>
    </row>
    <row r="213" spans="1:8" x14ac:dyDescent="0.25">
      <c r="A213" s="14">
        <v>44044</v>
      </c>
      <c r="B213" s="18">
        <v>540126</v>
      </c>
      <c r="C213" s="18">
        <v>420796</v>
      </c>
      <c r="D213" s="18">
        <v>527265</v>
      </c>
      <c r="E213" s="18">
        <v>408950</v>
      </c>
      <c r="G213" s="18">
        <v>527265</v>
      </c>
      <c r="H213" s="18">
        <v>408950</v>
      </c>
    </row>
    <row r="214" spans="1:8" x14ac:dyDescent="0.25">
      <c r="A214" s="14">
        <v>44075</v>
      </c>
      <c r="B214" s="18">
        <v>526303</v>
      </c>
      <c r="C214" s="18">
        <v>405716</v>
      </c>
      <c r="D214" s="18">
        <v>520212</v>
      </c>
      <c r="E214" s="18">
        <v>400363</v>
      </c>
      <c r="G214" s="18">
        <v>520212</v>
      </c>
      <c r="H214" s="18">
        <v>400363</v>
      </c>
    </row>
    <row r="215" spans="1:8" x14ac:dyDescent="0.25">
      <c r="A215" s="14">
        <v>44105</v>
      </c>
      <c r="B215" s="18">
        <v>509380</v>
      </c>
      <c r="C215" s="18">
        <v>388033</v>
      </c>
      <c r="D215" s="18">
        <v>511743</v>
      </c>
      <c r="E215" s="18">
        <v>391705</v>
      </c>
      <c r="G215" s="18">
        <v>511743</v>
      </c>
      <c r="H215" s="18">
        <v>391705</v>
      </c>
    </row>
    <row r="216" spans="1:8" x14ac:dyDescent="0.25">
      <c r="A216" s="14">
        <v>44136</v>
      </c>
      <c r="B216" s="18">
        <v>499580</v>
      </c>
      <c r="C216" s="18">
        <v>377430</v>
      </c>
      <c r="D216" s="18">
        <v>491235</v>
      </c>
      <c r="E216" s="18">
        <v>370443</v>
      </c>
      <c r="G216" s="18">
        <v>491235</v>
      </c>
      <c r="H216" s="18">
        <v>370443</v>
      </c>
    </row>
    <row r="217" spans="1:8" x14ac:dyDescent="0.25">
      <c r="A217" s="14">
        <v>44166</v>
      </c>
      <c r="B217" s="18">
        <v>513350</v>
      </c>
      <c r="C217" s="18">
        <v>390492</v>
      </c>
      <c r="D217" s="18">
        <v>487183</v>
      </c>
      <c r="E217" s="18">
        <v>366190</v>
      </c>
      <c r="G217" s="18">
        <v>487183</v>
      </c>
      <c r="H217" s="18">
        <v>366190</v>
      </c>
    </row>
    <row r="218" spans="1:8" x14ac:dyDescent="0.25">
      <c r="A218" s="14">
        <v>44197</v>
      </c>
      <c r="B218" s="18">
        <v>500402</v>
      </c>
      <c r="C218" s="18">
        <v>378556</v>
      </c>
      <c r="D218" s="18">
        <v>484733</v>
      </c>
      <c r="E218" s="18">
        <v>362597</v>
      </c>
      <c r="G218" s="18">
        <v>484733</v>
      </c>
      <c r="H218" s="18">
        <v>362597</v>
      </c>
    </row>
    <row r="219" spans="1:8" x14ac:dyDescent="0.25">
      <c r="A219" s="14">
        <v>44228</v>
      </c>
      <c r="B219" s="18">
        <v>490990</v>
      </c>
      <c r="C219" s="18">
        <v>369556</v>
      </c>
      <c r="D219" s="18">
        <v>489587</v>
      </c>
      <c r="E219" s="18">
        <v>367018</v>
      </c>
      <c r="G219" s="18">
        <v>489587</v>
      </c>
      <c r="H219" s="18">
        <v>367018</v>
      </c>
    </row>
    <row r="220" spans="1:8" x14ac:dyDescent="0.25">
      <c r="A220" s="14">
        <v>44256</v>
      </c>
      <c r="B220" s="18">
        <v>463925</v>
      </c>
      <c r="C220" s="18">
        <v>341517</v>
      </c>
      <c r="D220" s="18">
        <v>487145</v>
      </c>
      <c r="E220" s="18">
        <v>363248</v>
      </c>
      <c r="G220" s="18">
        <v>487145</v>
      </c>
      <c r="H220" s="18">
        <v>363248</v>
      </c>
    </row>
    <row r="221" spans="1:8" x14ac:dyDescent="0.25">
      <c r="A221" s="14">
        <v>44287</v>
      </c>
      <c r="B221" s="18">
        <v>469405</v>
      </c>
      <c r="C221" s="18">
        <v>345616</v>
      </c>
      <c r="D221" s="18">
        <v>491057</v>
      </c>
      <c r="E221" s="18">
        <v>366075</v>
      </c>
      <c r="G221" s="18">
        <v>491057</v>
      </c>
      <c r="H221" s="18">
        <v>366075</v>
      </c>
    </row>
    <row r="222" spans="1:8" x14ac:dyDescent="0.25">
      <c r="A222" s="14">
        <v>44317</v>
      </c>
      <c r="B222" s="18">
        <v>470845</v>
      </c>
      <c r="C222" s="18">
        <v>346534</v>
      </c>
      <c r="D222" s="18">
        <v>491982</v>
      </c>
      <c r="E222" s="18">
        <v>366065</v>
      </c>
      <c r="G222" s="18">
        <v>491982</v>
      </c>
      <c r="H222" s="18">
        <v>366065</v>
      </c>
    </row>
    <row r="223" spans="1:8" x14ac:dyDescent="0.25">
      <c r="A223" s="14">
        <v>44348</v>
      </c>
      <c r="B223" s="18">
        <v>488738</v>
      </c>
      <c r="C223" s="18">
        <v>365500</v>
      </c>
      <c r="D223" s="18">
        <v>494343</v>
      </c>
      <c r="E223" s="18">
        <v>370362</v>
      </c>
      <c r="G223" s="18">
        <v>494343</v>
      </c>
      <c r="H223" s="18">
        <v>370362</v>
      </c>
    </row>
    <row r="224" spans="1:8" x14ac:dyDescent="0.25">
      <c r="A224" s="14">
        <v>44378</v>
      </c>
      <c r="B224" s="18">
        <v>505227</v>
      </c>
      <c r="C224" s="18">
        <v>381865</v>
      </c>
      <c r="D224" s="18">
        <v>500522</v>
      </c>
      <c r="E224" s="18">
        <v>376392</v>
      </c>
      <c r="G224" s="18">
        <v>500522</v>
      </c>
      <c r="H224" s="18">
        <v>376392</v>
      </c>
    </row>
    <row r="225" spans="1:8" x14ac:dyDescent="0.25">
      <c r="A225" s="14">
        <v>44409</v>
      </c>
      <c r="B225" s="18">
        <v>503492</v>
      </c>
      <c r="C225" s="18">
        <v>380029</v>
      </c>
      <c r="D225" s="18">
        <v>490278</v>
      </c>
      <c r="E225" s="18">
        <v>368263</v>
      </c>
      <c r="G225" s="18">
        <v>490278</v>
      </c>
      <c r="H225" s="18">
        <v>368263</v>
      </c>
    </row>
    <row r="226" spans="1:8" x14ac:dyDescent="0.25">
      <c r="A226" s="14">
        <v>44440</v>
      </c>
      <c r="B226" s="18">
        <v>483380</v>
      </c>
      <c r="C226" s="18">
        <v>360250</v>
      </c>
      <c r="D226" s="18">
        <v>477297</v>
      </c>
      <c r="E226" s="18">
        <v>355054</v>
      </c>
      <c r="G226" s="18">
        <v>477297</v>
      </c>
      <c r="H226" s="18">
        <v>355054</v>
      </c>
    </row>
    <row r="227" spans="1:8" x14ac:dyDescent="0.25">
      <c r="A227" s="14">
        <v>44470</v>
      </c>
      <c r="B227" s="18">
        <v>465371</v>
      </c>
      <c r="C227" s="18">
        <v>343031</v>
      </c>
      <c r="D227" s="18">
        <v>468741</v>
      </c>
      <c r="E227" s="18">
        <v>347494</v>
      </c>
      <c r="G227" s="18">
        <v>468741</v>
      </c>
      <c r="H227" s="18">
        <v>347494</v>
      </c>
    </row>
    <row r="228" spans="1:8" x14ac:dyDescent="0.25">
      <c r="A228" s="14">
        <v>44501</v>
      </c>
      <c r="B228" s="18">
        <v>470916</v>
      </c>
      <c r="C228" s="18">
        <v>349080</v>
      </c>
      <c r="D228" s="18">
        <v>463821</v>
      </c>
      <c r="E228" s="18">
        <v>343406</v>
      </c>
      <c r="G228">
        <v>463821</v>
      </c>
      <c r="H228">
        <v>343406</v>
      </c>
    </row>
    <row r="229" spans="1:8" x14ac:dyDescent="0.25">
      <c r="A229" s="1"/>
    </row>
    <row r="230" spans="1:8" x14ac:dyDescent="0.25">
      <c r="A230" s="1"/>
    </row>
    <row r="231" spans="1:8" x14ac:dyDescent="0.25">
      <c r="A231" s="1"/>
    </row>
    <row r="232" spans="1:8" x14ac:dyDescent="0.25">
      <c r="A232" s="1"/>
    </row>
    <row r="233" spans="1:8" x14ac:dyDescent="0.25">
      <c r="A233" s="1"/>
    </row>
    <row r="234" spans="1:8" x14ac:dyDescent="0.25">
      <c r="A234" s="1"/>
    </row>
    <row r="235" spans="1:8" x14ac:dyDescent="0.25">
      <c r="A235" s="1"/>
    </row>
    <row r="236" spans="1:8" x14ac:dyDescent="0.25">
      <c r="A236" s="1"/>
    </row>
    <row r="237" spans="1:8" x14ac:dyDescent="0.25">
      <c r="A237" s="1"/>
    </row>
    <row r="238" spans="1:8" x14ac:dyDescent="0.25">
      <c r="A238" s="1"/>
    </row>
    <row r="239" spans="1:8" x14ac:dyDescent="0.25">
      <c r="A239" s="1"/>
    </row>
    <row r="240" spans="1:8" x14ac:dyDescent="0.25">
      <c r="A240" s="1"/>
    </row>
    <row r="241" spans="1:1" x14ac:dyDescent="0.25">
      <c r="A241" s="1"/>
    </row>
    <row r="242" spans="1:1" x14ac:dyDescent="0.25">
      <c r="A242" s="1"/>
    </row>
    <row r="243" spans="1:1" x14ac:dyDescent="0.25">
      <c r="A243" s="1"/>
    </row>
    <row r="244" spans="1:1" x14ac:dyDescent="0.25">
      <c r="A244" s="1"/>
    </row>
    <row r="245" spans="1:1" x14ac:dyDescent="0.25">
      <c r="A245" s="1"/>
    </row>
    <row r="246" spans="1:1" x14ac:dyDescent="0.25">
      <c r="A246" s="1"/>
    </row>
    <row r="247" spans="1:1" x14ac:dyDescent="0.25">
      <c r="A247" s="1"/>
    </row>
  </sheetData>
  <pageMargins left="0.511811024" right="0.511811024" top="0.78740157499999996" bottom="0.78740157499999996" header="0.31496062000000002" footer="0.31496062000000002"/>
  <drawing r:id="rId1"/>
  <legacy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AC439E9-B487-4156-BC55-BF6AC8219D4F}">
  <sheetPr codeName="Planilha8"/>
  <dimension ref="A1:Z247"/>
  <sheetViews>
    <sheetView zoomScale="115" zoomScaleNormal="115" workbookViewId="0">
      <selection activeCell="B2" sqref="B2"/>
    </sheetView>
  </sheetViews>
  <sheetFormatPr defaultRowHeight="15" x14ac:dyDescent="0.25"/>
  <cols>
    <col min="1" max="1" width="11.85546875" bestFit="1" customWidth="1"/>
    <col min="2" max="7" width="21.5703125" customWidth="1"/>
    <col min="8" max="8" width="5.140625" customWidth="1"/>
    <col min="9" max="11" width="20.140625" customWidth="1"/>
    <col min="12" max="12" width="5" customWidth="1"/>
    <col min="13" max="15" width="10.42578125" bestFit="1" customWidth="1"/>
  </cols>
  <sheetData>
    <row r="1" spans="1:26" x14ac:dyDescent="0.25">
      <c r="A1" s="12" t="s">
        <v>118</v>
      </c>
      <c r="I1" s="12" t="s">
        <v>18</v>
      </c>
    </row>
    <row r="2" spans="1:26" x14ac:dyDescent="0.25">
      <c r="A2" s="12" t="s">
        <v>17</v>
      </c>
      <c r="B2" s="64" t="str">
        <f>Specs!$B$5</f>
        <v xml:space="preserve">series{ title = "Industria Geral"
 start= 2002.1
 period = 12
 format="(f6.2)"
 decimals=1 }
transform {function=none }
regression { variables = (td Easter[1])
user=(carnaval corpus)
file='C:\Users\Eduardo\Google Drive\Meus Projetos\xlDESSAZ\Holidays_IBGE_2002.txt'
 usertype=holiday
 format="datevalue"
 start= 2001.1 }
arima{model= (1 1 0)(0 1 1)}
forecast { }
outlier {types=all}
estimate { }
x11{
save = ( d10 d11 d12 d13 d16 d18)
print=(d11)
appendfcst=yes
savelog=(ids) } </v>
      </c>
      <c r="C2" s="64" t="str">
        <f>Specs!$D$5</f>
        <v xml:space="preserve">series{ title = "Indústrias Extrativas"
 start= 2002.1
 period = 12
 format="(f6.2)"
 decimals=1 }
transform {function=log }
regression { variables = (Easter[8])
 }
arima{model= (0 1 1)(0 1 1)}
forecast { }
outlier {types=all}
estimate { }
x11{
save = ( d10 d11 d12 d13 d16 d18)
print=(d11)
appendfcst=yes
savelog=(ids) } </v>
      </c>
      <c r="D2" s="64" t="str">
        <f>Specs!$F$5</f>
        <v xml:space="preserve">series{ title = "Industria de Transformação"
 start= 2002.1
 period = 12
 format="(f6.2)"
 decimals=1 }
transform {function=log }
regression { variables = (td Easter[1])
user=(carnaval corpus)
file='C:\Users\Eduardo\Google Drive\Meus Projetos\xlDESSAZ\Holidays_IBGE_2002.txt'
 usertype=holiday
 format="datevalue"
 start= 2001.1 }
arima{model= (0 1 0)(0 1 1)}
forecast { }
outlier {types=all}
estimate { }
x11{
save = ( d10 d11 d12 d13 d16 d18)
print=(d11)
appendfcst=yes
savelog=(ids) } </v>
      </c>
      <c r="I2" s="26" t="s">
        <v>28</v>
      </c>
      <c r="J2" s="26" t="s">
        <v>95</v>
      </c>
      <c r="K2" s="26" t="s">
        <v>98</v>
      </c>
      <c r="M2" s="13" t="s">
        <v>21</v>
      </c>
      <c r="Z2" s="12"/>
    </row>
    <row r="3" spans="1:26" x14ac:dyDescent="0.25">
      <c r="A3" s="13" t="s">
        <v>9</v>
      </c>
      <c r="B3" s="26" t="s">
        <v>28</v>
      </c>
      <c r="C3" s="26" t="s">
        <v>95</v>
      </c>
      <c r="D3" s="26" t="s">
        <v>98</v>
      </c>
      <c r="E3" s="26" t="s">
        <v>96</v>
      </c>
      <c r="F3" s="26" t="s">
        <v>97</v>
      </c>
      <c r="G3" s="26" t="s">
        <v>99</v>
      </c>
      <c r="I3" s="13" t="s">
        <v>7</v>
      </c>
      <c r="J3" s="13"/>
      <c r="K3" s="13"/>
      <c r="M3" s="13" t="s">
        <v>119</v>
      </c>
      <c r="N3" s="13" t="s">
        <v>120</v>
      </c>
      <c r="O3" s="13" t="s">
        <v>121</v>
      </c>
    </row>
    <row r="4" spans="1:26" x14ac:dyDescent="0.25">
      <c r="A4" s="14">
        <v>37257</v>
      </c>
      <c r="B4" s="21">
        <v>72.400000000000006</v>
      </c>
      <c r="C4" s="21">
        <v>62.4</v>
      </c>
      <c r="D4" s="21">
        <v>73</v>
      </c>
      <c r="E4" s="7">
        <v>77.7</v>
      </c>
      <c r="F4" s="7">
        <v>64.400000000000006</v>
      </c>
      <c r="G4" s="7">
        <v>78.400000000000006</v>
      </c>
      <c r="I4" s="22" cm="1">
        <f t="array" ref="I4:K243">ROUND(xlDESSAZ($A$4:$A$243,$B$4:$D$243,$I$3,,,$B$2:$D$2),1)</f>
        <v>77.7</v>
      </c>
      <c r="J4" s="21">
        <v>64.400000000000006</v>
      </c>
      <c r="K4" s="21">
        <v>78.400000000000006</v>
      </c>
      <c r="M4" s="9">
        <f t="shared" ref="M4:O68" si="0">(I4-E4)/E4</f>
        <v>0</v>
      </c>
      <c r="N4" s="9">
        <f t="shared" si="0"/>
        <v>0</v>
      </c>
      <c r="O4" s="9">
        <f t="shared" si="0"/>
        <v>0</v>
      </c>
    </row>
    <row r="5" spans="1:26" x14ac:dyDescent="0.25">
      <c r="A5" s="14">
        <v>37288</v>
      </c>
      <c r="B5" s="21">
        <v>69.7</v>
      </c>
      <c r="C5" s="21">
        <v>58.9</v>
      </c>
      <c r="D5" s="21">
        <v>70.400000000000006</v>
      </c>
      <c r="E5" s="7">
        <v>80.2</v>
      </c>
      <c r="F5" s="7">
        <v>65.8</v>
      </c>
      <c r="G5" s="7">
        <v>80.8</v>
      </c>
      <c r="I5" s="22">
        <v>80.2</v>
      </c>
      <c r="J5" s="21">
        <v>65.8</v>
      </c>
      <c r="K5" s="21">
        <v>80.8</v>
      </c>
      <c r="M5" s="9">
        <f t="shared" si="0"/>
        <v>0</v>
      </c>
      <c r="N5" s="9">
        <f t="shared" si="0"/>
        <v>0</v>
      </c>
      <c r="O5" s="9">
        <f t="shared" si="0"/>
        <v>0</v>
      </c>
    </row>
    <row r="6" spans="1:26" x14ac:dyDescent="0.25">
      <c r="A6" s="14">
        <v>37316</v>
      </c>
      <c r="B6" s="21">
        <v>77.400000000000006</v>
      </c>
      <c r="C6" s="21">
        <v>67.8</v>
      </c>
      <c r="D6" s="21">
        <v>78</v>
      </c>
      <c r="E6" s="7">
        <v>79.8</v>
      </c>
      <c r="F6" s="7">
        <v>67.400000000000006</v>
      </c>
      <c r="G6" s="7">
        <v>80</v>
      </c>
      <c r="I6" s="22">
        <v>79.8</v>
      </c>
      <c r="J6" s="21">
        <v>67.400000000000006</v>
      </c>
      <c r="K6" s="21">
        <v>80</v>
      </c>
      <c r="M6" s="9">
        <f t="shared" si="0"/>
        <v>0</v>
      </c>
      <c r="N6" s="9">
        <f t="shared" si="0"/>
        <v>0</v>
      </c>
      <c r="O6" s="9">
        <f t="shared" si="0"/>
        <v>0</v>
      </c>
    </row>
    <row r="7" spans="1:26" x14ac:dyDescent="0.25">
      <c r="A7" s="14">
        <v>37347</v>
      </c>
      <c r="B7" s="21">
        <v>79.599999999999994</v>
      </c>
      <c r="C7" s="21">
        <v>66.5</v>
      </c>
      <c r="D7" s="21">
        <v>80.400000000000006</v>
      </c>
      <c r="E7" s="7">
        <v>79.599999999999994</v>
      </c>
      <c r="F7" s="7">
        <v>67</v>
      </c>
      <c r="G7" s="7">
        <v>80.400000000000006</v>
      </c>
      <c r="I7" s="22">
        <v>79.599999999999994</v>
      </c>
      <c r="J7" s="21">
        <v>67</v>
      </c>
      <c r="K7" s="21">
        <v>80.400000000000006</v>
      </c>
      <c r="M7" s="9">
        <f t="shared" si="0"/>
        <v>0</v>
      </c>
      <c r="N7" s="9">
        <f t="shared" si="0"/>
        <v>0</v>
      </c>
      <c r="O7" s="9">
        <f t="shared" si="0"/>
        <v>0</v>
      </c>
    </row>
    <row r="8" spans="1:26" x14ac:dyDescent="0.25">
      <c r="A8" s="14">
        <v>37377</v>
      </c>
      <c r="B8" s="21">
        <v>80.400000000000006</v>
      </c>
      <c r="C8" s="21">
        <v>68.2</v>
      </c>
      <c r="D8" s="21">
        <v>81.2</v>
      </c>
      <c r="E8" s="7">
        <v>79.099999999999994</v>
      </c>
      <c r="F8" s="7">
        <v>66.099999999999994</v>
      </c>
      <c r="G8" s="7">
        <v>80.099999999999994</v>
      </c>
      <c r="I8" s="22">
        <v>79.099999999999994</v>
      </c>
      <c r="J8" s="21">
        <v>66.099999999999994</v>
      </c>
      <c r="K8" s="21">
        <v>80.099999999999994</v>
      </c>
      <c r="M8" s="9">
        <f t="shared" si="0"/>
        <v>0</v>
      </c>
      <c r="N8" s="9">
        <f t="shared" si="0"/>
        <v>0</v>
      </c>
      <c r="O8" s="9">
        <f t="shared" si="0"/>
        <v>0</v>
      </c>
    </row>
    <row r="9" spans="1:26" x14ac:dyDescent="0.25">
      <c r="A9" s="14">
        <v>37408</v>
      </c>
      <c r="B9" s="21">
        <v>77.5</v>
      </c>
      <c r="C9" s="21">
        <v>67.900000000000006</v>
      </c>
      <c r="D9" s="21">
        <v>78.099999999999994</v>
      </c>
      <c r="E9" s="7">
        <v>79.400000000000006</v>
      </c>
      <c r="F9" s="7">
        <v>67.599999999999994</v>
      </c>
      <c r="G9" s="7">
        <v>80.2</v>
      </c>
      <c r="I9" s="22">
        <v>79.400000000000006</v>
      </c>
      <c r="J9" s="21">
        <v>67.599999999999994</v>
      </c>
      <c r="K9" s="21">
        <v>80.2</v>
      </c>
      <c r="M9" s="9">
        <f t="shared" si="0"/>
        <v>0</v>
      </c>
      <c r="N9" s="9">
        <f t="shared" si="0"/>
        <v>0</v>
      </c>
      <c r="O9" s="9">
        <f t="shared" si="0"/>
        <v>0</v>
      </c>
    </row>
    <row r="10" spans="1:26" x14ac:dyDescent="0.25">
      <c r="A10" s="14">
        <v>37438</v>
      </c>
      <c r="B10" s="21">
        <v>83.3</v>
      </c>
      <c r="C10" s="21">
        <v>70.400000000000006</v>
      </c>
      <c r="D10" s="21">
        <v>84.1</v>
      </c>
      <c r="E10" s="7">
        <v>79.7</v>
      </c>
      <c r="F10" s="7">
        <v>68.400000000000006</v>
      </c>
      <c r="G10" s="7">
        <v>80.8</v>
      </c>
      <c r="I10" s="22">
        <v>79.7</v>
      </c>
      <c r="J10" s="21">
        <v>68.400000000000006</v>
      </c>
      <c r="K10" s="21">
        <v>80.8</v>
      </c>
      <c r="M10" s="9">
        <f t="shared" si="0"/>
        <v>0</v>
      </c>
      <c r="N10" s="9">
        <f t="shared" si="0"/>
        <v>0</v>
      </c>
      <c r="O10" s="9">
        <f t="shared" si="0"/>
        <v>0</v>
      </c>
    </row>
    <row r="11" spans="1:26" x14ac:dyDescent="0.25">
      <c r="A11" s="14">
        <v>37469</v>
      </c>
      <c r="B11" s="21">
        <v>83.6</v>
      </c>
      <c r="C11" s="21">
        <v>70.8</v>
      </c>
      <c r="D11" s="21">
        <v>84.4</v>
      </c>
      <c r="E11" s="7">
        <v>78.599999999999994</v>
      </c>
      <c r="F11" s="7">
        <v>67.400000000000006</v>
      </c>
      <c r="G11" s="7">
        <v>80.2</v>
      </c>
      <c r="I11" s="22">
        <v>78.599999999999994</v>
      </c>
      <c r="J11" s="21">
        <v>67.400000000000006</v>
      </c>
      <c r="K11" s="21">
        <v>80.2</v>
      </c>
      <c r="M11" s="9">
        <f t="shared" si="0"/>
        <v>0</v>
      </c>
      <c r="N11" s="9">
        <f t="shared" si="0"/>
        <v>0</v>
      </c>
      <c r="O11" s="9">
        <f t="shared" si="0"/>
        <v>0</v>
      </c>
    </row>
    <row r="12" spans="1:26" x14ac:dyDescent="0.25">
      <c r="A12" s="14">
        <v>37500</v>
      </c>
      <c r="B12" s="21">
        <v>82.1</v>
      </c>
      <c r="C12" s="21">
        <v>67</v>
      </c>
      <c r="D12" s="21">
        <v>83.1</v>
      </c>
      <c r="E12" s="7">
        <v>79.599999999999994</v>
      </c>
      <c r="F12" s="7">
        <v>66.599999999999994</v>
      </c>
      <c r="G12" s="7">
        <v>80.599999999999994</v>
      </c>
      <c r="I12" s="22">
        <v>79.599999999999994</v>
      </c>
      <c r="J12" s="21">
        <v>66.599999999999994</v>
      </c>
      <c r="K12" s="21">
        <v>80.599999999999994</v>
      </c>
      <c r="M12" s="9">
        <f t="shared" si="0"/>
        <v>0</v>
      </c>
      <c r="N12" s="9">
        <f t="shared" si="0"/>
        <v>0</v>
      </c>
      <c r="O12" s="9">
        <f t="shared" si="0"/>
        <v>0</v>
      </c>
    </row>
    <row r="13" spans="1:26" x14ac:dyDescent="0.25">
      <c r="A13" s="14">
        <v>37530</v>
      </c>
      <c r="B13" s="21">
        <v>89.2</v>
      </c>
      <c r="C13" s="21">
        <v>70.599999999999994</v>
      </c>
      <c r="D13" s="21">
        <v>90.3</v>
      </c>
      <c r="E13" s="7">
        <v>80.099999999999994</v>
      </c>
      <c r="F13" s="7">
        <v>68.099999999999994</v>
      </c>
      <c r="G13" s="7">
        <v>80.8</v>
      </c>
      <c r="I13" s="22">
        <v>80.099999999999994</v>
      </c>
      <c r="J13" s="21">
        <v>68.099999999999994</v>
      </c>
      <c r="K13" s="21">
        <v>80.8</v>
      </c>
      <c r="M13" s="9">
        <f t="shared" si="0"/>
        <v>0</v>
      </c>
      <c r="N13" s="9">
        <f t="shared" si="0"/>
        <v>0</v>
      </c>
      <c r="O13" s="9">
        <f t="shared" si="0"/>
        <v>0</v>
      </c>
    </row>
    <row r="14" spans="1:26" x14ac:dyDescent="0.25">
      <c r="A14" s="14">
        <v>37561</v>
      </c>
      <c r="B14" s="21">
        <v>83.9</v>
      </c>
      <c r="C14" s="21">
        <v>67</v>
      </c>
      <c r="D14" s="21">
        <v>84.9</v>
      </c>
      <c r="E14" s="7">
        <v>80.3</v>
      </c>
      <c r="F14" s="7">
        <v>68.2</v>
      </c>
      <c r="G14" s="7">
        <v>80.599999999999994</v>
      </c>
      <c r="I14" s="22">
        <v>80.3</v>
      </c>
      <c r="J14" s="21">
        <v>68.2</v>
      </c>
      <c r="K14" s="21">
        <v>80.599999999999994</v>
      </c>
      <c r="M14" s="9">
        <f t="shared" si="0"/>
        <v>0</v>
      </c>
      <c r="N14" s="9">
        <f t="shared" si="0"/>
        <v>0</v>
      </c>
      <c r="O14" s="9">
        <f t="shared" si="0"/>
        <v>0</v>
      </c>
    </row>
    <row r="15" spans="1:26" x14ac:dyDescent="0.25">
      <c r="A15" s="14">
        <v>37591</v>
      </c>
      <c r="B15" s="21">
        <v>74.599999999999994</v>
      </c>
      <c r="C15" s="21">
        <v>63.9</v>
      </c>
      <c r="D15" s="21">
        <v>75.3</v>
      </c>
      <c r="E15" s="7">
        <v>79.599999999999994</v>
      </c>
      <c r="F15" s="7">
        <v>64.099999999999994</v>
      </c>
      <c r="G15" s="7">
        <v>80.099999999999994</v>
      </c>
      <c r="I15" s="22">
        <v>79.599999999999994</v>
      </c>
      <c r="J15" s="21">
        <v>64.099999999999994</v>
      </c>
      <c r="K15" s="21">
        <v>80.099999999999994</v>
      </c>
      <c r="M15" s="9">
        <f t="shared" si="0"/>
        <v>0</v>
      </c>
      <c r="N15" s="9">
        <f t="shared" si="0"/>
        <v>0</v>
      </c>
      <c r="O15" s="9">
        <f t="shared" si="0"/>
        <v>0</v>
      </c>
    </row>
    <row r="16" spans="1:26" x14ac:dyDescent="0.25">
      <c r="A16" s="14">
        <v>37622</v>
      </c>
      <c r="B16" s="21">
        <v>74</v>
      </c>
      <c r="C16" s="21">
        <v>68.599999999999994</v>
      </c>
      <c r="D16" s="21">
        <v>74.3</v>
      </c>
      <c r="E16" s="7">
        <v>79.7</v>
      </c>
      <c r="F16" s="7">
        <v>70.7</v>
      </c>
      <c r="G16" s="7">
        <v>80</v>
      </c>
      <c r="I16" s="22">
        <v>79.7</v>
      </c>
      <c r="J16" s="21">
        <v>70.7</v>
      </c>
      <c r="K16" s="21">
        <v>80</v>
      </c>
      <c r="M16" s="9">
        <f t="shared" si="0"/>
        <v>0</v>
      </c>
      <c r="N16" s="9">
        <f t="shared" si="0"/>
        <v>0</v>
      </c>
      <c r="O16" s="9">
        <f t="shared" si="0"/>
        <v>0</v>
      </c>
    </row>
    <row r="17" spans="1:15" x14ac:dyDescent="0.25">
      <c r="A17" s="14">
        <v>37653</v>
      </c>
      <c r="B17" s="21">
        <v>71.8</v>
      </c>
      <c r="C17" s="21">
        <v>63.5</v>
      </c>
      <c r="D17" s="21">
        <v>72.3</v>
      </c>
      <c r="E17" s="7">
        <v>79.7</v>
      </c>
      <c r="F17" s="7">
        <v>71</v>
      </c>
      <c r="G17" s="7">
        <v>80.099999999999994</v>
      </c>
      <c r="I17" s="22">
        <v>79.7</v>
      </c>
      <c r="J17" s="21">
        <v>71</v>
      </c>
      <c r="K17" s="21">
        <v>80.099999999999994</v>
      </c>
      <c r="M17" s="9">
        <f t="shared" si="0"/>
        <v>0</v>
      </c>
      <c r="N17" s="9">
        <f t="shared" si="0"/>
        <v>0</v>
      </c>
      <c r="O17" s="9">
        <f t="shared" si="0"/>
        <v>0</v>
      </c>
    </row>
    <row r="18" spans="1:15" x14ac:dyDescent="0.25">
      <c r="A18" s="14">
        <v>37681</v>
      </c>
      <c r="B18" s="21">
        <v>77.400000000000006</v>
      </c>
      <c r="C18" s="21">
        <v>71.900000000000006</v>
      </c>
      <c r="D18" s="21">
        <v>77.8</v>
      </c>
      <c r="E18" s="7">
        <v>79.8</v>
      </c>
      <c r="F18" s="7">
        <v>71</v>
      </c>
      <c r="G18" s="7">
        <v>80.400000000000006</v>
      </c>
      <c r="I18" s="22">
        <v>79.8</v>
      </c>
      <c r="J18" s="21">
        <v>71</v>
      </c>
      <c r="K18" s="21">
        <v>80.400000000000006</v>
      </c>
      <c r="M18" s="9">
        <f t="shared" si="0"/>
        <v>0</v>
      </c>
      <c r="N18" s="9">
        <f t="shared" si="0"/>
        <v>0</v>
      </c>
      <c r="O18" s="9">
        <f t="shared" si="0"/>
        <v>0</v>
      </c>
    </row>
    <row r="19" spans="1:15" x14ac:dyDescent="0.25">
      <c r="A19" s="14">
        <v>37712</v>
      </c>
      <c r="B19" s="21">
        <v>76.5</v>
      </c>
      <c r="C19" s="21">
        <v>69.099999999999994</v>
      </c>
      <c r="D19" s="21">
        <v>77</v>
      </c>
      <c r="E19" s="7">
        <v>79.400000000000006</v>
      </c>
      <c r="F19" s="7">
        <v>70.3</v>
      </c>
      <c r="G19" s="7">
        <v>79.7</v>
      </c>
      <c r="I19" s="22">
        <v>79.400000000000006</v>
      </c>
      <c r="J19" s="21">
        <v>70.3</v>
      </c>
      <c r="K19" s="21">
        <v>79.7</v>
      </c>
      <c r="M19" s="9">
        <f t="shared" si="0"/>
        <v>0</v>
      </c>
      <c r="N19" s="9">
        <f t="shared" si="0"/>
        <v>0</v>
      </c>
      <c r="O19" s="9">
        <f t="shared" si="0"/>
        <v>0</v>
      </c>
    </row>
    <row r="20" spans="1:15" x14ac:dyDescent="0.25">
      <c r="A20" s="14">
        <v>37742</v>
      </c>
      <c r="B20" s="21">
        <v>79.7</v>
      </c>
      <c r="C20" s="21">
        <v>73.099999999999994</v>
      </c>
      <c r="D20" s="21">
        <v>80.099999999999994</v>
      </c>
      <c r="E20" s="7">
        <v>77.8</v>
      </c>
      <c r="F20" s="7">
        <v>70.7</v>
      </c>
      <c r="G20" s="7">
        <v>78.599999999999994</v>
      </c>
      <c r="I20" s="22">
        <v>77.8</v>
      </c>
      <c r="J20" s="21">
        <v>70.7</v>
      </c>
      <c r="K20" s="21">
        <v>78.599999999999994</v>
      </c>
      <c r="M20" s="9">
        <f t="shared" si="0"/>
        <v>0</v>
      </c>
      <c r="N20" s="9">
        <f t="shared" si="0"/>
        <v>0</v>
      </c>
      <c r="O20" s="9">
        <f t="shared" si="0"/>
        <v>0</v>
      </c>
    </row>
    <row r="21" spans="1:15" x14ac:dyDescent="0.25">
      <c r="A21" s="14">
        <v>37773</v>
      </c>
      <c r="B21" s="21">
        <v>76.3</v>
      </c>
      <c r="C21" s="21">
        <v>66.3</v>
      </c>
      <c r="D21" s="21">
        <v>76.900000000000006</v>
      </c>
      <c r="E21" s="7">
        <v>78.2</v>
      </c>
      <c r="F21" s="7">
        <v>66</v>
      </c>
      <c r="G21" s="7">
        <v>78.7</v>
      </c>
      <c r="I21" s="22">
        <v>78.2</v>
      </c>
      <c r="J21" s="21">
        <v>66</v>
      </c>
      <c r="K21" s="21">
        <v>78.7</v>
      </c>
      <c r="M21" s="9">
        <f t="shared" si="0"/>
        <v>0</v>
      </c>
      <c r="N21" s="9">
        <f t="shared" si="0"/>
        <v>0</v>
      </c>
      <c r="O21" s="9">
        <f t="shared" si="0"/>
        <v>0</v>
      </c>
    </row>
    <row r="22" spans="1:15" x14ac:dyDescent="0.25">
      <c r="A22" s="14">
        <v>37803</v>
      </c>
      <c r="B22" s="21">
        <v>81.3</v>
      </c>
      <c r="C22" s="21">
        <v>70.5</v>
      </c>
      <c r="D22" s="21">
        <v>82</v>
      </c>
      <c r="E22" s="7">
        <v>77.400000000000006</v>
      </c>
      <c r="F22" s="7">
        <v>68.5</v>
      </c>
      <c r="G22" s="7">
        <v>78.599999999999994</v>
      </c>
      <c r="I22" s="22">
        <v>77.400000000000006</v>
      </c>
      <c r="J22" s="21">
        <v>68.5</v>
      </c>
      <c r="K22" s="21">
        <v>78.599999999999994</v>
      </c>
      <c r="M22" s="9">
        <f t="shared" si="0"/>
        <v>0</v>
      </c>
      <c r="N22" s="9">
        <f t="shared" si="0"/>
        <v>0</v>
      </c>
      <c r="O22" s="9">
        <f t="shared" si="0"/>
        <v>0</v>
      </c>
    </row>
    <row r="23" spans="1:15" x14ac:dyDescent="0.25">
      <c r="A23" s="14">
        <v>37834</v>
      </c>
      <c r="B23" s="21">
        <v>81.599999999999994</v>
      </c>
      <c r="C23" s="21">
        <v>73.3</v>
      </c>
      <c r="D23" s="21">
        <v>82.2</v>
      </c>
      <c r="E23" s="7">
        <v>78.5</v>
      </c>
      <c r="F23" s="7">
        <v>69.900000000000006</v>
      </c>
      <c r="G23" s="7">
        <v>79.599999999999994</v>
      </c>
      <c r="I23" s="22">
        <v>78.5</v>
      </c>
      <c r="J23" s="21">
        <v>69.900000000000006</v>
      </c>
      <c r="K23" s="21">
        <v>79.599999999999994</v>
      </c>
      <c r="M23" s="9">
        <f t="shared" si="0"/>
        <v>0</v>
      </c>
      <c r="N23" s="9">
        <f t="shared" si="0"/>
        <v>0</v>
      </c>
      <c r="O23" s="9">
        <f t="shared" si="0"/>
        <v>0</v>
      </c>
    </row>
    <row r="24" spans="1:15" x14ac:dyDescent="0.25">
      <c r="A24" s="14">
        <v>37865</v>
      </c>
      <c r="B24" s="21">
        <v>85.7</v>
      </c>
      <c r="C24" s="21">
        <v>70.900000000000006</v>
      </c>
      <c r="D24" s="21">
        <v>86.6</v>
      </c>
      <c r="E24" s="7">
        <v>81.3</v>
      </c>
      <c r="F24" s="7">
        <v>70.5</v>
      </c>
      <c r="G24" s="7">
        <v>82.2</v>
      </c>
      <c r="I24" s="22">
        <v>81.3</v>
      </c>
      <c r="J24" s="21">
        <v>70.5</v>
      </c>
      <c r="K24" s="21">
        <v>82.2</v>
      </c>
      <c r="M24" s="9">
        <f t="shared" si="0"/>
        <v>0</v>
      </c>
      <c r="N24" s="9">
        <f t="shared" si="0"/>
        <v>0</v>
      </c>
      <c r="O24" s="9">
        <f t="shared" si="0"/>
        <v>0</v>
      </c>
    </row>
    <row r="25" spans="1:15" x14ac:dyDescent="0.25">
      <c r="A25" s="14">
        <v>37895</v>
      </c>
      <c r="B25" s="21">
        <v>90</v>
      </c>
      <c r="C25" s="21">
        <v>73</v>
      </c>
      <c r="D25" s="21">
        <v>91.1</v>
      </c>
      <c r="E25" s="7">
        <v>81.599999999999994</v>
      </c>
      <c r="F25" s="7">
        <v>70.5</v>
      </c>
      <c r="G25" s="7">
        <v>82.2</v>
      </c>
      <c r="I25" s="22">
        <v>81.599999999999994</v>
      </c>
      <c r="J25" s="21">
        <v>70.5</v>
      </c>
      <c r="K25" s="21">
        <v>82.2</v>
      </c>
      <c r="M25" s="9">
        <f t="shared" si="0"/>
        <v>0</v>
      </c>
      <c r="N25" s="9">
        <f t="shared" si="0"/>
        <v>0</v>
      </c>
      <c r="O25" s="9">
        <f t="shared" si="0"/>
        <v>0</v>
      </c>
    </row>
    <row r="26" spans="1:15" x14ac:dyDescent="0.25">
      <c r="A26" s="14">
        <v>37926</v>
      </c>
      <c r="B26" s="21">
        <v>84.6</v>
      </c>
      <c r="C26" s="21">
        <v>69.7</v>
      </c>
      <c r="D26" s="21">
        <v>85.5</v>
      </c>
      <c r="E26" s="7">
        <v>82.6</v>
      </c>
      <c r="F26" s="7">
        <v>70.900000000000006</v>
      </c>
      <c r="G26" s="7">
        <v>83</v>
      </c>
      <c r="I26" s="22">
        <v>82.6</v>
      </c>
      <c r="J26" s="21">
        <v>70.900000000000006</v>
      </c>
      <c r="K26" s="21">
        <v>83</v>
      </c>
      <c r="M26" s="9">
        <f t="shared" si="0"/>
        <v>0</v>
      </c>
      <c r="N26" s="9">
        <f t="shared" si="0"/>
        <v>0</v>
      </c>
      <c r="O26" s="9">
        <f t="shared" si="0"/>
        <v>0</v>
      </c>
    </row>
    <row r="27" spans="1:15" x14ac:dyDescent="0.25">
      <c r="A27" s="14">
        <v>37956</v>
      </c>
      <c r="B27" s="21">
        <v>77.900000000000006</v>
      </c>
      <c r="C27" s="21">
        <v>70.5</v>
      </c>
      <c r="D27" s="21">
        <v>78.3</v>
      </c>
      <c r="E27" s="7">
        <v>81.2</v>
      </c>
      <c r="F27" s="7">
        <v>70.7</v>
      </c>
      <c r="G27" s="7">
        <v>81.8</v>
      </c>
      <c r="I27" s="22">
        <v>81.2</v>
      </c>
      <c r="J27" s="21">
        <v>70.7</v>
      </c>
      <c r="K27" s="21">
        <v>81.8</v>
      </c>
      <c r="M27" s="9">
        <f t="shared" si="0"/>
        <v>0</v>
      </c>
      <c r="N27" s="9">
        <f t="shared" si="0"/>
        <v>0</v>
      </c>
      <c r="O27" s="9">
        <f t="shared" si="0"/>
        <v>0</v>
      </c>
    </row>
    <row r="28" spans="1:15" x14ac:dyDescent="0.25">
      <c r="A28" s="14">
        <v>37987</v>
      </c>
      <c r="B28" s="21">
        <v>76.8</v>
      </c>
      <c r="C28" s="21">
        <v>68.5</v>
      </c>
      <c r="D28" s="21">
        <v>77.3</v>
      </c>
      <c r="E28" s="7">
        <v>82.7</v>
      </c>
      <c r="F28" s="7">
        <v>70.400000000000006</v>
      </c>
      <c r="G28" s="7">
        <v>83.4</v>
      </c>
      <c r="I28" s="22">
        <v>82.7</v>
      </c>
      <c r="J28" s="21">
        <v>70.400000000000006</v>
      </c>
      <c r="K28" s="21">
        <v>83.4</v>
      </c>
      <c r="M28" s="9">
        <f t="shared" si="0"/>
        <v>0</v>
      </c>
      <c r="N28" s="9">
        <f t="shared" si="0"/>
        <v>0</v>
      </c>
      <c r="O28" s="9">
        <f t="shared" si="0"/>
        <v>0</v>
      </c>
    </row>
    <row r="29" spans="1:15" x14ac:dyDescent="0.25">
      <c r="A29" s="14">
        <v>38018</v>
      </c>
      <c r="B29" s="21">
        <v>74</v>
      </c>
      <c r="C29" s="21">
        <v>66.3</v>
      </c>
      <c r="D29" s="21">
        <v>74.5</v>
      </c>
      <c r="E29" s="7">
        <v>84</v>
      </c>
      <c r="F29" s="7">
        <v>74.2</v>
      </c>
      <c r="G29" s="7">
        <v>84.2</v>
      </c>
      <c r="I29" s="22">
        <v>84</v>
      </c>
      <c r="J29" s="21">
        <v>74.2</v>
      </c>
      <c r="K29" s="21">
        <v>84.2</v>
      </c>
      <c r="M29" s="9">
        <f t="shared" si="0"/>
        <v>0</v>
      </c>
      <c r="N29" s="9">
        <f t="shared" si="0"/>
        <v>0</v>
      </c>
      <c r="O29" s="9">
        <f t="shared" si="0"/>
        <v>0</v>
      </c>
    </row>
    <row r="30" spans="1:15" x14ac:dyDescent="0.25">
      <c r="A30" s="14">
        <v>38047</v>
      </c>
      <c r="B30" s="21">
        <v>86.9</v>
      </c>
      <c r="C30" s="21">
        <v>71.5</v>
      </c>
      <c r="D30" s="21">
        <v>87.9</v>
      </c>
      <c r="E30" s="7">
        <v>84.5</v>
      </c>
      <c r="F30" s="7">
        <v>70.8</v>
      </c>
      <c r="G30" s="7">
        <v>85.4</v>
      </c>
      <c r="I30" s="22">
        <v>84.5</v>
      </c>
      <c r="J30" s="21">
        <v>70.8</v>
      </c>
      <c r="K30" s="21">
        <v>85.4</v>
      </c>
      <c r="M30" s="9">
        <f t="shared" si="0"/>
        <v>0</v>
      </c>
      <c r="N30" s="9">
        <f t="shared" si="0"/>
        <v>0</v>
      </c>
      <c r="O30" s="9">
        <f t="shared" si="0"/>
        <v>0</v>
      </c>
    </row>
    <row r="31" spans="1:15" x14ac:dyDescent="0.25">
      <c r="A31" s="14">
        <v>38078</v>
      </c>
      <c r="B31" s="21">
        <v>82.2</v>
      </c>
      <c r="C31" s="21">
        <v>69.7</v>
      </c>
      <c r="D31" s="21">
        <v>83</v>
      </c>
      <c r="E31" s="7">
        <v>85.1</v>
      </c>
      <c r="F31" s="7">
        <v>71</v>
      </c>
      <c r="G31" s="7">
        <v>85.9</v>
      </c>
      <c r="I31" s="22">
        <v>85.1</v>
      </c>
      <c r="J31" s="21">
        <v>71</v>
      </c>
      <c r="K31" s="21">
        <v>85.9</v>
      </c>
      <c r="M31" s="9">
        <f t="shared" si="0"/>
        <v>0</v>
      </c>
      <c r="N31" s="9">
        <f t="shared" si="0"/>
        <v>0</v>
      </c>
      <c r="O31" s="9">
        <f t="shared" si="0"/>
        <v>0</v>
      </c>
    </row>
    <row r="32" spans="1:15" x14ac:dyDescent="0.25">
      <c r="A32" s="14">
        <v>38108</v>
      </c>
      <c r="B32" s="21">
        <v>86.3</v>
      </c>
      <c r="C32" s="21">
        <v>71.599999999999994</v>
      </c>
      <c r="D32" s="21">
        <v>87.3</v>
      </c>
      <c r="E32" s="7">
        <v>85.9</v>
      </c>
      <c r="F32" s="7">
        <v>69.099999999999994</v>
      </c>
      <c r="G32" s="7">
        <v>86.9</v>
      </c>
      <c r="I32" s="22">
        <v>85.9</v>
      </c>
      <c r="J32" s="21">
        <v>69.099999999999994</v>
      </c>
      <c r="K32" s="21">
        <v>86.9</v>
      </c>
      <c r="M32" s="9">
        <f t="shared" si="0"/>
        <v>0</v>
      </c>
      <c r="N32" s="9">
        <f t="shared" si="0"/>
        <v>0</v>
      </c>
      <c r="O32" s="9">
        <f t="shared" si="0"/>
        <v>0</v>
      </c>
    </row>
    <row r="33" spans="1:15" x14ac:dyDescent="0.25">
      <c r="A33" s="14">
        <v>38139</v>
      </c>
      <c r="B33" s="21">
        <v>86.1</v>
      </c>
      <c r="C33" s="21">
        <v>72.5</v>
      </c>
      <c r="D33" s="21">
        <v>87</v>
      </c>
      <c r="E33" s="7">
        <v>86.1</v>
      </c>
      <c r="F33" s="7">
        <v>72.2</v>
      </c>
      <c r="G33" s="7">
        <v>87.1</v>
      </c>
      <c r="I33" s="22">
        <v>86.1</v>
      </c>
      <c r="J33" s="21">
        <v>72.2</v>
      </c>
      <c r="K33" s="21">
        <v>87.1</v>
      </c>
      <c r="M33" s="9">
        <f t="shared" si="0"/>
        <v>0</v>
      </c>
      <c r="N33" s="9">
        <f t="shared" si="0"/>
        <v>0</v>
      </c>
      <c r="O33" s="9">
        <f t="shared" si="0"/>
        <v>0</v>
      </c>
    </row>
    <row r="34" spans="1:15" x14ac:dyDescent="0.25">
      <c r="A34" s="14">
        <v>38169</v>
      </c>
      <c r="B34" s="21">
        <v>90.1</v>
      </c>
      <c r="C34" s="21">
        <v>75.8</v>
      </c>
      <c r="D34" s="21">
        <v>91</v>
      </c>
      <c r="E34" s="7">
        <v>86.7</v>
      </c>
      <c r="F34" s="7">
        <v>73.5</v>
      </c>
      <c r="G34" s="7">
        <v>87.8</v>
      </c>
      <c r="I34" s="22">
        <v>86.7</v>
      </c>
      <c r="J34" s="21">
        <v>73.5</v>
      </c>
      <c r="K34" s="21">
        <v>87.8</v>
      </c>
      <c r="M34" s="9">
        <f t="shared" si="0"/>
        <v>0</v>
      </c>
      <c r="N34" s="9">
        <f t="shared" si="0"/>
        <v>0</v>
      </c>
      <c r="O34" s="9">
        <f t="shared" si="0"/>
        <v>0</v>
      </c>
    </row>
    <row r="35" spans="1:15" x14ac:dyDescent="0.25">
      <c r="A35" s="14">
        <v>38200</v>
      </c>
      <c r="B35" s="21">
        <v>92.1</v>
      </c>
      <c r="C35" s="21">
        <v>78.8</v>
      </c>
      <c r="D35" s="21">
        <v>93</v>
      </c>
      <c r="E35" s="7">
        <v>87.6</v>
      </c>
      <c r="F35" s="7">
        <v>75.3</v>
      </c>
      <c r="G35" s="7">
        <v>88.4</v>
      </c>
      <c r="I35" s="22">
        <v>87.6</v>
      </c>
      <c r="J35" s="21">
        <v>75.3</v>
      </c>
      <c r="K35" s="21">
        <v>88.4</v>
      </c>
      <c r="M35" s="9">
        <f t="shared" si="0"/>
        <v>0</v>
      </c>
      <c r="N35" s="9">
        <f t="shared" si="0"/>
        <v>0</v>
      </c>
      <c r="O35" s="9">
        <f t="shared" si="0"/>
        <v>0</v>
      </c>
    </row>
    <row r="36" spans="1:15" x14ac:dyDescent="0.25">
      <c r="A36" s="14">
        <v>38231</v>
      </c>
      <c r="B36" s="21">
        <v>92.1</v>
      </c>
      <c r="C36" s="21">
        <v>75.5</v>
      </c>
      <c r="D36" s="21">
        <v>93.2</v>
      </c>
      <c r="E36" s="7">
        <v>88.2</v>
      </c>
      <c r="F36" s="7">
        <v>75.099999999999994</v>
      </c>
      <c r="G36" s="7">
        <v>89.1</v>
      </c>
      <c r="I36" s="22">
        <v>88.2</v>
      </c>
      <c r="J36" s="21">
        <v>75.099999999999994</v>
      </c>
      <c r="K36" s="21">
        <v>89.1</v>
      </c>
      <c r="M36" s="9">
        <f t="shared" si="0"/>
        <v>0</v>
      </c>
      <c r="N36" s="9">
        <f t="shared" si="0"/>
        <v>0</v>
      </c>
      <c r="O36" s="9">
        <f t="shared" si="0"/>
        <v>0</v>
      </c>
    </row>
    <row r="37" spans="1:15" x14ac:dyDescent="0.25">
      <c r="A37" s="14">
        <v>38261</v>
      </c>
      <c r="B37" s="21">
        <v>93.5</v>
      </c>
      <c r="C37" s="21">
        <v>77.599999999999994</v>
      </c>
      <c r="D37" s="21">
        <v>94.5</v>
      </c>
      <c r="E37" s="7">
        <v>87.5</v>
      </c>
      <c r="F37" s="7">
        <v>75.099999999999994</v>
      </c>
      <c r="G37" s="7">
        <v>88</v>
      </c>
      <c r="I37" s="22">
        <v>87.5</v>
      </c>
      <c r="J37" s="21">
        <v>75.099999999999994</v>
      </c>
      <c r="K37" s="21">
        <v>88</v>
      </c>
      <c r="M37" s="9">
        <f t="shared" si="0"/>
        <v>0</v>
      </c>
      <c r="N37" s="9">
        <f t="shared" si="0"/>
        <v>0</v>
      </c>
      <c r="O37" s="9">
        <f t="shared" si="0"/>
        <v>0</v>
      </c>
    </row>
    <row r="38" spans="1:15" x14ac:dyDescent="0.25">
      <c r="A38" s="14">
        <v>38292</v>
      </c>
      <c r="B38" s="21">
        <v>91.8</v>
      </c>
      <c r="C38" s="21">
        <v>73.900000000000006</v>
      </c>
      <c r="D38" s="21">
        <v>92.9</v>
      </c>
      <c r="E38" s="7">
        <v>87.5</v>
      </c>
      <c r="F38" s="7">
        <v>75</v>
      </c>
      <c r="G38" s="7">
        <v>88.2</v>
      </c>
      <c r="I38" s="22">
        <v>87.5</v>
      </c>
      <c r="J38" s="21">
        <v>75</v>
      </c>
      <c r="K38" s="21">
        <v>88.2</v>
      </c>
      <c r="M38" s="9">
        <f t="shared" si="0"/>
        <v>0</v>
      </c>
      <c r="N38" s="9">
        <f t="shared" si="0"/>
        <v>0</v>
      </c>
      <c r="O38" s="9">
        <f t="shared" si="0"/>
        <v>0</v>
      </c>
    </row>
    <row r="39" spans="1:15" x14ac:dyDescent="0.25">
      <c r="A39" s="14">
        <v>38322</v>
      </c>
      <c r="B39" s="21">
        <v>84.7</v>
      </c>
      <c r="C39" s="21">
        <v>75.2</v>
      </c>
      <c r="D39" s="21">
        <v>85.3</v>
      </c>
      <c r="E39" s="7">
        <v>88.3</v>
      </c>
      <c r="F39" s="7">
        <v>75.400000000000006</v>
      </c>
      <c r="G39" s="7">
        <v>89</v>
      </c>
      <c r="I39" s="22">
        <v>88.3</v>
      </c>
      <c r="J39" s="21">
        <v>75.400000000000006</v>
      </c>
      <c r="K39" s="21">
        <v>89.1</v>
      </c>
      <c r="M39" s="9">
        <f t="shared" si="0"/>
        <v>0</v>
      </c>
      <c r="N39" s="9">
        <f t="shared" si="0"/>
        <v>0</v>
      </c>
      <c r="O39" s="9">
        <f t="shared" si="0"/>
        <v>1.1235955056179137E-3</v>
      </c>
    </row>
    <row r="40" spans="1:15" x14ac:dyDescent="0.25">
      <c r="A40" s="14">
        <v>38353</v>
      </c>
      <c r="B40" s="21">
        <v>81</v>
      </c>
      <c r="C40" s="21">
        <v>73.599999999999994</v>
      </c>
      <c r="D40" s="21">
        <v>81.5</v>
      </c>
      <c r="E40" s="7">
        <v>88.7</v>
      </c>
      <c r="F40" s="7">
        <v>75.2</v>
      </c>
      <c r="G40" s="7">
        <v>89.6</v>
      </c>
      <c r="I40" s="22">
        <v>88.7</v>
      </c>
      <c r="J40" s="21">
        <v>75.2</v>
      </c>
      <c r="K40" s="21">
        <v>89.6</v>
      </c>
      <c r="M40" s="9">
        <f t="shared" si="0"/>
        <v>0</v>
      </c>
      <c r="N40" s="9">
        <f t="shared" si="0"/>
        <v>0</v>
      </c>
      <c r="O40" s="9">
        <f t="shared" si="0"/>
        <v>0</v>
      </c>
    </row>
    <row r="41" spans="1:15" x14ac:dyDescent="0.25">
      <c r="A41" s="14">
        <v>38384</v>
      </c>
      <c r="B41" s="21">
        <v>76.400000000000006</v>
      </c>
      <c r="C41" s="21">
        <v>67.3</v>
      </c>
      <c r="D41" s="21">
        <v>77</v>
      </c>
      <c r="E41" s="7">
        <v>87.4</v>
      </c>
      <c r="F41" s="7">
        <v>75.2</v>
      </c>
      <c r="G41" s="7">
        <v>88.6</v>
      </c>
      <c r="I41" s="22">
        <v>87.4</v>
      </c>
      <c r="J41" s="21">
        <v>75.2</v>
      </c>
      <c r="K41" s="21">
        <v>88.6</v>
      </c>
      <c r="M41" s="9">
        <f t="shared" si="0"/>
        <v>0</v>
      </c>
      <c r="N41" s="9">
        <f t="shared" si="0"/>
        <v>0</v>
      </c>
      <c r="O41" s="9">
        <f t="shared" si="0"/>
        <v>0</v>
      </c>
    </row>
    <row r="42" spans="1:15" x14ac:dyDescent="0.25">
      <c r="A42" s="14">
        <v>38412</v>
      </c>
      <c r="B42" s="21">
        <v>88</v>
      </c>
      <c r="C42" s="21">
        <v>76.2</v>
      </c>
      <c r="D42" s="21">
        <v>88.8</v>
      </c>
      <c r="E42" s="7">
        <v>88.2</v>
      </c>
      <c r="F42" s="7">
        <v>76.400000000000006</v>
      </c>
      <c r="G42" s="7">
        <v>89</v>
      </c>
      <c r="I42" s="22">
        <v>88.2</v>
      </c>
      <c r="J42" s="21">
        <v>76.400000000000006</v>
      </c>
      <c r="K42" s="21">
        <v>89</v>
      </c>
      <c r="M42" s="9">
        <f t="shared" si="0"/>
        <v>0</v>
      </c>
      <c r="N42" s="9">
        <f t="shared" si="0"/>
        <v>0</v>
      </c>
      <c r="O42" s="9">
        <f t="shared" si="0"/>
        <v>0</v>
      </c>
    </row>
    <row r="43" spans="1:15" x14ac:dyDescent="0.25">
      <c r="A43" s="14">
        <v>38443</v>
      </c>
      <c r="B43" s="21">
        <v>87</v>
      </c>
      <c r="C43" s="21">
        <v>79.3</v>
      </c>
      <c r="D43" s="21">
        <v>87.5</v>
      </c>
      <c r="E43" s="7">
        <v>88.3</v>
      </c>
      <c r="F43" s="7">
        <v>80.3</v>
      </c>
      <c r="G43" s="7">
        <v>88.9</v>
      </c>
      <c r="I43" s="22">
        <v>88.3</v>
      </c>
      <c r="J43" s="21">
        <v>80.3</v>
      </c>
      <c r="K43" s="21">
        <v>88.9</v>
      </c>
      <c r="M43" s="9">
        <f t="shared" si="0"/>
        <v>0</v>
      </c>
      <c r="N43" s="9">
        <f t="shared" si="0"/>
        <v>0</v>
      </c>
      <c r="O43" s="9">
        <f t="shared" si="0"/>
        <v>0</v>
      </c>
    </row>
    <row r="44" spans="1:15" x14ac:dyDescent="0.25">
      <c r="A44" s="14">
        <v>38473</v>
      </c>
      <c r="B44" s="21">
        <v>91.1</v>
      </c>
      <c r="C44" s="21">
        <v>84.1</v>
      </c>
      <c r="D44" s="21">
        <v>91.5</v>
      </c>
      <c r="E44" s="7">
        <v>91.3</v>
      </c>
      <c r="F44" s="7">
        <v>81.2</v>
      </c>
      <c r="G44" s="7">
        <v>91.5</v>
      </c>
      <c r="I44" s="22">
        <v>91.3</v>
      </c>
      <c r="J44" s="21">
        <v>81.2</v>
      </c>
      <c r="K44" s="21">
        <v>91.5</v>
      </c>
      <c r="M44" s="9">
        <f t="shared" si="0"/>
        <v>0</v>
      </c>
      <c r="N44" s="9">
        <f t="shared" si="0"/>
        <v>0</v>
      </c>
      <c r="O44" s="9">
        <f t="shared" si="0"/>
        <v>0</v>
      </c>
    </row>
    <row r="45" spans="1:15" x14ac:dyDescent="0.25">
      <c r="A45" s="14">
        <v>38504</v>
      </c>
      <c r="B45" s="21">
        <v>91.4</v>
      </c>
      <c r="C45" s="21">
        <v>83.7</v>
      </c>
      <c r="D45" s="21">
        <v>91.9</v>
      </c>
      <c r="E45" s="7">
        <v>89.5</v>
      </c>
      <c r="F45" s="7">
        <v>83.4</v>
      </c>
      <c r="G45" s="7">
        <v>89.9</v>
      </c>
      <c r="I45" s="22">
        <v>89.5</v>
      </c>
      <c r="J45" s="21">
        <v>83.4</v>
      </c>
      <c r="K45" s="21">
        <v>89.9</v>
      </c>
      <c r="M45" s="9">
        <f t="shared" si="0"/>
        <v>0</v>
      </c>
      <c r="N45" s="9">
        <f t="shared" si="0"/>
        <v>0</v>
      </c>
      <c r="O45" s="9">
        <f t="shared" si="0"/>
        <v>0</v>
      </c>
    </row>
    <row r="46" spans="1:15" x14ac:dyDescent="0.25">
      <c r="A46" s="14">
        <v>38534</v>
      </c>
      <c r="B46" s="21">
        <v>90.5</v>
      </c>
      <c r="C46" s="21">
        <v>84.1</v>
      </c>
      <c r="D46" s="21">
        <v>90.9</v>
      </c>
      <c r="E46" s="7">
        <v>88.9</v>
      </c>
      <c r="F46" s="7">
        <v>81.2</v>
      </c>
      <c r="G46" s="7">
        <v>89.4</v>
      </c>
      <c r="I46" s="22">
        <v>88.9</v>
      </c>
      <c r="J46" s="21">
        <v>81.2</v>
      </c>
      <c r="K46" s="21">
        <v>89.4</v>
      </c>
      <c r="M46" s="9">
        <f t="shared" si="0"/>
        <v>0</v>
      </c>
      <c r="N46" s="9">
        <f t="shared" si="0"/>
        <v>0</v>
      </c>
      <c r="O46" s="9">
        <f t="shared" si="0"/>
        <v>0</v>
      </c>
    </row>
    <row r="47" spans="1:15" x14ac:dyDescent="0.25">
      <c r="A47" s="14">
        <v>38565</v>
      </c>
      <c r="B47" s="21">
        <v>95.6</v>
      </c>
      <c r="C47" s="21">
        <v>85</v>
      </c>
      <c r="D47" s="21">
        <v>96.3</v>
      </c>
      <c r="E47" s="7">
        <v>89.1</v>
      </c>
      <c r="F47" s="7">
        <v>81.3</v>
      </c>
      <c r="G47" s="7">
        <v>89.5</v>
      </c>
      <c r="I47" s="22">
        <v>89.1</v>
      </c>
      <c r="J47" s="21">
        <v>81.3</v>
      </c>
      <c r="K47" s="21">
        <v>89.5</v>
      </c>
      <c r="M47" s="9">
        <f t="shared" si="0"/>
        <v>0</v>
      </c>
      <c r="N47" s="9">
        <f t="shared" si="0"/>
        <v>0</v>
      </c>
      <c r="O47" s="9">
        <f t="shared" si="0"/>
        <v>0</v>
      </c>
    </row>
    <row r="48" spans="1:15" x14ac:dyDescent="0.25">
      <c r="A48" s="14">
        <v>38596</v>
      </c>
      <c r="B48" s="21">
        <v>92</v>
      </c>
      <c r="C48" s="21">
        <v>83.5</v>
      </c>
      <c r="D48" s="21">
        <v>92.6</v>
      </c>
      <c r="E48" s="7">
        <v>88.3</v>
      </c>
      <c r="F48" s="7">
        <v>83.1</v>
      </c>
      <c r="G48" s="7">
        <v>88.9</v>
      </c>
      <c r="I48" s="22">
        <v>88.3</v>
      </c>
      <c r="J48" s="21">
        <v>83.1</v>
      </c>
      <c r="K48" s="21">
        <v>88.9</v>
      </c>
      <c r="M48" s="9">
        <f t="shared" si="0"/>
        <v>0</v>
      </c>
      <c r="N48" s="9">
        <f t="shared" si="0"/>
        <v>0</v>
      </c>
      <c r="O48" s="9">
        <f t="shared" si="0"/>
        <v>0</v>
      </c>
    </row>
    <row r="49" spans="1:15" x14ac:dyDescent="0.25">
      <c r="A49" s="14">
        <v>38626</v>
      </c>
      <c r="B49" s="21">
        <v>93.7</v>
      </c>
      <c r="C49" s="21">
        <v>86</v>
      </c>
      <c r="D49" s="21">
        <v>94.2</v>
      </c>
      <c r="E49" s="7">
        <v>87.6</v>
      </c>
      <c r="F49" s="7">
        <v>83.5</v>
      </c>
      <c r="G49" s="7">
        <v>87.9</v>
      </c>
      <c r="I49" s="22">
        <v>87.6</v>
      </c>
      <c r="J49" s="21">
        <v>83.5</v>
      </c>
      <c r="K49" s="21">
        <v>87.9</v>
      </c>
      <c r="M49" s="9">
        <f t="shared" si="0"/>
        <v>0</v>
      </c>
      <c r="N49" s="9">
        <f t="shared" si="0"/>
        <v>0</v>
      </c>
      <c r="O49" s="9">
        <f t="shared" si="0"/>
        <v>0</v>
      </c>
    </row>
    <row r="50" spans="1:15" x14ac:dyDescent="0.25">
      <c r="A50" s="14">
        <v>38657</v>
      </c>
      <c r="B50" s="21">
        <v>92.4</v>
      </c>
      <c r="C50" s="21">
        <v>81.7</v>
      </c>
      <c r="D50" s="21">
        <v>93.1</v>
      </c>
      <c r="E50" s="7">
        <v>88.6</v>
      </c>
      <c r="F50" s="7">
        <v>82.7</v>
      </c>
      <c r="G50" s="7">
        <v>89.2</v>
      </c>
      <c r="I50" s="22">
        <v>88.6</v>
      </c>
      <c r="J50" s="21">
        <v>82.7</v>
      </c>
      <c r="K50" s="21">
        <v>89.2</v>
      </c>
      <c r="M50" s="9">
        <f t="shared" si="0"/>
        <v>0</v>
      </c>
      <c r="N50" s="9">
        <f t="shared" si="0"/>
        <v>0</v>
      </c>
      <c r="O50" s="9">
        <f t="shared" si="0"/>
        <v>0</v>
      </c>
    </row>
    <row r="51" spans="1:15" x14ac:dyDescent="0.25">
      <c r="A51" s="14">
        <v>38687</v>
      </c>
      <c r="B51" s="21">
        <v>86.6</v>
      </c>
      <c r="C51" s="21">
        <v>82.4</v>
      </c>
      <c r="D51" s="21">
        <v>86.9</v>
      </c>
      <c r="E51" s="7">
        <v>90.5</v>
      </c>
      <c r="F51" s="7">
        <v>82.4</v>
      </c>
      <c r="G51" s="7">
        <v>91.1</v>
      </c>
      <c r="I51" s="22">
        <v>90.5</v>
      </c>
      <c r="J51" s="21">
        <v>82.4</v>
      </c>
      <c r="K51" s="21">
        <v>91.1</v>
      </c>
      <c r="M51" s="9">
        <f t="shared" si="0"/>
        <v>0</v>
      </c>
      <c r="N51" s="9">
        <f t="shared" si="0"/>
        <v>0</v>
      </c>
      <c r="O51" s="9">
        <f t="shared" si="0"/>
        <v>0</v>
      </c>
    </row>
    <row r="52" spans="1:15" x14ac:dyDescent="0.25">
      <c r="A52" s="14">
        <v>38718</v>
      </c>
      <c r="B52" s="21">
        <v>83.7</v>
      </c>
      <c r="C52" s="21">
        <v>83.8</v>
      </c>
      <c r="D52" s="21">
        <v>83.6</v>
      </c>
      <c r="E52" s="7">
        <v>90.8</v>
      </c>
      <c r="F52" s="7">
        <v>85.3</v>
      </c>
      <c r="G52" s="7">
        <v>91.2</v>
      </c>
      <c r="I52" s="22">
        <v>90.8</v>
      </c>
      <c r="J52" s="21">
        <v>85.3</v>
      </c>
      <c r="K52" s="21">
        <v>91.2</v>
      </c>
      <c r="M52" s="9">
        <f t="shared" si="0"/>
        <v>0</v>
      </c>
      <c r="N52" s="9">
        <f t="shared" si="0"/>
        <v>0</v>
      </c>
      <c r="O52" s="9">
        <f t="shared" si="0"/>
        <v>0</v>
      </c>
    </row>
    <row r="53" spans="1:15" x14ac:dyDescent="0.25">
      <c r="A53" s="14">
        <v>38749</v>
      </c>
      <c r="B53" s="21">
        <v>80.2</v>
      </c>
      <c r="C53" s="21">
        <v>76</v>
      </c>
      <c r="D53" s="21">
        <v>80.5</v>
      </c>
      <c r="E53" s="7">
        <v>91.4</v>
      </c>
      <c r="F53" s="7">
        <v>84.9</v>
      </c>
      <c r="G53" s="7">
        <v>92.4</v>
      </c>
      <c r="I53" s="22">
        <v>91.4</v>
      </c>
      <c r="J53" s="21">
        <v>84.9</v>
      </c>
      <c r="K53" s="21">
        <v>92.4</v>
      </c>
      <c r="M53" s="9">
        <f t="shared" si="0"/>
        <v>0</v>
      </c>
      <c r="N53" s="9">
        <f t="shared" si="0"/>
        <v>0</v>
      </c>
      <c r="O53" s="9">
        <f t="shared" si="0"/>
        <v>0</v>
      </c>
    </row>
    <row r="54" spans="1:15" x14ac:dyDescent="0.25">
      <c r="A54" s="14">
        <v>38777</v>
      </c>
      <c r="B54" s="21">
        <v>92.4</v>
      </c>
      <c r="C54" s="21">
        <v>86.2</v>
      </c>
      <c r="D54" s="21">
        <v>92.8</v>
      </c>
      <c r="E54" s="7">
        <v>90.7</v>
      </c>
      <c r="F54" s="7">
        <v>86</v>
      </c>
      <c r="G54" s="7">
        <v>91</v>
      </c>
      <c r="I54" s="22">
        <v>90.7</v>
      </c>
      <c r="J54" s="21">
        <v>86</v>
      </c>
      <c r="K54" s="21">
        <v>91</v>
      </c>
      <c r="M54" s="9">
        <f t="shared" si="0"/>
        <v>0</v>
      </c>
      <c r="N54" s="9">
        <f t="shared" si="0"/>
        <v>0</v>
      </c>
      <c r="O54" s="9">
        <f t="shared" si="0"/>
        <v>0</v>
      </c>
    </row>
    <row r="55" spans="1:15" x14ac:dyDescent="0.25">
      <c r="A55" s="14">
        <v>38808</v>
      </c>
      <c r="B55" s="21">
        <v>85.7</v>
      </c>
      <c r="C55" s="21">
        <v>83.1</v>
      </c>
      <c r="D55" s="21">
        <v>85.8</v>
      </c>
      <c r="E55" s="7">
        <v>91.4</v>
      </c>
      <c r="F55" s="7">
        <v>85.2</v>
      </c>
      <c r="G55" s="7">
        <v>91.6</v>
      </c>
      <c r="I55" s="22">
        <v>91.4</v>
      </c>
      <c r="J55" s="21">
        <v>85.2</v>
      </c>
      <c r="K55" s="21">
        <v>91.6</v>
      </c>
      <c r="M55" s="9">
        <f t="shared" si="0"/>
        <v>0</v>
      </c>
      <c r="N55" s="9">
        <f t="shared" si="0"/>
        <v>0</v>
      </c>
      <c r="O55" s="9">
        <f t="shared" si="0"/>
        <v>0</v>
      </c>
    </row>
    <row r="56" spans="1:15" x14ac:dyDescent="0.25">
      <c r="A56" s="14">
        <v>38838</v>
      </c>
      <c r="B56" s="21">
        <v>95.4</v>
      </c>
      <c r="C56" s="21">
        <v>89.7</v>
      </c>
      <c r="D56" s="21">
        <v>95.7</v>
      </c>
      <c r="E56" s="7">
        <v>92.2</v>
      </c>
      <c r="F56" s="7">
        <v>86.8</v>
      </c>
      <c r="G56" s="7">
        <v>92</v>
      </c>
      <c r="I56" s="22">
        <v>92.2</v>
      </c>
      <c r="J56" s="21">
        <v>86.8</v>
      </c>
      <c r="K56" s="21">
        <v>92</v>
      </c>
      <c r="M56" s="9">
        <f t="shared" si="0"/>
        <v>0</v>
      </c>
      <c r="N56" s="9">
        <f t="shared" si="0"/>
        <v>0</v>
      </c>
      <c r="O56" s="9">
        <f t="shared" si="0"/>
        <v>0</v>
      </c>
    </row>
    <row r="57" spans="1:15" x14ac:dyDescent="0.25">
      <c r="A57" s="14">
        <v>38869</v>
      </c>
      <c r="B57" s="21">
        <v>91.1</v>
      </c>
      <c r="C57" s="21">
        <v>84.5</v>
      </c>
      <c r="D57" s="21">
        <v>91.5</v>
      </c>
      <c r="E57" s="7">
        <v>90.6</v>
      </c>
      <c r="F57" s="7">
        <v>84.1</v>
      </c>
      <c r="G57" s="7">
        <v>90.9</v>
      </c>
      <c r="I57" s="22">
        <v>90.6</v>
      </c>
      <c r="J57" s="21">
        <v>84.1</v>
      </c>
      <c r="K57" s="21">
        <v>90.9</v>
      </c>
      <c r="M57" s="9">
        <f t="shared" si="0"/>
        <v>0</v>
      </c>
      <c r="N57" s="9">
        <f t="shared" si="0"/>
        <v>0</v>
      </c>
      <c r="O57" s="9">
        <f t="shared" si="0"/>
        <v>0</v>
      </c>
    </row>
    <row r="58" spans="1:15" x14ac:dyDescent="0.25">
      <c r="A58" s="14">
        <v>38899</v>
      </c>
      <c r="B58" s="21">
        <v>93.8</v>
      </c>
      <c r="C58" s="21">
        <v>89.6</v>
      </c>
      <c r="D58" s="21">
        <v>94</v>
      </c>
      <c r="E58" s="7">
        <v>91.6</v>
      </c>
      <c r="F58" s="7">
        <v>86.1</v>
      </c>
      <c r="G58" s="7">
        <v>91.8</v>
      </c>
      <c r="I58" s="22">
        <v>91.6</v>
      </c>
      <c r="J58" s="21">
        <v>86.1</v>
      </c>
      <c r="K58" s="21">
        <v>91.8</v>
      </c>
      <c r="M58" s="9">
        <f t="shared" si="0"/>
        <v>0</v>
      </c>
      <c r="N58" s="9">
        <f t="shared" si="0"/>
        <v>0</v>
      </c>
      <c r="O58" s="9">
        <f t="shared" si="0"/>
        <v>0</v>
      </c>
    </row>
    <row r="59" spans="1:15" x14ac:dyDescent="0.25">
      <c r="A59" s="14">
        <v>38930</v>
      </c>
      <c r="B59" s="21">
        <v>98.6</v>
      </c>
      <c r="C59" s="21">
        <v>89.8</v>
      </c>
      <c r="D59" s="21">
        <v>99.1</v>
      </c>
      <c r="E59" s="7">
        <v>91.4</v>
      </c>
      <c r="F59" s="7">
        <v>86</v>
      </c>
      <c r="G59" s="7">
        <v>91.4</v>
      </c>
      <c r="I59" s="22">
        <v>91.4</v>
      </c>
      <c r="J59" s="21">
        <v>86</v>
      </c>
      <c r="K59" s="21">
        <v>91.4</v>
      </c>
      <c r="M59" s="9">
        <f t="shared" si="0"/>
        <v>0</v>
      </c>
      <c r="N59" s="9">
        <f t="shared" si="0"/>
        <v>0</v>
      </c>
      <c r="O59" s="9">
        <f t="shared" si="0"/>
        <v>0</v>
      </c>
    </row>
    <row r="60" spans="1:15" x14ac:dyDescent="0.25">
      <c r="A60" s="14">
        <v>38961</v>
      </c>
      <c r="B60" s="21">
        <v>93.2</v>
      </c>
      <c r="C60" s="21">
        <v>87.6</v>
      </c>
      <c r="D60" s="21">
        <v>93.6</v>
      </c>
      <c r="E60" s="7">
        <v>90.4</v>
      </c>
      <c r="F60" s="7">
        <v>87.2</v>
      </c>
      <c r="G60" s="7">
        <v>91</v>
      </c>
      <c r="I60" s="22">
        <v>90.4</v>
      </c>
      <c r="J60" s="21">
        <v>87.2</v>
      </c>
      <c r="K60" s="21">
        <v>91</v>
      </c>
      <c r="M60" s="9">
        <f t="shared" si="0"/>
        <v>0</v>
      </c>
      <c r="N60" s="9">
        <f t="shared" si="0"/>
        <v>0</v>
      </c>
      <c r="O60" s="9">
        <f t="shared" si="0"/>
        <v>0</v>
      </c>
    </row>
    <row r="61" spans="1:15" x14ac:dyDescent="0.25">
      <c r="A61" s="14">
        <v>38991</v>
      </c>
      <c r="B61" s="21">
        <v>97.5</v>
      </c>
      <c r="C61" s="21">
        <v>90.1</v>
      </c>
      <c r="D61" s="21">
        <v>97.9</v>
      </c>
      <c r="E61" s="7">
        <v>90.7</v>
      </c>
      <c r="F61" s="7">
        <v>87.8</v>
      </c>
      <c r="G61" s="7">
        <v>90.6</v>
      </c>
      <c r="I61" s="22">
        <v>90.7</v>
      </c>
      <c r="J61" s="21">
        <v>87.8</v>
      </c>
      <c r="K61" s="21">
        <v>90.6</v>
      </c>
      <c r="M61" s="9">
        <f t="shared" si="0"/>
        <v>0</v>
      </c>
      <c r="N61" s="9">
        <f t="shared" si="0"/>
        <v>0</v>
      </c>
      <c r="O61" s="9">
        <f t="shared" si="0"/>
        <v>0</v>
      </c>
    </row>
    <row r="62" spans="1:15" x14ac:dyDescent="0.25">
      <c r="A62" s="14">
        <v>39022</v>
      </c>
      <c r="B62" s="21">
        <v>95.9</v>
      </c>
      <c r="C62" s="21">
        <v>88.9</v>
      </c>
      <c r="D62" s="21">
        <v>96.3</v>
      </c>
      <c r="E62" s="7">
        <v>92.1</v>
      </c>
      <c r="F62" s="7">
        <v>90</v>
      </c>
      <c r="G62" s="7">
        <v>92.6</v>
      </c>
      <c r="I62" s="22">
        <v>92.1</v>
      </c>
      <c r="J62" s="21">
        <v>90</v>
      </c>
      <c r="K62" s="21">
        <v>92.6</v>
      </c>
      <c r="M62" s="9">
        <f t="shared" si="0"/>
        <v>0</v>
      </c>
      <c r="N62" s="9">
        <f t="shared" si="0"/>
        <v>0</v>
      </c>
      <c r="O62" s="9">
        <f t="shared" si="0"/>
        <v>0</v>
      </c>
    </row>
    <row r="63" spans="1:15" x14ac:dyDescent="0.25">
      <c r="A63" s="14">
        <v>39052</v>
      </c>
      <c r="B63" s="21">
        <v>87</v>
      </c>
      <c r="C63" s="21">
        <v>89</v>
      </c>
      <c r="D63" s="21">
        <v>86.8</v>
      </c>
      <c r="E63" s="7">
        <v>93.3</v>
      </c>
      <c r="F63" s="7">
        <v>88.7</v>
      </c>
      <c r="G63" s="7">
        <v>93.4</v>
      </c>
      <c r="I63" s="22">
        <v>93.3</v>
      </c>
      <c r="J63" s="21">
        <v>88.7</v>
      </c>
      <c r="K63" s="21">
        <v>93.4</v>
      </c>
      <c r="M63" s="9">
        <f t="shared" si="0"/>
        <v>0</v>
      </c>
      <c r="N63" s="9">
        <f t="shared" si="0"/>
        <v>0</v>
      </c>
      <c r="O63" s="9">
        <f t="shared" si="0"/>
        <v>0</v>
      </c>
    </row>
    <row r="64" spans="1:15" x14ac:dyDescent="0.25">
      <c r="A64" s="14">
        <v>39083</v>
      </c>
      <c r="B64" s="21">
        <v>87</v>
      </c>
      <c r="C64" s="21">
        <v>88.1</v>
      </c>
      <c r="D64" s="21">
        <v>86.9</v>
      </c>
      <c r="E64" s="7">
        <v>92.7</v>
      </c>
      <c r="F64" s="7">
        <v>89.3</v>
      </c>
      <c r="G64" s="7">
        <v>93.6</v>
      </c>
      <c r="I64" s="22">
        <v>92.7</v>
      </c>
      <c r="J64" s="21">
        <v>89.3</v>
      </c>
      <c r="K64" s="21">
        <v>93.6</v>
      </c>
      <c r="M64" s="9">
        <f t="shared" si="0"/>
        <v>0</v>
      </c>
      <c r="N64" s="9">
        <f t="shared" si="0"/>
        <v>0</v>
      </c>
      <c r="O64" s="9">
        <f t="shared" si="0"/>
        <v>0</v>
      </c>
    </row>
    <row r="65" spans="1:15" x14ac:dyDescent="0.25">
      <c r="A65" s="14">
        <v>39114</v>
      </c>
      <c r="B65" s="21">
        <v>82.6</v>
      </c>
      <c r="C65" s="21">
        <v>80.8</v>
      </c>
      <c r="D65" s="21">
        <v>82.7</v>
      </c>
      <c r="E65" s="7">
        <v>93.9</v>
      </c>
      <c r="F65" s="7">
        <v>90</v>
      </c>
      <c r="G65" s="7">
        <v>94.8</v>
      </c>
      <c r="I65" s="22">
        <v>93.9</v>
      </c>
      <c r="J65" s="21">
        <v>90</v>
      </c>
      <c r="K65" s="21">
        <v>94.8</v>
      </c>
      <c r="M65" s="9">
        <f t="shared" si="0"/>
        <v>0</v>
      </c>
      <c r="N65" s="9">
        <f t="shared" si="0"/>
        <v>0</v>
      </c>
      <c r="O65" s="9">
        <f t="shared" si="0"/>
        <v>0</v>
      </c>
    </row>
    <row r="66" spans="1:15" x14ac:dyDescent="0.25">
      <c r="A66" s="14">
        <v>39142</v>
      </c>
      <c r="B66" s="21">
        <v>96.4</v>
      </c>
      <c r="C66" s="21">
        <v>91</v>
      </c>
      <c r="D66" s="21">
        <v>96.8</v>
      </c>
      <c r="E66" s="7">
        <v>94.9</v>
      </c>
      <c r="F66" s="7">
        <v>91</v>
      </c>
      <c r="G66" s="7">
        <v>95.4</v>
      </c>
      <c r="I66" s="22">
        <v>94.9</v>
      </c>
      <c r="J66" s="21">
        <v>91</v>
      </c>
      <c r="K66" s="21">
        <v>95.4</v>
      </c>
      <c r="M66" s="9">
        <f t="shared" si="0"/>
        <v>0</v>
      </c>
      <c r="N66" s="9">
        <f t="shared" si="0"/>
        <v>0</v>
      </c>
      <c r="O66" s="9">
        <f t="shared" si="0"/>
        <v>0</v>
      </c>
    </row>
    <row r="67" spans="1:15" x14ac:dyDescent="0.25">
      <c r="A67" s="14">
        <v>39173</v>
      </c>
      <c r="B67" s="21">
        <v>90.6</v>
      </c>
      <c r="C67" s="21">
        <v>87.7</v>
      </c>
      <c r="D67" s="21">
        <v>90.8</v>
      </c>
      <c r="E67" s="7">
        <v>96</v>
      </c>
      <c r="F67" s="7">
        <v>90.2</v>
      </c>
      <c r="G67" s="7">
        <v>96.3</v>
      </c>
      <c r="I67" s="22">
        <v>96</v>
      </c>
      <c r="J67" s="21">
        <v>90.2</v>
      </c>
      <c r="K67" s="21">
        <v>96.3</v>
      </c>
      <c r="M67" s="9">
        <f t="shared" si="0"/>
        <v>0</v>
      </c>
      <c r="N67" s="9">
        <f t="shared" si="0"/>
        <v>0</v>
      </c>
      <c r="O67" s="9">
        <f t="shared" si="0"/>
        <v>0</v>
      </c>
    </row>
    <row r="68" spans="1:15" x14ac:dyDescent="0.25">
      <c r="A68" s="14">
        <v>39203</v>
      </c>
      <c r="B68" s="21">
        <v>99.9</v>
      </c>
      <c r="C68" s="21">
        <v>92.6</v>
      </c>
      <c r="D68" s="21">
        <v>100.3</v>
      </c>
      <c r="E68" s="7">
        <v>96.3</v>
      </c>
      <c r="F68" s="7">
        <v>90.1</v>
      </c>
      <c r="G68" s="7">
        <v>96.3</v>
      </c>
      <c r="I68" s="22">
        <v>96.3</v>
      </c>
      <c r="J68" s="21">
        <v>90.1</v>
      </c>
      <c r="K68" s="21">
        <v>96.3</v>
      </c>
      <c r="M68" s="9">
        <f t="shared" si="0"/>
        <v>0</v>
      </c>
      <c r="N68" s="9">
        <f t="shared" si="0"/>
        <v>0</v>
      </c>
      <c r="O68" s="9">
        <f t="shared" si="0"/>
        <v>0</v>
      </c>
    </row>
    <row r="69" spans="1:15" x14ac:dyDescent="0.25">
      <c r="A69" s="14">
        <v>39234</v>
      </c>
      <c r="B69" s="21">
        <v>96.9</v>
      </c>
      <c r="C69" s="21">
        <v>91.8</v>
      </c>
      <c r="D69" s="21">
        <v>97.2</v>
      </c>
      <c r="E69" s="7">
        <v>97</v>
      </c>
      <c r="F69" s="7">
        <v>91.3</v>
      </c>
      <c r="G69" s="7">
        <v>97.1</v>
      </c>
      <c r="I69" s="22">
        <v>97</v>
      </c>
      <c r="J69" s="21">
        <v>91.3</v>
      </c>
      <c r="K69" s="21">
        <v>97.1</v>
      </c>
      <c r="M69" s="9">
        <f t="shared" ref="M69:O106" si="1">(I69-E69)/E69</f>
        <v>0</v>
      </c>
      <c r="N69" s="9">
        <f t="shared" si="1"/>
        <v>0</v>
      </c>
      <c r="O69" s="9">
        <f t="shared" si="1"/>
        <v>0</v>
      </c>
    </row>
    <row r="70" spans="1:15" x14ac:dyDescent="0.25">
      <c r="A70" s="14">
        <v>39264</v>
      </c>
      <c r="B70" s="21">
        <v>99.8</v>
      </c>
      <c r="C70" s="21">
        <v>96</v>
      </c>
      <c r="D70" s="21">
        <v>100.1</v>
      </c>
      <c r="E70" s="7">
        <v>96.5</v>
      </c>
      <c r="F70" s="7">
        <v>91.7</v>
      </c>
      <c r="G70" s="7">
        <v>96.5</v>
      </c>
      <c r="I70" s="22">
        <v>96.5</v>
      </c>
      <c r="J70" s="21">
        <v>91.7</v>
      </c>
      <c r="K70" s="21">
        <v>96.5</v>
      </c>
      <c r="M70" s="9">
        <f t="shared" si="1"/>
        <v>0</v>
      </c>
      <c r="N70" s="9">
        <f t="shared" si="1"/>
        <v>0</v>
      </c>
      <c r="O70" s="9">
        <f t="shared" si="1"/>
        <v>0</v>
      </c>
    </row>
    <row r="71" spans="1:15" x14ac:dyDescent="0.25">
      <c r="A71" s="14">
        <v>39295</v>
      </c>
      <c r="B71" s="21">
        <v>104.9</v>
      </c>
      <c r="C71" s="21">
        <v>95.9</v>
      </c>
      <c r="D71" s="21">
        <v>105.5</v>
      </c>
      <c r="E71" s="7">
        <v>97.9</v>
      </c>
      <c r="F71" s="7">
        <v>91.8</v>
      </c>
      <c r="G71" s="7">
        <v>97.4</v>
      </c>
      <c r="I71" s="22">
        <v>97.9</v>
      </c>
      <c r="J71" s="21">
        <v>91.8</v>
      </c>
      <c r="K71" s="21">
        <v>97.4</v>
      </c>
      <c r="M71" s="9">
        <f t="shared" si="1"/>
        <v>0</v>
      </c>
      <c r="N71" s="9">
        <f t="shared" si="1"/>
        <v>0</v>
      </c>
      <c r="O71" s="9">
        <f t="shared" si="1"/>
        <v>0</v>
      </c>
    </row>
    <row r="72" spans="1:15" x14ac:dyDescent="0.25">
      <c r="A72" s="14">
        <v>39326</v>
      </c>
      <c r="B72" s="21">
        <v>98.4</v>
      </c>
      <c r="C72" s="21">
        <v>91.1</v>
      </c>
      <c r="D72" s="21">
        <v>98.8</v>
      </c>
      <c r="E72" s="7">
        <v>97.1</v>
      </c>
      <c r="F72" s="7">
        <v>90.8</v>
      </c>
      <c r="G72" s="7">
        <v>97.8</v>
      </c>
      <c r="I72" s="22">
        <v>97.1</v>
      </c>
      <c r="J72" s="21">
        <v>90.8</v>
      </c>
      <c r="K72" s="21">
        <v>97.8</v>
      </c>
      <c r="M72" s="9">
        <f t="shared" si="1"/>
        <v>0</v>
      </c>
      <c r="N72" s="9">
        <f t="shared" si="1"/>
        <v>0</v>
      </c>
      <c r="O72" s="9">
        <f t="shared" si="1"/>
        <v>0</v>
      </c>
    </row>
    <row r="73" spans="1:15" x14ac:dyDescent="0.25">
      <c r="A73" s="14">
        <v>39356</v>
      </c>
      <c r="B73" s="21">
        <v>107.8</v>
      </c>
      <c r="C73" s="21">
        <v>93.9</v>
      </c>
      <c r="D73" s="21">
        <v>108.7</v>
      </c>
      <c r="E73" s="7">
        <v>99.5</v>
      </c>
      <c r="F73" s="7">
        <v>91.9</v>
      </c>
      <c r="G73" s="7">
        <v>98.7</v>
      </c>
      <c r="I73" s="22">
        <v>99.5</v>
      </c>
      <c r="J73" s="21">
        <v>91.9</v>
      </c>
      <c r="K73" s="21">
        <v>98.7</v>
      </c>
      <c r="M73" s="9">
        <f t="shared" si="1"/>
        <v>0</v>
      </c>
      <c r="N73" s="9">
        <f t="shared" si="1"/>
        <v>0</v>
      </c>
      <c r="O73" s="9">
        <f t="shared" si="1"/>
        <v>0</v>
      </c>
    </row>
    <row r="74" spans="1:15" x14ac:dyDescent="0.25">
      <c r="A74" s="14">
        <v>39387</v>
      </c>
      <c r="B74" s="21">
        <v>102.4</v>
      </c>
      <c r="C74" s="21">
        <v>92</v>
      </c>
      <c r="D74" s="21">
        <v>103.1</v>
      </c>
      <c r="E74" s="7">
        <v>98.5</v>
      </c>
      <c r="F74" s="7">
        <v>93.1</v>
      </c>
      <c r="G74" s="7">
        <v>98.9</v>
      </c>
      <c r="I74" s="22">
        <v>98.5</v>
      </c>
      <c r="J74" s="21">
        <v>93.1</v>
      </c>
      <c r="K74" s="21">
        <v>98.9</v>
      </c>
      <c r="M74" s="9">
        <f t="shared" si="1"/>
        <v>0</v>
      </c>
      <c r="N74" s="9">
        <f t="shared" si="1"/>
        <v>0</v>
      </c>
      <c r="O74" s="9">
        <f t="shared" si="1"/>
        <v>0</v>
      </c>
    </row>
    <row r="75" spans="1:15" x14ac:dyDescent="0.25">
      <c r="A75" s="14">
        <v>39417</v>
      </c>
      <c r="B75" s="21">
        <v>92.6</v>
      </c>
      <c r="C75" s="21">
        <v>98.6</v>
      </c>
      <c r="D75" s="21">
        <v>92.3</v>
      </c>
      <c r="E75" s="7">
        <v>98.9</v>
      </c>
      <c r="F75" s="7">
        <v>97.9</v>
      </c>
      <c r="G75" s="7">
        <v>99.8</v>
      </c>
      <c r="I75" s="22">
        <v>98.9</v>
      </c>
      <c r="J75" s="21">
        <v>97.9</v>
      </c>
      <c r="K75" s="21">
        <v>99.8</v>
      </c>
      <c r="M75" s="9">
        <f t="shared" si="1"/>
        <v>0</v>
      </c>
      <c r="N75" s="9">
        <f t="shared" si="1"/>
        <v>0</v>
      </c>
      <c r="O75" s="9">
        <f t="shared" si="1"/>
        <v>0</v>
      </c>
    </row>
    <row r="76" spans="1:15" x14ac:dyDescent="0.25">
      <c r="A76" s="14">
        <v>39448</v>
      </c>
      <c r="B76" s="21">
        <v>94.8</v>
      </c>
      <c r="C76" s="21">
        <v>95.1</v>
      </c>
      <c r="D76" s="21">
        <v>94.8</v>
      </c>
      <c r="E76" s="7">
        <v>100.6</v>
      </c>
      <c r="F76" s="7">
        <v>96</v>
      </c>
      <c r="G76" s="7">
        <v>102.2</v>
      </c>
      <c r="I76" s="22">
        <v>100.6</v>
      </c>
      <c r="J76" s="21">
        <v>96</v>
      </c>
      <c r="K76" s="21">
        <v>102.2</v>
      </c>
      <c r="M76" s="9">
        <f t="shared" si="1"/>
        <v>0</v>
      </c>
      <c r="N76" s="9">
        <f t="shared" si="1"/>
        <v>0</v>
      </c>
      <c r="O76" s="9">
        <f t="shared" si="1"/>
        <v>0</v>
      </c>
    </row>
    <row r="77" spans="1:15" x14ac:dyDescent="0.25">
      <c r="A77" s="14">
        <v>39479</v>
      </c>
      <c r="B77" s="21">
        <v>91.1</v>
      </c>
      <c r="C77" s="21">
        <v>88.6</v>
      </c>
      <c r="D77" s="21">
        <v>91.2</v>
      </c>
      <c r="E77" s="7">
        <v>100.2</v>
      </c>
      <c r="F77" s="7">
        <v>98.4</v>
      </c>
      <c r="G77" s="7">
        <v>100.6</v>
      </c>
      <c r="I77" s="22">
        <v>100.2</v>
      </c>
      <c r="J77" s="21">
        <v>98.4</v>
      </c>
      <c r="K77" s="21">
        <v>100.6</v>
      </c>
      <c r="M77" s="9">
        <f t="shared" si="1"/>
        <v>0</v>
      </c>
      <c r="N77" s="9">
        <f t="shared" si="1"/>
        <v>0</v>
      </c>
      <c r="O77" s="9">
        <f t="shared" si="1"/>
        <v>0</v>
      </c>
    </row>
    <row r="78" spans="1:15" x14ac:dyDescent="0.25">
      <c r="A78" s="14">
        <v>39508</v>
      </c>
      <c r="B78" s="21">
        <v>97.7</v>
      </c>
      <c r="C78" s="21">
        <v>94</v>
      </c>
      <c r="D78" s="21">
        <v>98</v>
      </c>
      <c r="E78" s="7">
        <v>100.5</v>
      </c>
      <c r="F78" s="7">
        <v>94.9</v>
      </c>
      <c r="G78" s="7">
        <v>101.3</v>
      </c>
      <c r="I78" s="22">
        <v>100.5</v>
      </c>
      <c r="J78" s="21">
        <v>94.9</v>
      </c>
      <c r="K78" s="21">
        <v>101.3</v>
      </c>
      <c r="M78" s="9">
        <f t="shared" si="1"/>
        <v>0</v>
      </c>
      <c r="N78" s="9">
        <f t="shared" si="1"/>
        <v>0</v>
      </c>
      <c r="O78" s="9">
        <f t="shared" si="1"/>
        <v>0</v>
      </c>
    </row>
    <row r="79" spans="1:15" x14ac:dyDescent="0.25">
      <c r="A79" s="14">
        <v>39539</v>
      </c>
      <c r="B79" s="21">
        <v>99.2</v>
      </c>
      <c r="C79" s="21">
        <v>91.4</v>
      </c>
      <c r="D79" s="21">
        <v>99.7</v>
      </c>
      <c r="E79" s="7">
        <v>100.4</v>
      </c>
      <c r="F79" s="7">
        <v>93.6</v>
      </c>
      <c r="G79" s="7">
        <v>100.9</v>
      </c>
      <c r="I79" s="22">
        <v>100.4</v>
      </c>
      <c r="J79" s="21">
        <v>93.6</v>
      </c>
      <c r="K79" s="21">
        <v>100.9</v>
      </c>
      <c r="M79" s="9">
        <f t="shared" si="1"/>
        <v>0</v>
      </c>
      <c r="N79" s="9">
        <f t="shared" si="1"/>
        <v>0</v>
      </c>
      <c r="O79" s="9">
        <f t="shared" si="1"/>
        <v>0</v>
      </c>
    </row>
    <row r="80" spans="1:15" x14ac:dyDescent="0.25">
      <c r="A80" s="14">
        <v>39569</v>
      </c>
      <c r="B80" s="21">
        <v>102.5</v>
      </c>
      <c r="C80" s="21">
        <v>99.6</v>
      </c>
      <c r="D80" s="21">
        <v>102.6</v>
      </c>
      <c r="E80" s="7">
        <v>101.1</v>
      </c>
      <c r="F80" s="7">
        <v>97.5</v>
      </c>
      <c r="G80" s="7">
        <v>101.4</v>
      </c>
      <c r="I80" s="22">
        <v>101.1</v>
      </c>
      <c r="J80" s="21">
        <v>97.5</v>
      </c>
      <c r="K80" s="21">
        <v>101.4</v>
      </c>
      <c r="M80" s="9">
        <f t="shared" si="1"/>
        <v>0</v>
      </c>
      <c r="N80" s="9">
        <f t="shared" si="1"/>
        <v>0</v>
      </c>
      <c r="O80" s="9">
        <f t="shared" si="1"/>
        <v>0</v>
      </c>
    </row>
    <row r="81" spans="1:15" x14ac:dyDescent="0.25">
      <c r="A81" s="14">
        <v>39600</v>
      </c>
      <c r="B81" s="21">
        <v>103.3</v>
      </c>
      <c r="C81" s="21">
        <v>98.5</v>
      </c>
      <c r="D81" s="21">
        <v>103.6</v>
      </c>
      <c r="E81" s="7">
        <v>102.9</v>
      </c>
      <c r="F81" s="7">
        <v>97.9</v>
      </c>
      <c r="G81" s="7">
        <v>102.5</v>
      </c>
      <c r="I81" s="22">
        <v>102.9</v>
      </c>
      <c r="J81" s="21">
        <v>97.9</v>
      </c>
      <c r="K81" s="21">
        <v>102.5</v>
      </c>
      <c r="M81" s="9">
        <f t="shared" si="1"/>
        <v>0</v>
      </c>
      <c r="N81" s="9">
        <f t="shared" si="1"/>
        <v>0</v>
      </c>
      <c r="O81" s="9">
        <f t="shared" si="1"/>
        <v>0</v>
      </c>
    </row>
    <row r="82" spans="1:15" x14ac:dyDescent="0.25">
      <c r="A82" s="14">
        <v>39630</v>
      </c>
      <c r="B82" s="21">
        <v>108.5</v>
      </c>
      <c r="C82" s="21">
        <v>104.3</v>
      </c>
      <c r="D82" s="21">
        <v>108.8</v>
      </c>
      <c r="E82" s="7">
        <v>103.2</v>
      </c>
      <c r="F82" s="7">
        <v>99.4</v>
      </c>
      <c r="G82" s="7">
        <v>102.6</v>
      </c>
      <c r="I82" s="22">
        <v>103.2</v>
      </c>
      <c r="J82" s="21">
        <v>99.4</v>
      </c>
      <c r="K82" s="21">
        <v>102.6</v>
      </c>
      <c r="M82" s="9">
        <f t="shared" si="1"/>
        <v>0</v>
      </c>
      <c r="N82" s="9">
        <f t="shared" si="1"/>
        <v>0</v>
      </c>
      <c r="O82" s="9">
        <f t="shared" si="1"/>
        <v>0</v>
      </c>
    </row>
    <row r="83" spans="1:15" x14ac:dyDescent="0.25">
      <c r="A83" s="14">
        <v>39661</v>
      </c>
      <c r="B83" s="21">
        <v>106.9</v>
      </c>
      <c r="C83" s="21">
        <v>104.1</v>
      </c>
      <c r="D83" s="21">
        <v>107.1</v>
      </c>
      <c r="E83" s="7">
        <v>101.9</v>
      </c>
      <c r="F83" s="7">
        <v>99.7</v>
      </c>
      <c r="G83" s="7">
        <v>101.4</v>
      </c>
      <c r="I83" s="22">
        <v>101.9</v>
      </c>
      <c r="J83" s="21">
        <v>99.7</v>
      </c>
      <c r="K83" s="21">
        <v>101.4</v>
      </c>
      <c r="M83" s="9">
        <f t="shared" si="1"/>
        <v>0</v>
      </c>
      <c r="N83" s="9">
        <f t="shared" si="1"/>
        <v>0</v>
      </c>
      <c r="O83" s="9">
        <f t="shared" si="1"/>
        <v>0</v>
      </c>
    </row>
    <row r="84" spans="1:15" x14ac:dyDescent="0.25">
      <c r="A84" s="14">
        <v>39692</v>
      </c>
      <c r="B84" s="21">
        <v>107.3</v>
      </c>
      <c r="C84" s="21">
        <v>99.9</v>
      </c>
      <c r="D84" s="21">
        <v>107.8</v>
      </c>
      <c r="E84" s="7">
        <v>103.4</v>
      </c>
      <c r="F84" s="7">
        <v>99.6</v>
      </c>
      <c r="G84" s="7">
        <v>103.3</v>
      </c>
      <c r="I84" s="22">
        <v>103.4</v>
      </c>
      <c r="J84" s="21">
        <v>99.6</v>
      </c>
      <c r="K84" s="21">
        <v>103.3</v>
      </c>
      <c r="M84" s="9">
        <f t="shared" si="1"/>
        <v>0</v>
      </c>
      <c r="N84" s="9">
        <f t="shared" si="1"/>
        <v>0</v>
      </c>
      <c r="O84" s="9">
        <f t="shared" si="1"/>
        <v>0</v>
      </c>
    </row>
    <row r="85" spans="1:15" x14ac:dyDescent="0.25">
      <c r="A85" s="14">
        <v>39722</v>
      </c>
      <c r="B85" s="21">
        <v>108.4</v>
      </c>
      <c r="C85" s="21">
        <v>100.8</v>
      </c>
      <c r="D85" s="21">
        <v>108.9</v>
      </c>
      <c r="E85" s="7">
        <v>100.2</v>
      </c>
      <c r="F85" s="7">
        <v>98.9</v>
      </c>
      <c r="G85" s="7">
        <v>99.1</v>
      </c>
      <c r="I85" s="22">
        <v>100.2</v>
      </c>
      <c r="J85" s="21">
        <v>98.9</v>
      </c>
      <c r="K85" s="21">
        <v>99.1</v>
      </c>
      <c r="M85" s="9">
        <f t="shared" si="1"/>
        <v>0</v>
      </c>
      <c r="N85" s="9">
        <f t="shared" si="1"/>
        <v>0</v>
      </c>
      <c r="O85" s="9">
        <f t="shared" si="1"/>
        <v>0</v>
      </c>
    </row>
    <row r="86" spans="1:15" x14ac:dyDescent="0.25">
      <c r="A86" s="14">
        <v>39753</v>
      </c>
      <c r="B86" s="21">
        <v>96.2</v>
      </c>
      <c r="C86" s="21">
        <v>87.8</v>
      </c>
      <c r="D86" s="21">
        <v>96.7</v>
      </c>
      <c r="E86" s="7">
        <v>94.4</v>
      </c>
      <c r="F86" s="7">
        <v>88.8</v>
      </c>
      <c r="G86" s="7">
        <v>95.1</v>
      </c>
      <c r="I86" s="22">
        <v>94.4</v>
      </c>
      <c r="J86" s="21">
        <v>88.8</v>
      </c>
      <c r="K86" s="21">
        <v>95.1</v>
      </c>
      <c r="M86" s="9">
        <f t="shared" si="1"/>
        <v>0</v>
      </c>
      <c r="N86" s="9">
        <f t="shared" si="1"/>
        <v>0</v>
      </c>
      <c r="O86" s="9">
        <f t="shared" si="1"/>
        <v>0</v>
      </c>
    </row>
    <row r="87" spans="1:15" x14ac:dyDescent="0.25">
      <c r="A87" s="14">
        <v>39783</v>
      </c>
      <c r="B87" s="21">
        <v>79.099999999999994</v>
      </c>
      <c r="C87" s="21">
        <v>77.5</v>
      </c>
      <c r="D87" s="21">
        <v>79.2</v>
      </c>
      <c r="E87" s="7">
        <v>83.8</v>
      </c>
      <c r="F87" s="7">
        <v>76.599999999999994</v>
      </c>
      <c r="G87" s="7">
        <v>84.1</v>
      </c>
      <c r="I87" s="22">
        <v>83.8</v>
      </c>
      <c r="J87" s="21">
        <v>76.599999999999994</v>
      </c>
      <c r="K87" s="21">
        <v>84.1</v>
      </c>
      <c r="M87" s="9">
        <f t="shared" si="1"/>
        <v>0</v>
      </c>
      <c r="N87" s="9">
        <f t="shared" si="1"/>
        <v>0</v>
      </c>
      <c r="O87" s="9">
        <f t="shared" si="1"/>
        <v>0</v>
      </c>
    </row>
    <row r="88" spans="1:15" x14ac:dyDescent="0.25">
      <c r="A88" s="14">
        <v>39814</v>
      </c>
      <c r="B88" s="21">
        <v>78.7</v>
      </c>
      <c r="C88" s="21">
        <v>77.599999999999994</v>
      </c>
      <c r="D88" s="21">
        <v>78.7</v>
      </c>
      <c r="E88" s="7">
        <v>85.6</v>
      </c>
      <c r="F88" s="7">
        <v>78.099999999999994</v>
      </c>
      <c r="G88" s="7">
        <v>85.9</v>
      </c>
      <c r="I88" s="22">
        <v>85.6</v>
      </c>
      <c r="J88" s="21">
        <v>78.099999999999994</v>
      </c>
      <c r="K88" s="21">
        <v>85.9</v>
      </c>
      <c r="M88" s="9">
        <f t="shared" si="1"/>
        <v>0</v>
      </c>
      <c r="N88" s="9">
        <f t="shared" si="1"/>
        <v>0</v>
      </c>
      <c r="O88" s="9">
        <f t="shared" si="1"/>
        <v>0</v>
      </c>
    </row>
    <row r="89" spans="1:15" x14ac:dyDescent="0.25">
      <c r="A89" s="14">
        <v>39845</v>
      </c>
      <c r="B89" s="21">
        <v>76.099999999999994</v>
      </c>
      <c r="C89" s="21">
        <v>71.8</v>
      </c>
      <c r="D89" s="21">
        <v>76.3</v>
      </c>
      <c r="E89" s="7">
        <v>87.6</v>
      </c>
      <c r="F89" s="7">
        <v>79.400000000000006</v>
      </c>
      <c r="G89" s="7">
        <v>87.3</v>
      </c>
      <c r="I89" s="22">
        <v>87.6</v>
      </c>
      <c r="J89" s="21">
        <v>79.400000000000006</v>
      </c>
      <c r="K89" s="21">
        <v>87.3</v>
      </c>
      <c r="M89" s="9">
        <f t="shared" si="1"/>
        <v>0</v>
      </c>
      <c r="N89" s="9">
        <f t="shared" si="1"/>
        <v>0</v>
      </c>
      <c r="O89" s="9">
        <f t="shared" si="1"/>
        <v>0</v>
      </c>
    </row>
    <row r="90" spans="1:15" x14ac:dyDescent="0.25">
      <c r="A90" s="14">
        <v>39873</v>
      </c>
      <c r="B90" s="21">
        <v>88.6</v>
      </c>
      <c r="C90" s="21">
        <v>84.2</v>
      </c>
      <c r="D90" s="21">
        <v>88.8</v>
      </c>
      <c r="E90" s="7">
        <v>88</v>
      </c>
      <c r="F90" s="7">
        <v>84.6</v>
      </c>
      <c r="G90" s="7">
        <v>88.1</v>
      </c>
      <c r="I90" s="22">
        <v>88</v>
      </c>
      <c r="J90" s="21">
        <v>84.6</v>
      </c>
      <c r="K90" s="21">
        <v>88.1</v>
      </c>
      <c r="M90" s="9">
        <f t="shared" si="1"/>
        <v>0</v>
      </c>
      <c r="N90" s="9">
        <f t="shared" si="1"/>
        <v>0</v>
      </c>
      <c r="O90" s="9">
        <f t="shared" si="1"/>
        <v>0</v>
      </c>
    </row>
    <row r="91" spans="1:15" x14ac:dyDescent="0.25">
      <c r="A91" s="14">
        <v>39904</v>
      </c>
      <c r="B91" s="21">
        <v>85.2</v>
      </c>
      <c r="C91" s="21">
        <v>80.8</v>
      </c>
      <c r="D91" s="21">
        <v>85.5</v>
      </c>
      <c r="E91" s="7">
        <v>89</v>
      </c>
      <c r="F91" s="7">
        <v>83.8</v>
      </c>
      <c r="G91" s="7">
        <v>89.1</v>
      </c>
      <c r="I91" s="22">
        <v>89</v>
      </c>
      <c r="J91" s="21">
        <v>83.8</v>
      </c>
      <c r="K91" s="21">
        <v>89.1</v>
      </c>
      <c r="M91" s="9">
        <f t="shared" si="1"/>
        <v>0</v>
      </c>
      <c r="N91" s="9">
        <f t="shared" si="1"/>
        <v>0</v>
      </c>
      <c r="O91" s="9">
        <f t="shared" si="1"/>
        <v>0</v>
      </c>
    </row>
    <row r="92" spans="1:15" x14ac:dyDescent="0.25">
      <c r="A92" s="14">
        <v>39934</v>
      </c>
      <c r="B92" s="21">
        <v>91.3</v>
      </c>
      <c r="C92" s="21">
        <v>85.4</v>
      </c>
      <c r="D92" s="21">
        <v>91.6</v>
      </c>
      <c r="E92" s="7">
        <v>90.4</v>
      </c>
      <c r="F92" s="7">
        <v>84</v>
      </c>
      <c r="G92" s="7">
        <v>90.5</v>
      </c>
      <c r="I92" s="22">
        <v>90.4</v>
      </c>
      <c r="J92" s="21">
        <v>84</v>
      </c>
      <c r="K92" s="21">
        <v>90.5</v>
      </c>
      <c r="M92" s="9">
        <f t="shared" si="1"/>
        <v>0</v>
      </c>
      <c r="N92" s="9">
        <f t="shared" si="1"/>
        <v>0</v>
      </c>
      <c r="O92" s="9">
        <f t="shared" si="1"/>
        <v>0</v>
      </c>
    </row>
    <row r="93" spans="1:15" x14ac:dyDescent="0.25">
      <c r="A93" s="14">
        <v>39965</v>
      </c>
      <c r="B93" s="21">
        <v>92.2</v>
      </c>
      <c r="C93" s="21">
        <v>89.1</v>
      </c>
      <c r="D93" s="21">
        <v>92.4</v>
      </c>
      <c r="E93" s="7">
        <v>91.6</v>
      </c>
      <c r="F93" s="7">
        <v>88.7</v>
      </c>
      <c r="G93" s="7">
        <v>91.4</v>
      </c>
      <c r="I93" s="22">
        <v>91.6</v>
      </c>
      <c r="J93" s="21">
        <v>88.7</v>
      </c>
      <c r="K93" s="21">
        <v>91.4</v>
      </c>
      <c r="M93" s="9">
        <f t="shared" si="1"/>
        <v>0</v>
      </c>
      <c r="N93" s="9">
        <f t="shared" si="1"/>
        <v>0</v>
      </c>
      <c r="O93" s="9">
        <f t="shared" si="1"/>
        <v>0</v>
      </c>
    </row>
    <row r="94" spans="1:15" x14ac:dyDescent="0.25">
      <c r="A94" s="14">
        <v>39995</v>
      </c>
      <c r="B94" s="21">
        <v>97.7</v>
      </c>
      <c r="C94" s="21">
        <v>93.6</v>
      </c>
      <c r="D94" s="21">
        <v>98</v>
      </c>
      <c r="E94" s="7">
        <v>92.6</v>
      </c>
      <c r="F94" s="7">
        <v>89.2</v>
      </c>
      <c r="G94" s="7">
        <v>92.7</v>
      </c>
      <c r="I94" s="22">
        <v>92.6</v>
      </c>
      <c r="J94" s="21">
        <v>89.2</v>
      </c>
      <c r="K94" s="21">
        <v>92.7</v>
      </c>
      <c r="M94" s="9">
        <f t="shared" si="1"/>
        <v>0</v>
      </c>
      <c r="N94" s="9">
        <f t="shared" si="1"/>
        <v>0</v>
      </c>
      <c r="O94" s="9">
        <f t="shared" si="1"/>
        <v>0</v>
      </c>
    </row>
    <row r="95" spans="1:15" x14ac:dyDescent="0.25">
      <c r="A95" s="14">
        <v>40026</v>
      </c>
      <c r="B95" s="21">
        <v>99.6</v>
      </c>
      <c r="C95" s="21">
        <v>93.4</v>
      </c>
      <c r="D95" s="21">
        <v>100</v>
      </c>
      <c r="E95" s="7">
        <v>94</v>
      </c>
      <c r="F95" s="7">
        <v>89.4</v>
      </c>
      <c r="G95" s="7">
        <v>94.3</v>
      </c>
      <c r="I95" s="22">
        <v>94</v>
      </c>
      <c r="J95" s="21">
        <v>89.4</v>
      </c>
      <c r="K95" s="21">
        <v>94.3</v>
      </c>
      <c r="M95" s="9">
        <f t="shared" si="1"/>
        <v>0</v>
      </c>
      <c r="N95" s="9">
        <f t="shared" si="1"/>
        <v>0</v>
      </c>
      <c r="O95" s="9">
        <f t="shared" si="1"/>
        <v>0</v>
      </c>
    </row>
    <row r="96" spans="1:15" x14ac:dyDescent="0.25">
      <c r="A96" s="14">
        <v>40057</v>
      </c>
      <c r="B96" s="21">
        <v>99.4</v>
      </c>
      <c r="C96" s="21">
        <v>90.5</v>
      </c>
      <c r="D96" s="21">
        <v>100</v>
      </c>
      <c r="E96" s="7">
        <v>95.6</v>
      </c>
      <c r="F96" s="7">
        <v>90</v>
      </c>
      <c r="G96" s="7">
        <v>95.9</v>
      </c>
      <c r="I96" s="22">
        <v>95.6</v>
      </c>
      <c r="J96" s="21">
        <v>90</v>
      </c>
      <c r="K96" s="21">
        <v>95.9</v>
      </c>
      <c r="M96" s="9">
        <f t="shared" si="1"/>
        <v>0</v>
      </c>
      <c r="N96" s="9">
        <f t="shared" si="1"/>
        <v>0</v>
      </c>
      <c r="O96" s="9">
        <f t="shared" si="1"/>
        <v>0</v>
      </c>
    </row>
    <row r="97" spans="1:15" x14ac:dyDescent="0.25">
      <c r="A97" s="14">
        <v>40087</v>
      </c>
      <c r="B97" s="21">
        <v>105.6</v>
      </c>
      <c r="C97" s="21">
        <v>92.8</v>
      </c>
      <c r="D97" s="21">
        <v>106.4</v>
      </c>
      <c r="E97" s="7">
        <v>97.3</v>
      </c>
      <c r="F97" s="7">
        <v>91</v>
      </c>
      <c r="G97" s="7">
        <v>97.5</v>
      </c>
      <c r="I97" s="22">
        <v>97.3</v>
      </c>
      <c r="J97" s="21">
        <v>91</v>
      </c>
      <c r="K97" s="21">
        <v>97.5</v>
      </c>
      <c r="M97" s="9">
        <f t="shared" si="1"/>
        <v>0</v>
      </c>
      <c r="N97" s="9">
        <f t="shared" si="1"/>
        <v>0</v>
      </c>
      <c r="O97" s="9">
        <f t="shared" si="1"/>
        <v>0</v>
      </c>
    </row>
    <row r="98" spans="1:15" x14ac:dyDescent="0.25">
      <c r="A98" s="14">
        <v>40118</v>
      </c>
      <c r="B98" s="21">
        <v>101.4</v>
      </c>
      <c r="C98" s="21">
        <v>88.8</v>
      </c>
      <c r="D98" s="21">
        <v>102.2</v>
      </c>
      <c r="E98" s="7">
        <v>98.9</v>
      </c>
      <c r="F98" s="7">
        <v>89.6</v>
      </c>
      <c r="G98" s="7">
        <v>99.6</v>
      </c>
      <c r="I98" s="22">
        <v>98.9</v>
      </c>
      <c r="J98" s="21">
        <v>89.6</v>
      </c>
      <c r="K98" s="21">
        <v>99.6</v>
      </c>
      <c r="M98" s="9">
        <f t="shared" si="1"/>
        <v>0</v>
      </c>
      <c r="N98" s="9">
        <f t="shared" si="1"/>
        <v>0</v>
      </c>
      <c r="O98" s="9">
        <f t="shared" si="1"/>
        <v>0</v>
      </c>
    </row>
    <row r="99" spans="1:15" x14ac:dyDescent="0.25">
      <c r="A99" s="14">
        <v>40148</v>
      </c>
      <c r="B99" s="21">
        <v>94.1</v>
      </c>
      <c r="C99" s="21">
        <v>92.4</v>
      </c>
      <c r="D99" s="21">
        <v>94.2</v>
      </c>
      <c r="E99" s="7">
        <v>99.1</v>
      </c>
      <c r="F99" s="7">
        <v>90.9</v>
      </c>
      <c r="G99" s="7">
        <v>100.5</v>
      </c>
      <c r="I99" s="22">
        <v>99.1</v>
      </c>
      <c r="J99" s="21">
        <v>90.9</v>
      </c>
      <c r="K99" s="21">
        <v>100.5</v>
      </c>
      <c r="M99" s="9">
        <f t="shared" si="1"/>
        <v>0</v>
      </c>
      <c r="N99" s="9">
        <f t="shared" si="1"/>
        <v>0</v>
      </c>
      <c r="O99" s="9">
        <f t="shared" si="1"/>
        <v>0</v>
      </c>
    </row>
    <row r="100" spans="1:15" x14ac:dyDescent="0.25">
      <c r="A100" s="14">
        <v>40179</v>
      </c>
      <c r="B100" s="21">
        <v>91.2</v>
      </c>
      <c r="C100" s="21">
        <v>94.2</v>
      </c>
      <c r="D100" s="21">
        <v>91</v>
      </c>
      <c r="E100" s="7">
        <v>100.7</v>
      </c>
      <c r="F100" s="7">
        <v>94.8</v>
      </c>
      <c r="G100" s="7">
        <v>101.7</v>
      </c>
      <c r="I100" s="22">
        <v>100.7</v>
      </c>
      <c r="J100" s="21">
        <v>94.8</v>
      </c>
      <c r="K100" s="21">
        <v>101.7</v>
      </c>
      <c r="M100" s="9">
        <f t="shared" si="1"/>
        <v>0</v>
      </c>
      <c r="N100" s="9">
        <f t="shared" si="1"/>
        <v>0</v>
      </c>
      <c r="O100" s="9">
        <f t="shared" si="1"/>
        <v>0</v>
      </c>
    </row>
    <row r="101" spans="1:15" x14ac:dyDescent="0.25">
      <c r="A101" s="14">
        <v>40210</v>
      </c>
      <c r="B101" s="21">
        <v>89</v>
      </c>
      <c r="C101" s="21">
        <v>86.8</v>
      </c>
      <c r="D101" s="21">
        <v>89.1</v>
      </c>
      <c r="E101" s="7">
        <v>100.5</v>
      </c>
      <c r="F101" s="7">
        <v>95.8</v>
      </c>
      <c r="G101" s="7">
        <v>101.7</v>
      </c>
      <c r="I101" s="22">
        <v>100.5</v>
      </c>
      <c r="J101" s="21">
        <v>95.8</v>
      </c>
      <c r="K101" s="21">
        <v>101.7</v>
      </c>
      <c r="M101" s="9">
        <f t="shared" si="1"/>
        <v>0</v>
      </c>
      <c r="N101" s="9">
        <f t="shared" si="1"/>
        <v>0</v>
      </c>
      <c r="O101" s="9">
        <f t="shared" si="1"/>
        <v>0</v>
      </c>
    </row>
    <row r="102" spans="1:15" x14ac:dyDescent="0.25">
      <c r="A102" s="14">
        <v>40238</v>
      </c>
      <c r="B102" s="21">
        <v>105.1</v>
      </c>
      <c r="C102" s="21">
        <v>97</v>
      </c>
      <c r="D102" s="21">
        <v>105.6</v>
      </c>
      <c r="E102" s="7">
        <v>103</v>
      </c>
      <c r="F102" s="7">
        <v>98.7</v>
      </c>
      <c r="G102" s="7">
        <v>102.9</v>
      </c>
      <c r="I102" s="22">
        <v>103</v>
      </c>
      <c r="J102" s="21">
        <v>98.7</v>
      </c>
      <c r="K102" s="21">
        <v>102.9</v>
      </c>
      <c r="M102" s="9">
        <f t="shared" si="1"/>
        <v>0</v>
      </c>
      <c r="N102" s="9">
        <f t="shared" si="1"/>
        <v>0</v>
      </c>
      <c r="O102" s="9">
        <f t="shared" si="1"/>
        <v>0</v>
      </c>
    </row>
    <row r="103" spans="1:15" x14ac:dyDescent="0.25">
      <c r="A103" s="14">
        <v>40269</v>
      </c>
      <c r="B103" s="21">
        <v>99.3</v>
      </c>
      <c r="C103" s="21">
        <v>95</v>
      </c>
      <c r="D103" s="21">
        <v>99.6</v>
      </c>
      <c r="E103" s="7">
        <v>103.2</v>
      </c>
      <c r="F103" s="7">
        <v>98.3</v>
      </c>
      <c r="G103" s="7">
        <v>103.6</v>
      </c>
      <c r="I103" s="22">
        <v>103.2</v>
      </c>
      <c r="J103" s="21">
        <v>98.3</v>
      </c>
      <c r="K103" s="21">
        <v>103.6</v>
      </c>
      <c r="M103" s="9">
        <f t="shared" si="1"/>
        <v>0</v>
      </c>
      <c r="N103" s="9">
        <f t="shared" si="1"/>
        <v>0</v>
      </c>
      <c r="O103" s="9">
        <f t="shared" si="1"/>
        <v>0</v>
      </c>
    </row>
    <row r="104" spans="1:15" x14ac:dyDescent="0.25">
      <c r="A104" s="14">
        <v>40299</v>
      </c>
      <c r="B104" s="21">
        <v>104.3</v>
      </c>
      <c r="C104" s="21">
        <v>98.8</v>
      </c>
      <c r="D104" s="21">
        <v>104.6</v>
      </c>
      <c r="E104" s="7">
        <v>103</v>
      </c>
      <c r="F104" s="7">
        <v>97.4</v>
      </c>
      <c r="G104" s="7">
        <v>103.1</v>
      </c>
      <c r="I104" s="22">
        <v>103</v>
      </c>
      <c r="J104" s="21">
        <v>97.4</v>
      </c>
      <c r="K104" s="21">
        <v>103.1</v>
      </c>
      <c r="M104" s="9">
        <f t="shared" si="1"/>
        <v>0</v>
      </c>
      <c r="N104" s="9">
        <f t="shared" si="1"/>
        <v>0</v>
      </c>
      <c r="O104" s="9">
        <f t="shared" si="1"/>
        <v>0</v>
      </c>
    </row>
    <row r="105" spans="1:15" x14ac:dyDescent="0.25">
      <c r="A105" s="14">
        <v>40330</v>
      </c>
      <c r="B105" s="21">
        <v>102.5</v>
      </c>
      <c r="C105" s="21">
        <v>97.4</v>
      </c>
      <c r="D105" s="21">
        <v>102.8</v>
      </c>
      <c r="E105" s="7">
        <v>102.3</v>
      </c>
      <c r="F105" s="7">
        <v>96.8</v>
      </c>
      <c r="G105" s="7">
        <v>102.5</v>
      </c>
      <c r="I105" s="22">
        <v>102.3</v>
      </c>
      <c r="J105" s="21">
        <v>96.8</v>
      </c>
      <c r="K105" s="21">
        <v>102.5</v>
      </c>
      <c r="M105" s="9">
        <f t="shared" si="1"/>
        <v>0</v>
      </c>
      <c r="N105" s="9">
        <f t="shared" si="1"/>
        <v>0</v>
      </c>
      <c r="O105" s="9">
        <f t="shared" si="1"/>
        <v>0</v>
      </c>
    </row>
    <row r="106" spans="1:15" x14ac:dyDescent="0.25">
      <c r="A106" s="14">
        <v>40360</v>
      </c>
      <c r="B106" s="21">
        <v>106.9</v>
      </c>
      <c r="C106" s="21">
        <v>103.2</v>
      </c>
      <c r="D106" s="21">
        <v>107.1</v>
      </c>
      <c r="E106" s="7">
        <v>101.8</v>
      </c>
      <c r="F106" s="7">
        <v>98.5</v>
      </c>
      <c r="G106" s="7">
        <v>101.5</v>
      </c>
      <c r="I106" s="22">
        <v>101.8</v>
      </c>
      <c r="J106" s="21">
        <v>98.5</v>
      </c>
      <c r="K106" s="21">
        <v>101.6</v>
      </c>
      <c r="M106" s="9">
        <f t="shared" si="1"/>
        <v>0</v>
      </c>
      <c r="N106" s="9">
        <f t="shared" si="1"/>
        <v>0</v>
      </c>
      <c r="O106" s="9">
        <f t="shared" si="1"/>
        <v>9.8522167487679127E-4</v>
      </c>
    </row>
    <row r="107" spans="1:15" x14ac:dyDescent="0.25">
      <c r="A107" s="14">
        <v>40391</v>
      </c>
      <c r="B107" s="21">
        <v>108.1</v>
      </c>
      <c r="C107" s="21">
        <v>103.4</v>
      </c>
      <c r="D107" s="21">
        <v>108.4</v>
      </c>
      <c r="E107" s="7">
        <v>101.4</v>
      </c>
      <c r="F107" s="7">
        <v>98.9</v>
      </c>
      <c r="G107" s="7">
        <v>101</v>
      </c>
      <c r="I107" s="22">
        <v>101.4</v>
      </c>
      <c r="J107" s="21">
        <v>98.9</v>
      </c>
      <c r="K107" s="21">
        <v>101</v>
      </c>
      <c r="M107" s="9">
        <f t="shared" ref="M107:M170" si="2">(I107-E107)/E107</f>
        <v>0</v>
      </c>
      <c r="N107" s="9">
        <f t="shared" ref="N107:N170" si="3">(J107-F107)/F107</f>
        <v>0</v>
      </c>
      <c r="O107" s="9">
        <f t="shared" ref="O107:O170" si="4">(K107-G107)/G107</f>
        <v>0</v>
      </c>
    </row>
    <row r="108" spans="1:15" x14ac:dyDescent="0.25">
      <c r="A108" s="14">
        <v>40422</v>
      </c>
      <c r="B108" s="21">
        <v>105.8</v>
      </c>
      <c r="C108" s="21">
        <v>102.8</v>
      </c>
      <c r="D108" s="21">
        <v>106</v>
      </c>
      <c r="E108" s="7">
        <v>101.6</v>
      </c>
      <c r="F108" s="7">
        <v>102.1</v>
      </c>
      <c r="G108" s="7">
        <v>101.5</v>
      </c>
      <c r="I108" s="22">
        <v>101.6</v>
      </c>
      <c r="J108" s="21">
        <v>102.1</v>
      </c>
      <c r="K108" s="21">
        <v>101.5</v>
      </c>
      <c r="M108" s="9">
        <f t="shared" si="2"/>
        <v>0</v>
      </c>
      <c r="N108" s="9">
        <f t="shared" si="3"/>
        <v>0</v>
      </c>
      <c r="O108" s="9">
        <f t="shared" si="4"/>
        <v>0</v>
      </c>
    </row>
    <row r="109" spans="1:15" x14ac:dyDescent="0.25">
      <c r="A109" s="14">
        <v>40452</v>
      </c>
      <c r="B109" s="21">
        <v>107.7</v>
      </c>
      <c r="C109" s="21">
        <v>100.8</v>
      </c>
      <c r="D109" s="21">
        <v>108.2</v>
      </c>
      <c r="E109" s="7">
        <v>101.3</v>
      </c>
      <c r="F109" s="7">
        <v>98.4</v>
      </c>
      <c r="G109" s="7">
        <v>101.5</v>
      </c>
      <c r="I109" s="22">
        <v>101.3</v>
      </c>
      <c r="J109" s="21">
        <v>98.4</v>
      </c>
      <c r="K109" s="21">
        <v>101.5</v>
      </c>
      <c r="M109" s="9">
        <f t="shared" si="2"/>
        <v>0</v>
      </c>
      <c r="N109" s="9">
        <f t="shared" si="3"/>
        <v>0</v>
      </c>
      <c r="O109" s="9">
        <f t="shared" si="4"/>
        <v>0</v>
      </c>
    </row>
    <row r="110" spans="1:15" x14ac:dyDescent="0.25">
      <c r="A110" s="14">
        <v>40483</v>
      </c>
      <c r="B110" s="21">
        <v>106.8</v>
      </c>
      <c r="C110" s="21">
        <v>99.1</v>
      </c>
      <c r="D110" s="21">
        <v>107.3</v>
      </c>
      <c r="E110" s="7">
        <v>102.2</v>
      </c>
      <c r="F110" s="7">
        <v>99.7</v>
      </c>
      <c r="G110" s="7">
        <v>102.2</v>
      </c>
      <c r="I110" s="22">
        <v>102.2</v>
      </c>
      <c r="J110" s="21">
        <v>99.7</v>
      </c>
      <c r="K110" s="21">
        <v>102.2</v>
      </c>
      <c r="M110" s="9">
        <f t="shared" si="2"/>
        <v>0</v>
      </c>
      <c r="N110" s="9">
        <f t="shared" si="3"/>
        <v>0</v>
      </c>
      <c r="O110" s="9">
        <f t="shared" si="4"/>
        <v>0</v>
      </c>
    </row>
    <row r="111" spans="1:15" x14ac:dyDescent="0.25">
      <c r="A111" s="14">
        <v>40513</v>
      </c>
      <c r="B111" s="21">
        <v>96.6</v>
      </c>
      <c r="C111" s="21">
        <v>102</v>
      </c>
      <c r="D111" s="21">
        <v>96.2</v>
      </c>
      <c r="E111" s="7">
        <v>102.7</v>
      </c>
      <c r="F111" s="7">
        <v>100.1</v>
      </c>
      <c r="G111" s="7">
        <v>103.7</v>
      </c>
      <c r="I111" s="22">
        <v>102.7</v>
      </c>
      <c r="J111" s="21">
        <v>100.1</v>
      </c>
      <c r="K111" s="21">
        <v>103.7</v>
      </c>
      <c r="M111" s="9">
        <f t="shared" si="2"/>
        <v>0</v>
      </c>
      <c r="N111" s="9">
        <f t="shared" si="3"/>
        <v>0</v>
      </c>
      <c r="O111" s="9">
        <f t="shared" si="4"/>
        <v>0</v>
      </c>
    </row>
    <row r="112" spans="1:15" x14ac:dyDescent="0.25">
      <c r="A112" s="14">
        <v>40544</v>
      </c>
      <c r="B112" s="21">
        <v>93.2</v>
      </c>
      <c r="C112" s="21">
        <v>99.4</v>
      </c>
      <c r="D112" s="21">
        <v>92.8</v>
      </c>
      <c r="E112" s="7">
        <v>102.8</v>
      </c>
      <c r="F112" s="7">
        <v>100.1</v>
      </c>
      <c r="G112" s="7">
        <v>103.7</v>
      </c>
      <c r="I112" s="22">
        <v>102.8</v>
      </c>
      <c r="J112" s="21">
        <v>100.1</v>
      </c>
      <c r="K112" s="21">
        <v>103.7</v>
      </c>
      <c r="M112" s="9">
        <f t="shared" si="2"/>
        <v>0</v>
      </c>
      <c r="N112" s="9">
        <f t="shared" si="3"/>
        <v>0</v>
      </c>
      <c r="O112" s="9">
        <f t="shared" si="4"/>
        <v>0</v>
      </c>
    </row>
    <row r="113" spans="1:15" x14ac:dyDescent="0.25">
      <c r="A113" s="14">
        <v>40575</v>
      </c>
      <c r="B113" s="21">
        <v>95.4</v>
      </c>
      <c r="C113" s="21">
        <v>90.7</v>
      </c>
      <c r="D113" s="21">
        <v>95.7</v>
      </c>
      <c r="E113" s="7">
        <v>104.2</v>
      </c>
      <c r="F113" s="7">
        <v>100</v>
      </c>
      <c r="G113" s="7">
        <v>104.8</v>
      </c>
      <c r="I113" s="22">
        <v>104.2</v>
      </c>
      <c r="J113" s="21">
        <v>100</v>
      </c>
      <c r="K113" s="21">
        <v>104.8</v>
      </c>
      <c r="M113" s="9">
        <f t="shared" si="2"/>
        <v>0</v>
      </c>
      <c r="N113" s="9">
        <f t="shared" si="3"/>
        <v>0</v>
      </c>
      <c r="O113" s="9">
        <f t="shared" si="4"/>
        <v>0</v>
      </c>
    </row>
    <row r="114" spans="1:15" x14ac:dyDescent="0.25">
      <c r="A114" s="14">
        <v>40603</v>
      </c>
      <c r="B114" s="21">
        <v>104.4</v>
      </c>
      <c r="C114" s="21">
        <v>97</v>
      </c>
      <c r="D114" s="21">
        <v>104.8</v>
      </c>
      <c r="E114" s="7">
        <v>104.8</v>
      </c>
      <c r="F114" s="7">
        <v>98.8</v>
      </c>
      <c r="G114" s="7">
        <v>105.9</v>
      </c>
      <c r="I114" s="22">
        <v>104.8</v>
      </c>
      <c r="J114" s="21">
        <v>98.8</v>
      </c>
      <c r="K114" s="21">
        <v>105.9</v>
      </c>
      <c r="M114" s="9">
        <f t="shared" si="2"/>
        <v>0</v>
      </c>
      <c r="N114" s="9">
        <f t="shared" si="3"/>
        <v>0</v>
      </c>
      <c r="O114" s="9">
        <f t="shared" si="4"/>
        <v>0</v>
      </c>
    </row>
    <row r="115" spans="1:15" x14ac:dyDescent="0.25">
      <c r="A115" s="14">
        <v>40634</v>
      </c>
      <c r="B115" s="21">
        <v>97.5</v>
      </c>
      <c r="C115" s="21">
        <v>96.5</v>
      </c>
      <c r="D115" s="21">
        <v>97.6</v>
      </c>
      <c r="E115" s="7">
        <v>102.1</v>
      </c>
      <c r="F115" s="7">
        <v>100.7</v>
      </c>
      <c r="G115" s="7">
        <v>102.4</v>
      </c>
      <c r="I115" s="22">
        <v>102.1</v>
      </c>
      <c r="J115" s="21">
        <v>100.7</v>
      </c>
      <c r="K115" s="21">
        <v>102.4</v>
      </c>
      <c r="M115" s="9">
        <f t="shared" si="2"/>
        <v>0</v>
      </c>
      <c r="N115" s="9">
        <f t="shared" si="3"/>
        <v>0</v>
      </c>
      <c r="O115" s="9">
        <f t="shared" si="4"/>
        <v>0</v>
      </c>
    </row>
    <row r="116" spans="1:15" x14ac:dyDescent="0.25">
      <c r="A116" s="14">
        <v>40664</v>
      </c>
      <c r="B116" s="21">
        <v>107.1</v>
      </c>
      <c r="C116" s="21">
        <v>101.7</v>
      </c>
      <c r="D116" s="21">
        <v>107.4</v>
      </c>
      <c r="E116" s="7">
        <v>105.2</v>
      </c>
      <c r="F116" s="7">
        <v>100.2</v>
      </c>
      <c r="G116" s="7">
        <v>104.9</v>
      </c>
      <c r="I116" s="22">
        <v>105.2</v>
      </c>
      <c r="J116" s="21">
        <v>100.2</v>
      </c>
      <c r="K116" s="21">
        <v>104.9</v>
      </c>
      <c r="M116" s="9">
        <f t="shared" si="2"/>
        <v>0</v>
      </c>
      <c r="N116" s="9">
        <f t="shared" si="3"/>
        <v>0</v>
      </c>
      <c r="O116" s="9">
        <f t="shared" si="4"/>
        <v>0</v>
      </c>
    </row>
    <row r="117" spans="1:15" x14ac:dyDescent="0.25">
      <c r="A117" s="14">
        <v>40695</v>
      </c>
      <c r="B117" s="21">
        <v>102.8</v>
      </c>
      <c r="C117" s="21">
        <v>101.2</v>
      </c>
      <c r="D117" s="21">
        <v>102.9</v>
      </c>
      <c r="E117" s="7">
        <v>102.7</v>
      </c>
      <c r="F117" s="7">
        <v>100.8</v>
      </c>
      <c r="G117" s="7">
        <v>102.9</v>
      </c>
      <c r="I117" s="22">
        <v>102.7</v>
      </c>
      <c r="J117" s="21">
        <v>100.8</v>
      </c>
      <c r="K117" s="21">
        <v>102.9</v>
      </c>
      <c r="M117" s="9">
        <f t="shared" si="2"/>
        <v>0</v>
      </c>
      <c r="N117" s="9">
        <f t="shared" si="3"/>
        <v>0</v>
      </c>
      <c r="O117" s="9">
        <f t="shared" si="4"/>
        <v>0</v>
      </c>
    </row>
    <row r="118" spans="1:15" x14ac:dyDescent="0.25">
      <c r="A118" s="14">
        <v>40725</v>
      </c>
      <c r="B118" s="21">
        <v>106.1</v>
      </c>
      <c r="C118" s="21">
        <v>104.2</v>
      </c>
      <c r="D118" s="21">
        <v>106.2</v>
      </c>
      <c r="E118" s="7">
        <v>103.1</v>
      </c>
      <c r="F118" s="7">
        <v>99.7</v>
      </c>
      <c r="G118" s="7">
        <v>102.9</v>
      </c>
      <c r="I118" s="22">
        <v>103.1</v>
      </c>
      <c r="J118" s="21">
        <v>99.7</v>
      </c>
      <c r="K118" s="21">
        <v>102.9</v>
      </c>
      <c r="M118" s="9">
        <f t="shared" si="2"/>
        <v>0</v>
      </c>
      <c r="N118" s="9">
        <f t="shared" si="3"/>
        <v>0</v>
      </c>
      <c r="O118" s="9">
        <f t="shared" si="4"/>
        <v>0</v>
      </c>
    </row>
    <row r="119" spans="1:15" x14ac:dyDescent="0.25">
      <c r="A119" s="14">
        <v>40756</v>
      </c>
      <c r="B119" s="21">
        <v>110.8</v>
      </c>
      <c r="C119" s="21">
        <v>104.3</v>
      </c>
      <c r="D119" s="21">
        <v>111.2</v>
      </c>
      <c r="E119" s="7">
        <v>102.1</v>
      </c>
      <c r="F119" s="7">
        <v>99.6</v>
      </c>
      <c r="G119" s="7">
        <v>101.4</v>
      </c>
      <c r="I119" s="22">
        <v>102.1</v>
      </c>
      <c r="J119" s="21">
        <v>99.6</v>
      </c>
      <c r="K119" s="21">
        <v>101.4</v>
      </c>
      <c r="M119" s="9">
        <f t="shared" si="2"/>
        <v>0</v>
      </c>
      <c r="N119" s="9">
        <f t="shared" si="3"/>
        <v>0</v>
      </c>
      <c r="O119" s="9">
        <f t="shared" si="4"/>
        <v>0</v>
      </c>
    </row>
    <row r="120" spans="1:15" x14ac:dyDescent="0.25">
      <c r="A120" s="14">
        <v>40787</v>
      </c>
      <c r="B120" s="21">
        <v>104.8</v>
      </c>
      <c r="C120" s="21">
        <v>101.4</v>
      </c>
      <c r="D120" s="21">
        <v>105</v>
      </c>
      <c r="E120" s="7">
        <v>100.2</v>
      </c>
      <c r="F120" s="7">
        <v>100.5</v>
      </c>
      <c r="G120" s="7">
        <v>99.9</v>
      </c>
      <c r="I120" s="22">
        <v>100.2</v>
      </c>
      <c r="J120" s="21">
        <v>100.5</v>
      </c>
      <c r="K120" s="21">
        <v>99.9</v>
      </c>
      <c r="M120" s="9">
        <f t="shared" si="2"/>
        <v>0</v>
      </c>
      <c r="N120" s="9">
        <f t="shared" si="3"/>
        <v>0</v>
      </c>
      <c r="O120" s="9">
        <f t="shared" si="4"/>
        <v>0</v>
      </c>
    </row>
    <row r="121" spans="1:15" x14ac:dyDescent="0.25">
      <c r="A121" s="14">
        <v>40817</v>
      </c>
      <c r="B121" s="21">
        <v>106.3</v>
      </c>
      <c r="C121" s="21">
        <v>102.7</v>
      </c>
      <c r="D121" s="21">
        <v>106.5</v>
      </c>
      <c r="E121" s="7">
        <v>99.2</v>
      </c>
      <c r="F121" s="7">
        <v>99.6</v>
      </c>
      <c r="G121" s="7">
        <v>99.6</v>
      </c>
      <c r="I121" s="22">
        <v>99.2</v>
      </c>
      <c r="J121" s="21">
        <v>99.6</v>
      </c>
      <c r="K121" s="21">
        <v>99.6</v>
      </c>
      <c r="M121" s="9">
        <f t="shared" si="2"/>
        <v>0</v>
      </c>
      <c r="N121" s="9">
        <f t="shared" si="3"/>
        <v>0</v>
      </c>
      <c r="O121" s="9">
        <f t="shared" si="4"/>
        <v>0</v>
      </c>
    </row>
    <row r="122" spans="1:15" x14ac:dyDescent="0.25">
      <c r="A122" s="14">
        <v>40848</v>
      </c>
      <c r="B122" s="21">
        <v>104.2</v>
      </c>
      <c r="C122" s="21">
        <v>102.6</v>
      </c>
      <c r="D122" s="21">
        <v>104.3</v>
      </c>
      <c r="E122" s="7">
        <v>99.9</v>
      </c>
      <c r="F122" s="7">
        <v>102.9</v>
      </c>
      <c r="G122" s="7">
        <v>99.6</v>
      </c>
      <c r="I122" s="22">
        <v>99.9</v>
      </c>
      <c r="J122" s="21">
        <v>102.9</v>
      </c>
      <c r="K122" s="21">
        <v>99.6</v>
      </c>
      <c r="M122" s="9">
        <f t="shared" si="2"/>
        <v>0</v>
      </c>
      <c r="N122" s="9">
        <f t="shared" si="3"/>
        <v>0</v>
      </c>
      <c r="O122" s="9">
        <f t="shared" si="4"/>
        <v>0</v>
      </c>
    </row>
    <row r="123" spans="1:15" x14ac:dyDescent="0.25">
      <c r="A123" s="14">
        <v>40878</v>
      </c>
      <c r="B123" s="21">
        <v>95.7</v>
      </c>
      <c r="C123" s="21">
        <v>104.2</v>
      </c>
      <c r="D123" s="21">
        <v>95.1</v>
      </c>
      <c r="E123" s="7">
        <v>102.5</v>
      </c>
      <c r="F123" s="7">
        <v>102</v>
      </c>
      <c r="G123" s="7">
        <v>103.7</v>
      </c>
      <c r="I123" s="22">
        <v>102.5</v>
      </c>
      <c r="J123" s="21">
        <v>102</v>
      </c>
      <c r="K123" s="21">
        <v>103.7</v>
      </c>
      <c r="M123" s="9">
        <f t="shared" si="2"/>
        <v>0</v>
      </c>
      <c r="N123" s="9">
        <f t="shared" si="3"/>
        <v>0</v>
      </c>
      <c r="O123" s="9">
        <f t="shared" si="4"/>
        <v>0</v>
      </c>
    </row>
    <row r="124" spans="1:15" x14ac:dyDescent="0.25">
      <c r="A124" s="14">
        <v>40909</v>
      </c>
      <c r="B124" s="21">
        <v>88.7</v>
      </c>
      <c r="C124" s="21">
        <v>92.4</v>
      </c>
      <c r="D124" s="21">
        <v>88.2</v>
      </c>
      <c r="E124" s="7">
        <v>98</v>
      </c>
      <c r="F124" s="7">
        <v>93.3</v>
      </c>
      <c r="G124" s="7">
        <v>97.8</v>
      </c>
      <c r="I124" s="22">
        <v>98</v>
      </c>
      <c r="J124" s="21">
        <v>93.3</v>
      </c>
      <c r="K124" s="21">
        <v>97.8</v>
      </c>
      <c r="M124" s="9">
        <f t="shared" si="2"/>
        <v>0</v>
      </c>
      <c r="N124" s="9">
        <f t="shared" si="3"/>
        <v>0</v>
      </c>
      <c r="O124" s="9">
        <f t="shared" si="4"/>
        <v>0</v>
      </c>
    </row>
    <row r="125" spans="1:15" x14ac:dyDescent="0.25">
      <c r="A125" s="14">
        <v>40940</v>
      </c>
      <c r="B125" s="21">
        <v>89.8</v>
      </c>
      <c r="C125" s="21">
        <v>93.6</v>
      </c>
      <c r="D125" s="21">
        <v>89.4</v>
      </c>
      <c r="E125" s="7">
        <v>99</v>
      </c>
      <c r="F125" s="7">
        <v>103.4</v>
      </c>
      <c r="G125" s="7">
        <v>98</v>
      </c>
      <c r="I125" s="22">
        <v>99</v>
      </c>
      <c r="J125" s="21">
        <v>103.4</v>
      </c>
      <c r="K125" s="21">
        <v>98</v>
      </c>
      <c r="M125" s="9">
        <f t="shared" si="2"/>
        <v>0</v>
      </c>
      <c r="N125" s="9">
        <f t="shared" si="3"/>
        <v>0</v>
      </c>
      <c r="O125" s="9">
        <f t="shared" si="4"/>
        <v>0</v>
      </c>
    </row>
    <row r="126" spans="1:15" x14ac:dyDescent="0.25">
      <c r="A126" s="14">
        <v>40969</v>
      </c>
      <c r="B126" s="21">
        <v>99.7</v>
      </c>
      <c r="C126" s="21">
        <v>98.6</v>
      </c>
      <c r="D126" s="21">
        <v>99.8</v>
      </c>
      <c r="E126" s="7">
        <v>98.3</v>
      </c>
      <c r="F126" s="7">
        <v>101</v>
      </c>
      <c r="G126" s="7">
        <v>98</v>
      </c>
      <c r="I126" s="22">
        <v>98.3</v>
      </c>
      <c r="J126" s="21">
        <v>101</v>
      </c>
      <c r="K126" s="21">
        <v>98</v>
      </c>
      <c r="M126" s="9">
        <f t="shared" si="2"/>
        <v>0</v>
      </c>
      <c r="N126" s="9">
        <f t="shared" si="3"/>
        <v>0</v>
      </c>
      <c r="O126" s="9">
        <f t="shared" si="4"/>
        <v>0</v>
      </c>
    </row>
    <row r="127" spans="1:15" x14ac:dyDescent="0.25">
      <c r="A127" s="14">
        <v>41000</v>
      </c>
      <c r="B127" s="21">
        <v>92.8</v>
      </c>
      <c r="C127" s="21">
        <v>96.2</v>
      </c>
      <c r="D127" s="21">
        <v>92.3</v>
      </c>
      <c r="E127" s="7">
        <v>98.5</v>
      </c>
      <c r="F127" s="7">
        <v>100.4</v>
      </c>
      <c r="G127" s="7">
        <v>97.9</v>
      </c>
      <c r="I127" s="22">
        <v>98.5</v>
      </c>
      <c r="J127" s="21">
        <v>100.4</v>
      </c>
      <c r="K127" s="21">
        <v>97.9</v>
      </c>
      <c r="M127" s="9">
        <f t="shared" si="2"/>
        <v>0</v>
      </c>
      <c r="N127" s="9">
        <f t="shared" si="3"/>
        <v>0</v>
      </c>
      <c r="O127" s="9">
        <f t="shared" si="4"/>
        <v>0</v>
      </c>
    </row>
    <row r="128" spans="1:15" x14ac:dyDescent="0.25">
      <c r="A128" s="14">
        <v>41030</v>
      </c>
      <c r="B128" s="21">
        <v>102.5</v>
      </c>
      <c r="C128" s="21">
        <v>104.3</v>
      </c>
      <c r="D128" s="21">
        <v>102.2</v>
      </c>
      <c r="E128" s="7">
        <v>98.9</v>
      </c>
      <c r="F128" s="7">
        <v>102.9</v>
      </c>
      <c r="G128" s="7">
        <v>98.3</v>
      </c>
      <c r="I128" s="22">
        <v>98.9</v>
      </c>
      <c r="J128" s="21">
        <v>102.9</v>
      </c>
      <c r="K128" s="21">
        <v>98.3</v>
      </c>
      <c r="M128" s="9">
        <f t="shared" si="2"/>
        <v>0</v>
      </c>
      <c r="N128" s="9">
        <f t="shared" si="3"/>
        <v>0</v>
      </c>
      <c r="O128" s="9">
        <f t="shared" si="4"/>
        <v>0</v>
      </c>
    </row>
    <row r="129" spans="1:15" x14ac:dyDescent="0.25">
      <c r="A129" s="14">
        <v>41061</v>
      </c>
      <c r="B129" s="21">
        <v>98.3</v>
      </c>
      <c r="C129" s="21">
        <v>100.5</v>
      </c>
      <c r="D129" s="21">
        <v>98</v>
      </c>
      <c r="E129" s="7">
        <v>99</v>
      </c>
      <c r="F129" s="7">
        <v>100.2</v>
      </c>
      <c r="G129" s="7">
        <v>98.9</v>
      </c>
      <c r="I129" s="22">
        <v>99</v>
      </c>
      <c r="J129" s="21">
        <v>100.2</v>
      </c>
      <c r="K129" s="21">
        <v>98.9</v>
      </c>
      <c r="M129" s="9">
        <f t="shared" si="2"/>
        <v>0</v>
      </c>
      <c r="N129" s="9">
        <f t="shared" si="3"/>
        <v>0</v>
      </c>
      <c r="O129" s="9">
        <f t="shared" si="4"/>
        <v>0</v>
      </c>
    </row>
    <row r="130" spans="1:15" x14ac:dyDescent="0.25">
      <c r="A130" s="14">
        <v>41091</v>
      </c>
      <c r="B130" s="21">
        <v>104.5</v>
      </c>
      <c r="C130" s="21">
        <v>103.9</v>
      </c>
      <c r="D130" s="21">
        <v>104.6</v>
      </c>
      <c r="E130" s="7">
        <v>100.5</v>
      </c>
      <c r="F130" s="7">
        <v>99.8</v>
      </c>
      <c r="G130" s="7">
        <v>100.3</v>
      </c>
      <c r="I130" s="22">
        <v>100.5</v>
      </c>
      <c r="J130" s="21">
        <v>99.8</v>
      </c>
      <c r="K130" s="21">
        <v>100.3</v>
      </c>
      <c r="M130" s="9">
        <f t="shared" si="2"/>
        <v>0</v>
      </c>
      <c r="N130" s="9">
        <f t="shared" si="3"/>
        <v>0</v>
      </c>
      <c r="O130" s="9">
        <f t="shared" si="4"/>
        <v>0</v>
      </c>
    </row>
    <row r="131" spans="1:15" x14ac:dyDescent="0.25">
      <c r="A131" s="14">
        <v>41122</v>
      </c>
      <c r="B131" s="21">
        <v>111.5</v>
      </c>
      <c r="C131" s="21">
        <v>104</v>
      </c>
      <c r="D131" s="21">
        <v>112.5</v>
      </c>
      <c r="E131" s="7">
        <v>102.5</v>
      </c>
      <c r="F131" s="7">
        <v>99.2</v>
      </c>
      <c r="G131" s="7">
        <v>102.3</v>
      </c>
      <c r="I131" s="22">
        <v>102.5</v>
      </c>
      <c r="J131" s="21">
        <v>99.2</v>
      </c>
      <c r="K131" s="21">
        <v>102.3</v>
      </c>
      <c r="M131" s="9">
        <f t="shared" si="2"/>
        <v>0</v>
      </c>
      <c r="N131" s="9">
        <f t="shared" si="3"/>
        <v>0</v>
      </c>
      <c r="O131" s="9">
        <f t="shared" si="4"/>
        <v>0</v>
      </c>
    </row>
    <row r="132" spans="1:15" x14ac:dyDescent="0.25">
      <c r="A132" s="14">
        <v>41153</v>
      </c>
      <c r="B132" s="21">
        <v>103.4</v>
      </c>
      <c r="C132" s="21">
        <v>97.5</v>
      </c>
      <c r="D132" s="21">
        <v>104.2</v>
      </c>
      <c r="E132" s="7">
        <v>100.6</v>
      </c>
      <c r="F132" s="7">
        <v>96.6</v>
      </c>
      <c r="G132" s="7">
        <v>101.2</v>
      </c>
      <c r="I132" s="22">
        <v>100.6</v>
      </c>
      <c r="J132" s="21">
        <v>96.6</v>
      </c>
      <c r="K132" s="21">
        <v>101.2</v>
      </c>
      <c r="M132" s="9">
        <f t="shared" si="2"/>
        <v>0</v>
      </c>
      <c r="N132" s="9">
        <f t="shared" si="3"/>
        <v>0</v>
      </c>
      <c r="O132" s="9">
        <f t="shared" si="4"/>
        <v>0</v>
      </c>
    </row>
    <row r="133" spans="1:15" x14ac:dyDescent="0.25">
      <c r="A133" s="14">
        <v>41183</v>
      </c>
      <c r="B133" s="21">
        <v>111.8</v>
      </c>
      <c r="C133" s="21">
        <v>108.1</v>
      </c>
      <c r="D133" s="21">
        <v>112.3</v>
      </c>
      <c r="E133" s="7">
        <v>102.1</v>
      </c>
      <c r="F133" s="7">
        <v>104.2</v>
      </c>
      <c r="G133" s="7">
        <v>101.8</v>
      </c>
      <c r="I133" s="22">
        <v>102.1</v>
      </c>
      <c r="J133" s="21">
        <v>104.2</v>
      </c>
      <c r="K133" s="21">
        <v>101.8</v>
      </c>
      <c r="M133" s="9">
        <f t="shared" si="2"/>
        <v>0</v>
      </c>
      <c r="N133" s="9">
        <f t="shared" si="3"/>
        <v>0</v>
      </c>
      <c r="O133" s="9">
        <f t="shared" si="4"/>
        <v>0</v>
      </c>
    </row>
    <row r="134" spans="1:15" x14ac:dyDescent="0.25">
      <c r="A134" s="14">
        <v>41214</v>
      </c>
      <c r="B134" s="21">
        <v>104.8</v>
      </c>
      <c r="C134" s="21">
        <v>97.3</v>
      </c>
      <c r="D134" s="21">
        <v>105.8</v>
      </c>
      <c r="E134" s="7">
        <v>100.6</v>
      </c>
      <c r="F134" s="7">
        <v>97.4</v>
      </c>
      <c r="G134" s="7">
        <v>100.9</v>
      </c>
      <c r="I134" s="22">
        <v>100.6</v>
      </c>
      <c r="J134" s="21">
        <v>97.4</v>
      </c>
      <c r="K134" s="21">
        <v>100.9</v>
      </c>
      <c r="M134" s="9">
        <f t="shared" si="2"/>
        <v>0</v>
      </c>
      <c r="N134" s="9">
        <f t="shared" si="3"/>
        <v>0</v>
      </c>
      <c r="O134" s="9">
        <f t="shared" si="4"/>
        <v>0</v>
      </c>
    </row>
    <row r="135" spans="1:15" x14ac:dyDescent="0.25">
      <c r="A135" s="14">
        <v>41244</v>
      </c>
      <c r="B135" s="21">
        <v>92.2</v>
      </c>
      <c r="C135" s="21">
        <v>103.5</v>
      </c>
      <c r="D135" s="21">
        <v>90.8</v>
      </c>
      <c r="E135" s="7">
        <v>101.3</v>
      </c>
      <c r="F135" s="7">
        <v>101.1</v>
      </c>
      <c r="G135" s="7">
        <v>102</v>
      </c>
      <c r="I135" s="22">
        <v>101.3</v>
      </c>
      <c r="J135" s="21">
        <v>101.1</v>
      </c>
      <c r="K135" s="21">
        <v>102</v>
      </c>
      <c r="M135" s="9">
        <f t="shared" si="2"/>
        <v>0</v>
      </c>
      <c r="N135" s="9">
        <f t="shared" si="3"/>
        <v>0</v>
      </c>
      <c r="O135" s="9">
        <f t="shared" si="4"/>
        <v>0</v>
      </c>
    </row>
    <row r="136" spans="1:15" x14ac:dyDescent="0.25">
      <c r="A136" s="14">
        <v>41275</v>
      </c>
      <c r="B136" s="21">
        <v>94.5</v>
      </c>
      <c r="C136" s="21">
        <v>94.3</v>
      </c>
      <c r="D136" s="21">
        <v>94.5</v>
      </c>
      <c r="E136" s="7">
        <v>102.1</v>
      </c>
      <c r="F136" s="7">
        <v>95.4</v>
      </c>
      <c r="G136" s="7">
        <v>103</v>
      </c>
      <c r="I136" s="22">
        <v>102.1</v>
      </c>
      <c r="J136" s="21">
        <v>95.4</v>
      </c>
      <c r="K136" s="21">
        <v>103</v>
      </c>
      <c r="M136" s="9">
        <f t="shared" si="2"/>
        <v>0</v>
      </c>
      <c r="N136" s="9">
        <f t="shared" si="3"/>
        <v>0</v>
      </c>
      <c r="O136" s="9">
        <f t="shared" si="4"/>
        <v>0</v>
      </c>
    </row>
    <row r="137" spans="1:15" x14ac:dyDescent="0.25">
      <c r="A137" s="14">
        <v>41306</v>
      </c>
      <c r="B137" s="21">
        <v>88.1</v>
      </c>
      <c r="C137" s="21">
        <v>85.4</v>
      </c>
      <c r="D137" s="21">
        <v>88.4</v>
      </c>
      <c r="E137" s="7">
        <v>99.7</v>
      </c>
      <c r="F137" s="7">
        <v>94.4</v>
      </c>
      <c r="G137" s="7">
        <v>100.5</v>
      </c>
      <c r="I137" s="22">
        <v>99.7</v>
      </c>
      <c r="J137" s="21">
        <v>94.4</v>
      </c>
      <c r="K137" s="21">
        <v>100.5</v>
      </c>
      <c r="M137" s="9">
        <f t="shared" si="2"/>
        <v>0</v>
      </c>
      <c r="N137" s="9">
        <f t="shared" si="3"/>
        <v>0</v>
      </c>
      <c r="O137" s="9">
        <f t="shared" si="4"/>
        <v>0</v>
      </c>
    </row>
    <row r="138" spans="1:15" x14ac:dyDescent="0.25">
      <c r="A138" s="14">
        <v>41334</v>
      </c>
      <c r="B138" s="21">
        <v>97.7</v>
      </c>
      <c r="C138" s="21">
        <v>89.6</v>
      </c>
      <c r="D138" s="21">
        <v>98.7</v>
      </c>
      <c r="E138" s="7">
        <v>101.2</v>
      </c>
      <c r="F138" s="7">
        <v>92.9</v>
      </c>
      <c r="G138" s="7">
        <v>102.3</v>
      </c>
      <c r="I138" s="22">
        <v>101.2</v>
      </c>
      <c r="J138" s="21">
        <v>92.9</v>
      </c>
      <c r="K138" s="21">
        <v>102.3</v>
      </c>
      <c r="M138" s="9">
        <f t="shared" si="2"/>
        <v>0</v>
      </c>
      <c r="N138" s="9">
        <f t="shared" si="3"/>
        <v>0</v>
      </c>
      <c r="O138" s="9">
        <f t="shared" si="4"/>
        <v>0</v>
      </c>
    </row>
    <row r="139" spans="1:15" x14ac:dyDescent="0.25">
      <c r="A139" s="14">
        <v>41365</v>
      </c>
      <c r="B139" s="21">
        <v>101.8</v>
      </c>
      <c r="C139" s="21">
        <v>90.6</v>
      </c>
      <c r="D139" s="21">
        <v>103.2</v>
      </c>
      <c r="E139" s="7">
        <v>103</v>
      </c>
      <c r="F139" s="7">
        <v>94</v>
      </c>
      <c r="G139" s="7">
        <v>104.1</v>
      </c>
      <c r="I139" s="22">
        <v>103</v>
      </c>
      <c r="J139" s="21">
        <v>94</v>
      </c>
      <c r="K139" s="21">
        <v>104.1</v>
      </c>
      <c r="M139" s="9">
        <f t="shared" si="2"/>
        <v>0</v>
      </c>
      <c r="N139" s="9">
        <f t="shared" si="3"/>
        <v>0</v>
      </c>
      <c r="O139" s="9">
        <f t="shared" si="4"/>
        <v>0</v>
      </c>
    </row>
    <row r="140" spans="1:15" x14ac:dyDescent="0.25">
      <c r="A140" s="14">
        <v>41395</v>
      </c>
      <c r="B140" s="21">
        <v>105</v>
      </c>
      <c r="C140" s="21">
        <v>95.5</v>
      </c>
      <c r="D140" s="21">
        <v>106.2</v>
      </c>
      <c r="E140" s="7">
        <v>102.5</v>
      </c>
      <c r="F140" s="7">
        <v>94.1</v>
      </c>
      <c r="G140" s="7">
        <v>103.6</v>
      </c>
      <c r="I140" s="22">
        <v>102.5</v>
      </c>
      <c r="J140" s="21">
        <v>94.1</v>
      </c>
      <c r="K140" s="21">
        <v>103.6</v>
      </c>
      <c r="M140" s="9">
        <f t="shared" si="2"/>
        <v>0</v>
      </c>
      <c r="N140" s="9">
        <f t="shared" si="3"/>
        <v>0</v>
      </c>
      <c r="O140" s="9">
        <f t="shared" si="4"/>
        <v>0</v>
      </c>
    </row>
    <row r="141" spans="1:15" x14ac:dyDescent="0.25">
      <c r="A141" s="14">
        <v>41426</v>
      </c>
      <c r="B141" s="21">
        <v>101.7</v>
      </c>
      <c r="C141" s="21">
        <v>97.1</v>
      </c>
      <c r="D141" s="21">
        <v>102.3</v>
      </c>
      <c r="E141" s="7">
        <v>103.2</v>
      </c>
      <c r="F141" s="7">
        <v>97</v>
      </c>
      <c r="G141" s="7">
        <v>104.1</v>
      </c>
      <c r="I141" s="22">
        <v>103.2</v>
      </c>
      <c r="J141" s="21">
        <v>97</v>
      </c>
      <c r="K141" s="21">
        <v>104.1</v>
      </c>
      <c r="M141" s="9">
        <f t="shared" si="2"/>
        <v>0</v>
      </c>
      <c r="N141" s="9">
        <f t="shared" si="3"/>
        <v>0</v>
      </c>
      <c r="O141" s="9">
        <f t="shared" si="4"/>
        <v>0</v>
      </c>
    </row>
    <row r="142" spans="1:15" x14ac:dyDescent="0.25">
      <c r="A142" s="14">
        <v>41456</v>
      </c>
      <c r="B142" s="21">
        <v>108</v>
      </c>
      <c r="C142" s="21">
        <v>100.6</v>
      </c>
      <c r="D142" s="21">
        <v>109</v>
      </c>
      <c r="E142" s="7">
        <v>102.4</v>
      </c>
      <c r="F142" s="7">
        <v>96.9</v>
      </c>
      <c r="G142" s="7">
        <v>102.9</v>
      </c>
      <c r="I142" s="22">
        <v>102.4</v>
      </c>
      <c r="J142" s="21">
        <v>96.9</v>
      </c>
      <c r="K142" s="21">
        <v>102.9</v>
      </c>
      <c r="M142" s="9">
        <f t="shared" si="2"/>
        <v>0</v>
      </c>
      <c r="N142" s="9">
        <f t="shared" si="3"/>
        <v>0</v>
      </c>
      <c r="O142" s="9">
        <f t="shared" si="4"/>
        <v>0</v>
      </c>
    </row>
    <row r="143" spans="1:15" x14ac:dyDescent="0.25">
      <c r="A143" s="14">
        <v>41487</v>
      </c>
      <c r="B143" s="21">
        <v>112</v>
      </c>
      <c r="C143" s="21">
        <v>101.9</v>
      </c>
      <c r="D143" s="21">
        <v>113.3</v>
      </c>
      <c r="E143" s="7">
        <v>102.9</v>
      </c>
      <c r="F143" s="7">
        <v>97</v>
      </c>
      <c r="G143" s="7">
        <v>103</v>
      </c>
      <c r="I143" s="22">
        <v>102.9</v>
      </c>
      <c r="J143" s="21">
        <v>97</v>
      </c>
      <c r="K143" s="21">
        <v>103</v>
      </c>
      <c r="M143" s="9">
        <f t="shared" si="2"/>
        <v>0</v>
      </c>
      <c r="N143" s="9">
        <f t="shared" si="3"/>
        <v>0</v>
      </c>
      <c r="O143" s="9">
        <f t="shared" si="4"/>
        <v>0</v>
      </c>
    </row>
    <row r="144" spans="1:15" x14ac:dyDescent="0.25">
      <c r="A144" s="14">
        <v>41518</v>
      </c>
      <c r="B144" s="21">
        <v>107.3</v>
      </c>
      <c r="C144" s="21">
        <v>97.2</v>
      </c>
      <c r="D144" s="21">
        <v>108.6</v>
      </c>
      <c r="E144" s="7">
        <v>103.5</v>
      </c>
      <c r="F144" s="7">
        <v>96</v>
      </c>
      <c r="G144" s="7">
        <v>104</v>
      </c>
      <c r="I144" s="22">
        <v>103.5</v>
      </c>
      <c r="J144" s="21">
        <v>96</v>
      </c>
      <c r="K144" s="21">
        <v>104</v>
      </c>
      <c r="M144" s="9">
        <f t="shared" si="2"/>
        <v>0</v>
      </c>
      <c r="N144" s="9">
        <f t="shared" si="3"/>
        <v>0</v>
      </c>
      <c r="O144" s="9">
        <f t="shared" si="4"/>
        <v>0</v>
      </c>
    </row>
    <row r="145" spans="1:15" x14ac:dyDescent="0.25">
      <c r="A145" s="14">
        <v>41548</v>
      </c>
      <c r="B145" s="21">
        <v>112.6</v>
      </c>
      <c r="C145" s="21">
        <v>104</v>
      </c>
      <c r="D145" s="21">
        <v>113.7</v>
      </c>
      <c r="E145" s="7">
        <v>102.5</v>
      </c>
      <c r="F145" s="7">
        <v>99.9</v>
      </c>
      <c r="G145" s="7">
        <v>102.3</v>
      </c>
      <c r="I145" s="22">
        <v>102.5</v>
      </c>
      <c r="J145" s="21">
        <v>99.9</v>
      </c>
      <c r="K145" s="21">
        <v>102.3</v>
      </c>
      <c r="M145" s="9">
        <f t="shared" si="2"/>
        <v>0</v>
      </c>
      <c r="N145" s="9">
        <f t="shared" si="3"/>
        <v>0</v>
      </c>
      <c r="O145" s="9">
        <f t="shared" si="4"/>
        <v>0</v>
      </c>
    </row>
    <row r="146" spans="1:15" x14ac:dyDescent="0.25">
      <c r="A146" s="14">
        <v>41579</v>
      </c>
      <c r="B146" s="21">
        <v>106.1</v>
      </c>
      <c r="C146" s="21">
        <v>100.2</v>
      </c>
      <c r="D146" s="21">
        <v>106.9</v>
      </c>
      <c r="E146" s="7">
        <v>103</v>
      </c>
      <c r="F146" s="7">
        <v>100.3</v>
      </c>
      <c r="G146" s="7">
        <v>102.9</v>
      </c>
      <c r="I146" s="22">
        <v>103</v>
      </c>
      <c r="J146" s="21">
        <v>100.3</v>
      </c>
      <c r="K146" s="21">
        <v>102.9</v>
      </c>
      <c r="M146" s="9">
        <f t="shared" si="2"/>
        <v>0</v>
      </c>
      <c r="N146" s="9">
        <f t="shared" si="3"/>
        <v>0</v>
      </c>
      <c r="O146" s="9">
        <f t="shared" si="4"/>
        <v>0</v>
      </c>
    </row>
    <row r="147" spans="1:15" x14ac:dyDescent="0.25">
      <c r="A147" s="14">
        <v>41609</v>
      </c>
      <c r="B147" s="21">
        <v>90.1</v>
      </c>
      <c r="C147" s="21">
        <v>99.9</v>
      </c>
      <c r="D147" s="21">
        <v>88.9</v>
      </c>
      <c r="E147" s="7">
        <v>99</v>
      </c>
      <c r="F147" s="7">
        <v>97.3</v>
      </c>
      <c r="G147" s="7">
        <v>99.9</v>
      </c>
      <c r="I147" s="22">
        <v>99</v>
      </c>
      <c r="J147" s="21">
        <v>97.3</v>
      </c>
      <c r="K147" s="21">
        <v>99.9</v>
      </c>
      <c r="M147" s="9">
        <f t="shared" si="2"/>
        <v>0</v>
      </c>
      <c r="N147" s="9">
        <f t="shared" si="3"/>
        <v>0</v>
      </c>
      <c r="O147" s="9">
        <f t="shared" si="4"/>
        <v>0</v>
      </c>
    </row>
    <row r="148" spans="1:15" x14ac:dyDescent="0.25">
      <c r="A148" s="14">
        <v>41640</v>
      </c>
      <c r="B148" s="21">
        <v>92.6</v>
      </c>
      <c r="C148" s="21">
        <v>96.2</v>
      </c>
      <c r="D148" s="21">
        <v>92.2</v>
      </c>
      <c r="E148" s="7">
        <v>100.6</v>
      </c>
      <c r="F148" s="7">
        <v>97.4</v>
      </c>
      <c r="G148" s="7">
        <v>101.3</v>
      </c>
      <c r="I148" s="22">
        <v>100.6</v>
      </c>
      <c r="J148" s="21">
        <v>97.4</v>
      </c>
      <c r="K148" s="21">
        <v>101.3</v>
      </c>
      <c r="M148" s="9">
        <f t="shared" si="2"/>
        <v>0</v>
      </c>
      <c r="N148" s="9">
        <f t="shared" si="3"/>
        <v>0</v>
      </c>
      <c r="O148" s="9">
        <f t="shared" si="4"/>
        <v>0</v>
      </c>
    </row>
    <row r="149" spans="1:15" x14ac:dyDescent="0.25">
      <c r="A149" s="14">
        <v>41671</v>
      </c>
      <c r="B149" s="21">
        <v>92.3</v>
      </c>
      <c r="C149" s="21">
        <v>86.8</v>
      </c>
      <c r="D149" s="21">
        <v>93</v>
      </c>
      <c r="E149" s="7">
        <v>101.2</v>
      </c>
      <c r="F149" s="7">
        <v>96.2</v>
      </c>
      <c r="G149" s="7">
        <v>101.9</v>
      </c>
      <c r="I149" s="22">
        <v>101.2</v>
      </c>
      <c r="J149" s="21">
        <v>96.2</v>
      </c>
      <c r="K149" s="21">
        <v>101.9</v>
      </c>
      <c r="M149" s="9">
        <f t="shared" si="2"/>
        <v>0</v>
      </c>
      <c r="N149" s="9">
        <f t="shared" si="3"/>
        <v>0</v>
      </c>
      <c r="O149" s="9">
        <f t="shared" si="4"/>
        <v>0</v>
      </c>
    </row>
    <row r="150" spans="1:15" x14ac:dyDescent="0.25">
      <c r="A150" s="14">
        <v>41699</v>
      </c>
      <c r="B150" s="21">
        <v>97.3</v>
      </c>
      <c r="C150" s="21">
        <v>97.5</v>
      </c>
      <c r="D150" s="21">
        <v>97.3</v>
      </c>
      <c r="E150" s="7">
        <v>101</v>
      </c>
      <c r="F150" s="7">
        <v>100.4</v>
      </c>
      <c r="G150" s="7">
        <v>101.8</v>
      </c>
      <c r="I150" s="22">
        <v>101</v>
      </c>
      <c r="J150" s="21">
        <v>100.4</v>
      </c>
      <c r="K150" s="21">
        <v>101.8</v>
      </c>
      <c r="M150" s="9">
        <f t="shared" si="2"/>
        <v>0</v>
      </c>
      <c r="N150" s="9">
        <f t="shared" si="3"/>
        <v>0</v>
      </c>
      <c r="O150" s="9">
        <f t="shared" si="4"/>
        <v>0</v>
      </c>
    </row>
    <row r="151" spans="1:15" x14ac:dyDescent="0.25">
      <c r="A151" s="14">
        <v>41730</v>
      </c>
      <c r="B151" s="21">
        <v>96</v>
      </c>
      <c r="C151" s="21">
        <v>95.9</v>
      </c>
      <c r="D151" s="21">
        <v>96</v>
      </c>
      <c r="E151" s="7">
        <v>100.2</v>
      </c>
      <c r="F151" s="7">
        <v>100.6</v>
      </c>
      <c r="G151" s="7">
        <v>100.4</v>
      </c>
      <c r="I151" s="22">
        <v>100.2</v>
      </c>
      <c r="J151" s="21">
        <v>100.6</v>
      </c>
      <c r="K151" s="21">
        <v>100.4</v>
      </c>
      <c r="M151" s="9">
        <f t="shared" si="2"/>
        <v>0</v>
      </c>
      <c r="N151" s="9">
        <f t="shared" si="3"/>
        <v>0</v>
      </c>
      <c r="O151" s="9">
        <f t="shared" si="4"/>
        <v>0</v>
      </c>
    </row>
    <row r="152" spans="1:15" x14ac:dyDescent="0.25">
      <c r="A152" s="14">
        <v>41760</v>
      </c>
      <c r="B152" s="21">
        <v>101.7</v>
      </c>
      <c r="C152" s="21">
        <v>102.8</v>
      </c>
      <c r="D152" s="21">
        <v>101.6</v>
      </c>
      <c r="E152" s="7">
        <v>98.8</v>
      </c>
      <c r="F152" s="7">
        <v>101.3</v>
      </c>
      <c r="G152" s="7">
        <v>98.9</v>
      </c>
      <c r="I152" s="22">
        <v>98.8</v>
      </c>
      <c r="J152" s="21">
        <v>101.3</v>
      </c>
      <c r="K152" s="21">
        <v>98.9</v>
      </c>
      <c r="M152" s="9">
        <f t="shared" si="2"/>
        <v>0</v>
      </c>
      <c r="N152" s="9">
        <f t="shared" si="3"/>
        <v>0</v>
      </c>
      <c r="O152" s="9">
        <f t="shared" si="4"/>
        <v>0</v>
      </c>
    </row>
    <row r="153" spans="1:15" x14ac:dyDescent="0.25">
      <c r="A153" s="14">
        <v>41791</v>
      </c>
      <c r="B153" s="21">
        <v>94.9</v>
      </c>
      <c r="C153" s="21">
        <v>101.1</v>
      </c>
      <c r="D153" s="21">
        <v>94.1</v>
      </c>
      <c r="E153" s="7">
        <v>96.1</v>
      </c>
      <c r="F153" s="7">
        <v>100.9</v>
      </c>
      <c r="G153" s="7">
        <v>95.3</v>
      </c>
      <c r="I153" s="22">
        <v>96.1</v>
      </c>
      <c r="J153" s="21">
        <v>100.9</v>
      </c>
      <c r="K153" s="21">
        <v>95.3</v>
      </c>
      <c r="M153" s="9">
        <f t="shared" si="2"/>
        <v>0</v>
      </c>
      <c r="N153" s="9">
        <f t="shared" si="3"/>
        <v>0</v>
      </c>
      <c r="O153" s="9">
        <f t="shared" si="4"/>
        <v>0</v>
      </c>
    </row>
    <row r="154" spans="1:15" x14ac:dyDescent="0.25">
      <c r="A154" s="14">
        <v>41821</v>
      </c>
      <c r="B154" s="21">
        <v>104.4</v>
      </c>
      <c r="C154" s="21">
        <v>107.4</v>
      </c>
      <c r="D154" s="21">
        <v>104.1</v>
      </c>
      <c r="E154" s="7">
        <v>98.3</v>
      </c>
      <c r="F154" s="7">
        <v>103.7</v>
      </c>
      <c r="G154" s="7">
        <v>97.8</v>
      </c>
      <c r="I154" s="22">
        <v>98.3</v>
      </c>
      <c r="J154" s="21">
        <v>103.7</v>
      </c>
      <c r="K154" s="21">
        <v>97.8</v>
      </c>
      <c r="M154" s="9">
        <f t="shared" si="2"/>
        <v>0</v>
      </c>
      <c r="N154" s="9">
        <f t="shared" si="3"/>
        <v>0</v>
      </c>
      <c r="O154" s="9">
        <f t="shared" si="4"/>
        <v>0</v>
      </c>
    </row>
    <row r="155" spans="1:15" x14ac:dyDescent="0.25">
      <c r="A155" s="14">
        <v>41852</v>
      </c>
      <c r="B155" s="21">
        <v>106.3</v>
      </c>
      <c r="C155" s="21">
        <v>110.9</v>
      </c>
      <c r="D155" s="21">
        <v>105.8</v>
      </c>
      <c r="E155" s="7">
        <v>99.2</v>
      </c>
      <c r="F155" s="7">
        <v>105.5</v>
      </c>
      <c r="G155" s="7">
        <v>98</v>
      </c>
      <c r="I155" s="22">
        <v>99.2</v>
      </c>
      <c r="J155" s="21">
        <v>105.5</v>
      </c>
      <c r="K155" s="21">
        <v>98</v>
      </c>
      <c r="M155" s="9">
        <f t="shared" si="2"/>
        <v>0</v>
      </c>
      <c r="N155" s="9">
        <f t="shared" si="3"/>
        <v>0</v>
      </c>
      <c r="O155" s="9">
        <f t="shared" si="4"/>
        <v>0</v>
      </c>
    </row>
    <row r="156" spans="1:15" x14ac:dyDescent="0.25">
      <c r="A156" s="14">
        <v>41883</v>
      </c>
      <c r="B156" s="21">
        <v>105.6</v>
      </c>
      <c r="C156" s="21">
        <v>107.7</v>
      </c>
      <c r="D156" s="21">
        <v>105.3</v>
      </c>
      <c r="E156" s="7">
        <v>99.4</v>
      </c>
      <c r="F156" s="7">
        <v>106.2</v>
      </c>
      <c r="G156" s="7">
        <v>98.2</v>
      </c>
      <c r="I156" s="22">
        <v>99.4</v>
      </c>
      <c r="J156" s="21">
        <v>106.2</v>
      </c>
      <c r="K156" s="21">
        <v>98.2</v>
      </c>
      <c r="M156" s="9">
        <f t="shared" si="2"/>
        <v>0</v>
      </c>
      <c r="N156" s="9">
        <f t="shared" si="3"/>
        <v>0</v>
      </c>
      <c r="O156" s="9">
        <f t="shared" si="4"/>
        <v>0</v>
      </c>
    </row>
    <row r="157" spans="1:15" x14ac:dyDescent="0.25">
      <c r="A157" s="14">
        <v>41913</v>
      </c>
      <c r="B157" s="21">
        <v>109.3</v>
      </c>
      <c r="C157" s="21">
        <v>112.2</v>
      </c>
      <c r="D157" s="21">
        <v>108.9</v>
      </c>
      <c r="E157" s="7">
        <v>99.7</v>
      </c>
      <c r="F157" s="7">
        <v>107.6</v>
      </c>
      <c r="G157" s="7">
        <v>98.1</v>
      </c>
      <c r="I157" s="22">
        <v>99.7</v>
      </c>
      <c r="J157" s="21">
        <v>107.6</v>
      </c>
      <c r="K157" s="21">
        <v>98.1</v>
      </c>
      <c r="M157" s="9">
        <f t="shared" si="2"/>
        <v>0</v>
      </c>
      <c r="N157" s="9">
        <f t="shared" si="3"/>
        <v>0</v>
      </c>
      <c r="O157" s="9">
        <f t="shared" si="4"/>
        <v>0</v>
      </c>
    </row>
    <row r="158" spans="1:15" x14ac:dyDescent="0.25">
      <c r="A158" s="14">
        <v>41944</v>
      </c>
      <c r="B158" s="21">
        <v>99.8</v>
      </c>
      <c r="C158" s="21">
        <v>105.7</v>
      </c>
      <c r="D158" s="21">
        <v>99.1</v>
      </c>
      <c r="E158" s="7">
        <v>98.6</v>
      </c>
      <c r="F158" s="7">
        <v>105.9</v>
      </c>
      <c r="G158" s="7">
        <v>97.5</v>
      </c>
      <c r="I158" s="22">
        <v>98.6</v>
      </c>
      <c r="J158" s="21">
        <v>105.9</v>
      </c>
      <c r="K158" s="21">
        <v>97.5</v>
      </c>
      <c r="M158" s="9">
        <f t="shared" si="2"/>
        <v>0</v>
      </c>
      <c r="N158" s="9">
        <f t="shared" si="3"/>
        <v>0</v>
      </c>
      <c r="O158" s="9">
        <f t="shared" si="4"/>
        <v>0</v>
      </c>
    </row>
    <row r="159" spans="1:15" x14ac:dyDescent="0.25">
      <c r="A159" s="14">
        <v>41974</v>
      </c>
      <c r="B159" s="21">
        <v>87.7</v>
      </c>
      <c r="C159" s="21">
        <v>110.6</v>
      </c>
      <c r="D159" s="21">
        <v>84.8</v>
      </c>
      <c r="E159" s="7">
        <v>95.4</v>
      </c>
      <c r="F159" s="7">
        <v>107.5</v>
      </c>
      <c r="G159" s="7">
        <v>94.5</v>
      </c>
      <c r="I159" s="22">
        <v>95.4</v>
      </c>
      <c r="J159" s="21">
        <v>107.5</v>
      </c>
      <c r="K159" s="21">
        <v>94.5</v>
      </c>
      <c r="M159" s="9">
        <f t="shared" si="2"/>
        <v>0</v>
      </c>
      <c r="N159" s="9">
        <f t="shared" si="3"/>
        <v>0</v>
      </c>
      <c r="O159" s="9">
        <f t="shared" si="4"/>
        <v>0</v>
      </c>
    </row>
    <row r="160" spans="1:15" x14ac:dyDescent="0.25">
      <c r="A160" s="14">
        <v>42005</v>
      </c>
      <c r="B160" s="21">
        <v>88.1</v>
      </c>
      <c r="C160" s="21">
        <v>107.4</v>
      </c>
      <c r="D160" s="21">
        <v>85.7</v>
      </c>
      <c r="E160" s="7">
        <v>96</v>
      </c>
      <c r="F160" s="7">
        <v>108.5</v>
      </c>
      <c r="G160" s="7">
        <v>94.7</v>
      </c>
      <c r="I160" s="22">
        <v>96</v>
      </c>
      <c r="J160" s="21">
        <v>108.5</v>
      </c>
      <c r="K160" s="21">
        <v>94.7</v>
      </c>
      <c r="M160" s="9">
        <f t="shared" si="2"/>
        <v>0</v>
      </c>
      <c r="N160" s="9">
        <f t="shared" si="3"/>
        <v>0</v>
      </c>
      <c r="O160" s="9">
        <f t="shared" si="4"/>
        <v>0</v>
      </c>
    </row>
    <row r="161" spans="1:15" x14ac:dyDescent="0.25">
      <c r="A161" s="14">
        <v>42036</v>
      </c>
      <c r="B161" s="21">
        <v>83.7</v>
      </c>
      <c r="C161" s="21">
        <v>98.1</v>
      </c>
      <c r="D161" s="21">
        <v>81.900000000000006</v>
      </c>
      <c r="E161" s="7">
        <v>95.4</v>
      </c>
      <c r="F161" s="7">
        <v>108.9</v>
      </c>
      <c r="G161" s="7">
        <v>93.4</v>
      </c>
      <c r="I161" s="22">
        <v>95.4</v>
      </c>
      <c r="J161" s="21">
        <v>108.9</v>
      </c>
      <c r="K161" s="21">
        <v>93.4</v>
      </c>
      <c r="M161" s="9">
        <f t="shared" si="2"/>
        <v>0</v>
      </c>
      <c r="N161" s="9">
        <f t="shared" si="3"/>
        <v>0</v>
      </c>
      <c r="O161" s="9">
        <f t="shared" si="4"/>
        <v>0</v>
      </c>
    </row>
    <row r="162" spans="1:15" x14ac:dyDescent="0.25">
      <c r="A162" s="14">
        <v>42064</v>
      </c>
      <c r="B162" s="21">
        <v>94.3</v>
      </c>
      <c r="C162" s="21">
        <v>107.7</v>
      </c>
      <c r="D162" s="21">
        <v>92.7</v>
      </c>
      <c r="E162" s="7">
        <v>95</v>
      </c>
      <c r="F162" s="7">
        <v>111.4</v>
      </c>
      <c r="G162" s="7">
        <v>92.8</v>
      </c>
      <c r="I162" s="22">
        <v>95</v>
      </c>
      <c r="J162" s="21">
        <v>111.4</v>
      </c>
      <c r="K162" s="21">
        <v>92.8</v>
      </c>
      <c r="M162" s="9">
        <f t="shared" si="2"/>
        <v>0</v>
      </c>
      <c r="N162" s="9">
        <f t="shared" si="3"/>
        <v>0</v>
      </c>
      <c r="O162" s="9">
        <f t="shared" si="4"/>
        <v>0</v>
      </c>
    </row>
    <row r="163" spans="1:15" x14ac:dyDescent="0.25">
      <c r="A163" s="14">
        <v>42095</v>
      </c>
      <c r="B163" s="21">
        <v>88.8</v>
      </c>
      <c r="C163" s="21">
        <v>107.1</v>
      </c>
      <c r="D163" s="21">
        <v>86.5</v>
      </c>
      <c r="E163" s="7">
        <v>93</v>
      </c>
      <c r="F163" s="7">
        <v>112.2</v>
      </c>
      <c r="G163" s="7">
        <v>90.8</v>
      </c>
      <c r="I163" s="22">
        <v>93</v>
      </c>
      <c r="J163" s="21">
        <v>112.2</v>
      </c>
      <c r="K163" s="21">
        <v>90.8</v>
      </c>
      <c r="M163" s="9">
        <f t="shared" si="2"/>
        <v>0</v>
      </c>
      <c r="N163" s="9">
        <f t="shared" si="3"/>
        <v>0</v>
      </c>
      <c r="O163" s="9">
        <f t="shared" si="4"/>
        <v>0</v>
      </c>
    </row>
    <row r="164" spans="1:15" x14ac:dyDescent="0.25">
      <c r="A164" s="14">
        <v>42125</v>
      </c>
      <c r="B164" s="21">
        <v>93.1</v>
      </c>
      <c r="C164" s="21">
        <v>110.5</v>
      </c>
      <c r="D164" s="21">
        <v>90.9</v>
      </c>
      <c r="E164" s="7">
        <v>92.2</v>
      </c>
      <c r="F164" s="7">
        <v>108.8</v>
      </c>
      <c r="G164" s="7">
        <v>90.1</v>
      </c>
      <c r="I164" s="22">
        <v>92.2</v>
      </c>
      <c r="J164" s="21">
        <v>108.8</v>
      </c>
      <c r="K164" s="21">
        <v>90.1</v>
      </c>
      <c r="M164" s="9">
        <f t="shared" si="2"/>
        <v>0</v>
      </c>
      <c r="N164" s="9">
        <f t="shared" si="3"/>
        <v>0</v>
      </c>
      <c r="O164" s="9">
        <f t="shared" si="4"/>
        <v>0</v>
      </c>
    </row>
    <row r="165" spans="1:15" x14ac:dyDescent="0.25">
      <c r="A165" s="14">
        <v>42156</v>
      </c>
      <c r="B165" s="21">
        <v>92.5</v>
      </c>
      <c r="C165" s="21">
        <v>109.8</v>
      </c>
      <c r="D165" s="21">
        <v>90.3</v>
      </c>
      <c r="E165" s="7">
        <v>91.3</v>
      </c>
      <c r="F165" s="7">
        <v>109.6</v>
      </c>
      <c r="G165" s="7">
        <v>89.1</v>
      </c>
      <c r="I165" s="22">
        <v>91.3</v>
      </c>
      <c r="J165" s="21">
        <v>109.6</v>
      </c>
      <c r="K165" s="21">
        <v>89.1</v>
      </c>
      <c r="M165" s="9">
        <f t="shared" si="2"/>
        <v>0</v>
      </c>
      <c r="N165" s="9">
        <f t="shared" si="3"/>
        <v>0</v>
      </c>
      <c r="O165" s="9">
        <f t="shared" si="4"/>
        <v>0</v>
      </c>
    </row>
    <row r="166" spans="1:15" x14ac:dyDescent="0.25">
      <c r="A166" s="14">
        <v>42186</v>
      </c>
      <c r="B166" s="21">
        <v>95.5</v>
      </c>
      <c r="C166" s="21">
        <v>111.3</v>
      </c>
      <c r="D166" s="21">
        <v>93.5</v>
      </c>
      <c r="E166" s="7">
        <v>89.5</v>
      </c>
      <c r="F166" s="7">
        <v>107.5</v>
      </c>
      <c r="G166" s="7">
        <v>87.6</v>
      </c>
      <c r="I166" s="22">
        <v>89.5</v>
      </c>
      <c r="J166" s="21">
        <v>107.5</v>
      </c>
      <c r="K166" s="21">
        <v>87.6</v>
      </c>
      <c r="M166" s="9">
        <f t="shared" si="2"/>
        <v>0</v>
      </c>
      <c r="N166" s="9">
        <f t="shared" si="3"/>
        <v>0</v>
      </c>
      <c r="O166" s="9">
        <f t="shared" si="4"/>
        <v>0</v>
      </c>
    </row>
    <row r="167" spans="1:15" x14ac:dyDescent="0.25">
      <c r="A167" s="14">
        <v>42217</v>
      </c>
      <c r="B167" s="21">
        <v>97.6</v>
      </c>
      <c r="C167" s="21">
        <v>115</v>
      </c>
      <c r="D167" s="21">
        <v>95.4</v>
      </c>
      <c r="E167" s="7">
        <v>90.3</v>
      </c>
      <c r="F167" s="7">
        <v>109.6</v>
      </c>
      <c r="G167" s="7">
        <v>88.1</v>
      </c>
      <c r="I167" s="22">
        <v>90.3</v>
      </c>
      <c r="J167" s="21">
        <v>109.6</v>
      </c>
      <c r="K167" s="21">
        <v>88.1</v>
      </c>
      <c r="M167" s="9">
        <f t="shared" si="2"/>
        <v>0</v>
      </c>
      <c r="N167" s="9">
        <f t="shared" si="3"/>
        <v>0</v>
      </c>
      <c r="O167" s="9">
        <f t="shared" si="4"/>
        <v>0</v>
      </c>
    </row>
    <row r="168" spans="1:15" x14ac:dyDescent="0.25">
      <c r="A168" s="14">
        <v>42248</v>
      </c>
      <c r="B168" s="21">
        <v>94.3</v>
      </c>
      <c r="C168" s="21">
        <v>110.7</v>
      </c>
      <c r="D168" s="21">
        <v>92.3</v>
      </c>
      <c r="E168" s="7">
        <v>88.2</v>
      </c>
      <c r="F168" s="7">
        <v>109</v>
      </c>
      <c r="G168" s="7">
        <v>86.2</v>
      </c>
      <c r="I168" s="22">
        <v>88.2</v>
      </c>
      <c r="J168" s="21">
        <v>109</v>
      </c>
      <c r="K168" s="21">
        <v>86.2</v>
      </c>
      <c r="M168" s="9">
        <f t="shared" si="2"/>
        <v>0</v>
      </c>
      <c r="N168" s="9">
        <f t="shared" si="3"/>
        <v>0</v>
      </c>
      <c r="O168" s="9">
        <f t="shared" si="4"/>
        <v>0</v>
      </c>
    </row>
    <row r="169" spans="1:15" x14ac:dyDescent="0.25">
      <c r="A169" s="14">
        <v>42278</v>
      </c>
      <c r="B169" s="21">
        <v>97.2</v>
      </c>
      <c r="C169" s="21">
        <v>111.5</v>
      </c>
      <c r="D169" s="21">
        <v>95.5</v>
      </c>
      <c r="E169" s="7">
        <v>88.1</v>
      </c>
      <c r="F169" s="7">
        <v>106.9</v>
      </c>
      <c r="G169" s="7">
        <v>86.5</v>
      </c>
      <c r="I169" s="22">
        <v>88.1</v>
      </c>
      <c r="J169" s="21">
        <v>106.9</v>
      </c>
      <c r="K169" s="21">
        <v>86.5</v>
      </c>
      <c r="M169" s="9">
        <f t="shared" si="2"/>
        <v>0</v>
      </c>
      <c r="N169" s="9">
        <f t="shared" si="3"/>
        <v>0</v>
      </c>
      <c r="O169" s="9">
        <f t="shared" si="4"/>
        <v>0</v>
      </c>
    </row>
    <row r="170" spans="1:15" x14ac:dyDescent="0.25">
      <c r="A170" s="14">
        <v>42309</v>
      </c>
      <c r="B170" s="21">
        <v>87.6</v>
      </c>
      <c r="C170" s="21">
        <v>95.2</v>
      </c>
      <c r="D170" s="21">
        <v>86.6</v>
      </c>
      <c r="E170" s="7">
        <v>86.4</v>
      </c>
      <c r="F170" s="7">
        <v>95.5</v>
      </c>
      <c r="G170" s="7">
        <v>85.1</v>
      </c>
      <c r="I170" s="22">
        <v>86.4</v>
      </c>
      <c r="J170" s="21">
        <v>95.5</v>
      </c>
      <c r="K170" s="21">
        <v>85.1</v>
      </c>
      <c r="M170" s="9">
        <f t="shared" si="2"/>
        <v>0</v>
      </c>
      <c r="N170" s="9">
        <f t="shared" si="3"/>
        <v>0</v>
      </c>
      <c r="O170" s="9">
        <f t="shared" si="4"/>
        <v>0</v>
      </c>
    </row>
    <row r="171" spans="1:15" x14ac:dyDescent="0.25">
      <c r="A171" s="14">
        <v>42339</v>
      </c>
      <c r="B171" s="21">
        <v>77.2</v>
      </c>
      <c r="C171" s="21">
        <v>98.3</v>
      </c>
      <c r="D171" s="21">
        <v>74.599999999999994</v>
      </c>
      <c r="E171" s="7">
        <v>84.8</v>
      </c>
      <c r="F171" s="7">
        <v>95.4</v>
      </c>
      <c r="G171" s="7">
        <v>83.4</v>
      </c>
      <c r="I171" s="22">
        <v>84.8</v>
      </c>
      <c r="J171" s="21">
        <v>95.4</v>
      </c>
      <c r="K171" s="21">
        <v>83.5</v>
      </c>
      <c r="M171" s="9">
        <f t="shared" ref="M171:M234" si="5">(I171-E171)/E171</f>
        <v>0</v>
      </c>
      <c r="N171" s="9">
        <f t="shared" ref="N171:N234" si="6">(J171-F171)/F171</f>
        <v>0</v>
      </c>
      <c r="O171" s="9">
        <f t="shared" ref="O171:O234" si="7">(K171-G171)/G171</f>
        <v>1.199040767386023E-3</v>
      </c>
    </row>
    <row r="172" spans="1:15" x14ac:dyDescent="0.25">
      <c r="A172" s="14">
        <v>42370</v>
      </c>
      <c r="B172" s="21">
        <v>76.3</v>
      </c>
      <c r="C172" s="21">
        <v>89.5</v>
      </c>
      <c r="D172" s="21">
        <v>74.599999999999994</v>
      </c>
      <c r="E172" s="7">
        <v>86.1</v>
      </c>
      <c r="F172" s="7">
        <v>90</v>
      </c>
      <c r="G172" s="7">
        <v>84.3</v>
      </c>
      <c r="I172" s="22">
        <v>86.1</v>
      </c>
      <c r="J172" s="21">
        <v>90</v>
      </c>
      <c r="K172" s="21">
        <v>84.3</v>
      </c>
      <c r="M172" s="9">
        <f t="shared" si="5"/>
        <v>0</v>
      </c>
      <c r="N172" s="9">
        <f t="shared" si="6"/>
        <v>0</v>
      </c>
      <c r="O172" s="9">
        <f t="shared" si="7"/>
        <v>0</v>
      </c>
    </row>
    <row r="173" spans="1:15" x14ac:dyDescent="0.25">
      <c r="A173" s="14">
        <v>42401</v>
      </c>
      <c r="B173" s="21">
        <v>75.8</v>
      </c>
      <c r="C173" s="21">
        <v>87</v>
      </c>
      <c r="D173" s="21">
        <v>74.400000000000006</v>
      </c>
      <c r="E173" s="7">
        <v>84.8</v>
      </c>
      <c r="F173" s="7">
        <v>96.6</v>
      </c>
      <c r="G173" s="7">
        <v>81.599999999999994</v>
      </c>
      <c r="I173" s="22">
        <v>84.8</v>
      </c>
      <c r="J173" s="21">
        <v>96.6</v>
      </c>
      <c r="K173" s="21">
        <v>81.599999999999994</v>
      </c>
      <c r="M173" s="9">
        <f t="shared" si="5"/>
        <v>0</v>
      </c>
      <c r="N173" s="9">
        <f t="shared" si="6"/>
        <v>0</v>
      </c>
      <c r="O173" s="9">
        <f t="shared" si="7"/>
        <v>0</v>
      </c>
    </row>
    <row r="174" spans="1:15" x14ac:dyDescent="0.25">
      <c r="A174" s="14">
        <v>42430</v>
      </c>
      <c r="B174" s="21">
        <v>83.7</v>
      </c>
      <c r="C174" s="21">
        <v>90.5</v>
      </c>
      <c r="D174" s="21">
        <v>82.8</v>
      </c>
      <c r="E174" s="7">
        <v>85.6</v>
      </c>
      <c r="F174" s="7">
        <v>94.2</v>
      </c>
      <c r="G174" s="7">
        <v>84.2</v>
      </c>
      <c r="I174" s="22">
        <v>85.6</v>
      </c>
      <c r="J174" s="21">
        <v>94.2</v>
      </c>
      <c r="K174" s="21">
        <v>84.2</v>
      </c>
      <c r="M174" s="9">
        <f t="shared" si="5"/>
        <v>0</v>
      </c>
      <c r="N174" s="9">
        <f t="shared" si="6"/>
        <v>0</v>
      </c>
      <c r="O174" s="9">
        <f t="shared" si="7"/>
        <v>0</v>
      </c>
    </row>
    <row r="175" spans="1:15" x14ac:dyDescent="0.25">
      <c r="A175" s="14">
        <v>42461</v>
      </c>
      <c r="B175" s="21">
        <v>83</v>
      </c>
      <c r="C175" s="21">
        <v>90.5</v>
      </c>
      <c r="D175" s="21">
        <v>82.1</v>
      </c>
      <c r="E175" s="7">
        <v>85.4</v>
      </c>
      <c r="F175" s="7">
        <v>94.7</v>
      </c>
      <c r="G175" s="7">
        <v>84.5</v>
      </c>
      <c r="I175" s="22">
        <v>85.4</v>
      </c>
      <c r="J175" s="21">
        <v>94.7</v>
      </c>
      <c r="K175" s="21">
        <v>84.5</v>
      </c>
      <c r="M175" s="9">
        <f t="shared" si="5"/>
        <v>0</v>
      </c>
      <c r="N175" s="9">
        <f t="shared" si="6"/>
        <v>0</v>
      </c>
      <c r="O175" s="9">
        <f t="shared" si="7"/>
        <v>0</v>
      </c>
    </row>
    <row r="176" spans="1:15" x14ac:dyDescent="0.25">
      <c r="A176" s="14">
        <v>42491</v>
      </c>
      <c r="B176" s="21">
        <v>86.3</v>
      </c>
      <c r="C176" s="21">
        <v>98.1</v>
      </c>
      <c r="D176" s="21">
        <v>84.8</v>
      </c>
      <c r="E176" s="7">
        <v>85.8</v>
      </c>
      <c r="F176" s="7">
        <v>96.8</v>
      </c>
      <c r="G176" s="7">
        <v>84.3</v>
      </c>
      <c r="I176" s="22">
        <v>85.8</v>
      </c>
      <c r="J176" s="21">
        <v>96.8</v>
      </c>
      <c r="K176" s="21">
        <v>84.3</v>
      </c>
      <c r="M176" s="9">
        <f t="shared" si="5"/>
        <v>0</v>
      </c>
      <c r="N176" s="9">
        <f t="shared" si="6"/>
        <v>0</v>
      </c>
      <c r="O176" s="9">
        <f t="shared" si="7"/>
        <v>0</v>
      </c>
    </row>
    <row r="177" spans="1:15" x14ac:dyDescent="0.25">
      <c r="A177" s="14">
        <v>42522</v>
      </c>
      <c r="B177" s="21">
        <v>87.7</v>
      </c>
      <c r="C177" s="21">
        <v>96.2</v>
      </c>
      <c r="D177" s="21">
        <v>86.6</v>
      </c>
      <c r="E177" s="7">
        <v>84.8</v>
      </c>
      <c r="F177" s="7">
        <v>96</v>
      </c>
      <c r="G177" s="7">
        <v>83.7</v>
      </c>
      <c r="I177" s="22">
        <v>84.8</v>
      </c>
      <c r="J177" s="21">
        <v>96</v>
      </c>
      <c r="K177" s="21">
        <v>83.7</v>
      </c>
      <c r="M177" s="9">
        <f t="shared" si="5"/>
        <v>0</v>
      </c>
      <c r="N177" s="9">
        <f t="shared" si="6"/>
        <v>0</v>
      </c>
      <c r="O177" s="9">
        <f t="shared" si="7"/>
        <v>0</v>
      </c>
    </row>
    <row r="178" spans="1:15" x14ac:dyDescent="0.25">
      <c r="A178" s="14">
        <v>42552</v>
      </c>
      <c r="B178" s="21">
        <v>89.6</v>
      </c>
      <c r="C178" s="21">
        <v>101</v>
      </c>
      <c r="D178" s="21">
        <v>88.2</v>
      </c>
      <c r="E178" s="7">
        <v>85.5</v>
      </c>
      <c r="F178" s="7">
        <v>97.5</v>
      </c>
      <c r="G178" s="7">
        <v>84</v>
      </c>
      <c r="I178" s="22">
        <v>85.5</v>
      </c>
      <c r="J178" s="21">
        <v>97.5</v>
      </c>
      <c r="K178" s="21">
        <v>84</v>
      </c>
      <c r="M178" s="9">
        <f t="shared" si="5"/>
        <v>0</v>
      </c>
      <c r="N178" s="9">
        <f t="shared" si="6"/>
        <v>0</v>
      </c>
      <c r="O178" s="9">
        <f t="shared" si="7"/>
        <v>0</v>
      </c>
    </row>
    <row r="179" spans="1:15" x14ac:dyDescent="0.25">
      <c r="A179" s="14">
        <v>42583</v>
      </c>
      <c r="B179" s="21">
        <v>93</v>
      </c>
      <c r="C179" s="21">
        <v>101.8</v>
      </c>
      <c r="D179" s="21">
        <v>91.9</v>
      </c>
      <c r="E179" s="7">
        <v>83.5</v>
      </c>
      <c r="F179" s="7">
        <v>97.3</v>
      </c>
      <c r="G179" s="7">
        <v>82.6</v>
      </c>
      <c r="I179" s="22">
        <v>83.5</v>
      </c>
      <c r="J179" s="21">
        <v>97.3</v>
      </c>
      <c r="K179" s="21">
        <v>82.6</v>
      </c>
      <c r="M179" s="9">
        <f t="shared" si="5"/>
        <v>0</v>
      </c>
      <c r="N179" s="9">
        <f t="shared" si="6"/>
        <v>0</v>
      </c>
      <c r="O179" s="9">
        <f t="shared" si="7"/>
        <v>0</v>
      </c>
    </row>
    <row r="180" spans="1:15" x14ac:dyDescent="0.25">
      <c r="A180" s="14">
        <v>42614</v>
      </c>
      <c r="B180" s="21">
        <v>90.7</v>
      </c>
      <c r="C180" s="21">
        <v>100.4</v>
      </c>
      <c r="D180" s="21">
        <v>89.4</v>
      </c>
      <c r="E180" s="7">
        <v>84.4</v>
      </c>
      <c r="F180" s="7">
        <v>98.5</v>
      </c>
      <c r="G180" s="7">
        <v>83.4</v>
      </c>
      <c r="I180" s="22">
        <v>84.4</v>
      </c>
      <c r="J180" s="21">
        <v>98.5</v>
      </c>
      <c r="K180" s="21">
        <v>83.4</v>
      </c>
      <c r="M180" s="9">
        <f t="shared" si="5"/>
        <v>0</v>
      </c>
      <c r="N180" s="9">
        <f t="shared" si="6"/>
        <v>0</v>
      </c>
      <c r="O180" s="9">
        <f t="shared" si="7"/>
        <v>0</v>
      </c>
    </row>
    <row r="181" spans="1:15" x14ac:dyDescent="0.25">
      <c r="A181" s="14">
        <v>42644</v>
      </c>
      <c r="B181" s="21">
        <v>90.2</v>
      </c>
      <c r="C181" s="21">
        <v>101.8</v>
      </c>
      <c r="D181" s="21">
        <v>88.7</v>
      </c>
      <c r="E181" s="7">
        <v>83.4</v>
      </c>
      <c r="F181" s="7">
        <v>97.6</v>
      </c>
      <c r="G181" s="7">
        <v>82.3</v>
      </c>
      <c r="I181" s="22">
        <v>83.4</v>
      </c>
      <c r="J181" s="21">
        <v>97.6</v>
      </c>
      <c r="K181" s="21">
        <v>82.3</v>
      </c>
      <c r="M181" s="9">
        <f t="shared" si="5"/>
        <v>0</v>
      </c>
      <c r="N181" s="9">
        <f t="shared" si="6"/>
        <v>0</v>
      </c>
      <c r="O181" s="9">
        <f t="shared" si="7"/>
        <v>0</v>
      </c>
    </row>
    <row r="182" spans="1:15" x14ac:dyDescent="0.25">
      <c r="A182" s="14">
        <v>42675</v>
      </c>
      <c r="B182" s="21">
        <v>86.5</v>
      </c>
      <c r="C182" s="21">
        <v>99.4</v>
      </c>
      <c r="D182" s="21">
        <v>84.8</v>
      </c>
      <c r="E182" s="7">
        <v>84</v>
      </c>
      <c r="F182" s="7">
        <v>99.5</v>
      </c>
      <c r="G182" s="7">
        <v>82.3</v>
      </c>
      <c r="I182" s="22">
        <v>84</v>
      </c>
      <c r="J182" s="21">
        <v>99.5</v>
      </c>
      <c r="K182" s="21">
        <v>82.3</v>
      </c>
      <c r="M182" s="9">
        <f t="shared" si="5"/>
        <v>0</v>
      </c>
      <c r="N182" s="9">
        <f t="shared" si="6"/>
        <v>0</v>
      </c>
      <c r="O182" s="9">
        <f t="shared" si="7"/>
        <v>0</v>
      </c>
    </row>
    <row r="183" spans="1:15" x14ac:dyDescent="0.25">
      <c r="A183" s="14">
        <v>42705</v>
      </c>
      <c r="B183" s="21">
        <v>77.2</v>
      </c>
      <c r="C183" s="21">
        <v>105.3</v>
      </c>
      <c r="D183" s="21">
        <v>73.7</v>
      </c>
      <c r="E183" s="7">
        <v>85.5</v>
      </c>
      <c r="F183" s="7">
        <v>102</v>
      </c>
      <c r="G183" s="7">
        <v>83.2</v>
      </c>
      <c r="I183" s="22">
        <v>85.5</v>
      </c>
      <c r="J183" s="21">
        <v>102</v>
      </c>
      <c r="K183" s="21">
        <v>83.2</v>
      </c>
      <c r="M183" s="9">
        <f t="shared" si="5"/>
        <v>0</v>
      </c>
      <c r="N183" s="9">
        <f t="shared" si="6"/>
        <v>0</v>
      </c>
      <c r="O183" s="9">
        <f t="shared" si="7"/>
        <v>0</v>
      </c>
    </row>
    <row r="184" spans="1:15" x14ac:dyDescent="0.25">
      <c r="A184" s="14">
        <v>42736</v>
      </c>
      <c r="B184" s="21">
        <v>77.900000000000006</v>
      </c>
      <c r="C184" s="21">
        <v>101.9</v>
      </c>
      <c r="D184" s="21">
        <v>74.900000000000006</v>
      </c>
      <c r="E184" s="7">
        <v>86.4</v>
      </c>
      <c r="F184" s="7">
        <v>102.1</v>
      </c>
      <c r="G184" s="7">
        <v>83.7</v>
      </c>
      <c r="I184" s="22">
        <v>86.4</v>
      </c>
      <c r="J184" s="21">
        <v>102.1</v>
      </c>
      <c r="K184" s="21">
        <v>83.7</v>
      </c>
      <c r="M184" s="9">
        <f t="shared" si="5"/>
        <v>0</v>
      </c>
      <c r="N184" s="9">
        <f t="shared" si="6"/>
        <v>0</v>
      </c>
      <c r="O184" s="9">
        <f t="shared" si="7"/>
        <v>0</v>
      </c>
    </row>
    <row r="185" spans="1:15" x14ac:dyDescent="0.25">
      <c r="A185" s="14">
        <v>42767</v>
      </c>
      <c r="B185" s="21">
        <v>75.900000000000006</v>
      </c>
      <c r="C185" s="21">
        <v>93.2</v>
      </c>
      <c r="D185" s="21">
        <v>73.7</v>
      </c>
      <c r="E185" s="7">
        <v>87.4</v>
      </c>
      <c r="F185" s="7">
        <v>103.5</v>
      </c>
      <c r="G185" s="7">
        <v>83.9</v>
      </c>
      <c r="I185" s="22">
        <v>87.4</v>
      </c>
      <c r="J185" s="21">
        <v>103.5</v>
      </c>
      <c r="K185" s="21">
        <v>83.9</v>
      </c>
      <c r="M185" s="9">
        <f t="shared" si="5"/>
        <v>0</v>
      </c>
      <c r="N185" s="9">
        <f t="shared" si="6"/>
        <v>0</v>
      </c>
      <c r="O185" s="9">
        <f t="shared" si="7"/>
        <v>0</v>
      </c>
    </row>
    <row r="186" spans="1:15" x14ac:dyDescent="0.25">
      <c r="A186" s="14">
        <v>42795</v>
      </c>
      <c r="B186" s="21">
        <v>85.4</v>
      </c>
      <c r="C186" s="21">
        <v>99.2</v>
      </c>
      <c r="D186" s="21">
        <v>83.7</v>
      </c>
      <c r="E186" s="7">
        <v>85.6</v>
      </c>
      <c r="F186" s="7">
        <v>102.8</v>
      </c>
      <c r="G186" s="7">
        <v>83.6</v>
      </c>
      <c r="I186" s="22">
        <v>85.6</v>
      </c>
      <c r="J186" s="21">
        <v>102.8</v>
      </c>
      <c r="K186" s="21">
        <v>83.6</v>
      </c>
      <c r="M186" s="9">
        <f t="shared" si="5"/>
        <v>0</v>
      </c>
      <c r="N186" s="9">
        <f t="shared" si="6"/>
        <v>0</v>
      </c>
      <c r="O186" s="9">
        <f t="shared" si="7"/>
        <v>0</v>
      </c>
    </row>
    <row r="187" spans="1:15" x14ac:dyDescent="0.25">
      <c r="A187" s="14">
        <v>42826</v>
      </c>
      <c r="B187" s="21">
        <v>79.3</v>
      </c>
      <c r="C187" s="21">
        <v>96.5</v>
      </c>
      <c r="D187" s="21">
        <v>77.2</v>
      </c>
      <c r="E187" s="7">
        <v>85.9</v>
      </c>
      <c r="F187" s="7">
        <v>102.6</v>
      </c>
      <c r="G187" s="7">
        <v>83.4</v>
      </c>
      <c r="I187" s="22">
        <v>85.9</v>
      </c>
      <c r="J187" s="21">
        <v>102.6</v>
      </c>
      <c r="K187" s="21">
        <v>83.4</v>
      </c>
      <c r="M187" s="9">
        <f t="shared" si="5"/>
        <v>0</v>
      </c>
      <c r="N187" s="9">
        <f t="shared" si="6"/>
        <v>0</v>
      </c>
      <c r="O187" s="9">
        <f t="shared" si="7"/>
        <v>0</v>
      </c>
    </row>
    <row r="188" spans="1:15" x14ac:dyDescent="0.25">
      <c r="A188" s="14">
        <v>42856</v>
      </c>
      <c r="B188" s="21">
        <v>90.1</v>
      </c>
      <c r="C188" s="21">
        <v>103.5</v>
      </c>
      <c r="D188" s="21">
        <v>88.4</v>
      </c>
      <c r="E188" s="7">
        <v>86.2</v>
      </c>
      <c r="F188" s="7">
        <v>102.3</v>
      </c>
      <c r="G188" s="7">
        <v>84.2</v>
      </c>
      <c r="I188" s="22">
        <v>86.2</v>
      </c>
      <c r="J188" s="21">
        <v>102.3</v>
      </c>
      <c r="K188" s="21">
        <v>84.2</v>
      </c>
      <c r="M188" s="9">
        <f t="shared" si="5"/>
        <v>0</v>
      </c>
      <c r="N188" s="9">
        <f t="shared" si="6"/>
        <v>0</v>
      </c>
      <c r="O188" s="9">
        <f t="shared" si="7"/>
        <v>0</v>
      </c>
    </row>
    <row r="189" spans="1:15" x14ac:dyDescent="0.25">
      <c r="A189" s="14">
        <v>42887</v>
      </c>
      <c r="B189" s="21">
        <v>88.4</v>
      </c>
      <c r="C189" s="21">
        <v>102.5</v>
      </c>
      <c r="D189" s="21">
        <v>86.7</v>
      </c>
      <c r="E189" s="7">
        <v>87</v>
      </c>
      <c r="F189" s="7">
        <v>102.2</v>
      </c>
      <c r="G189" s="7">
        <v>85</v>
      </c>
      <c r="I189" s="22">
        <v>87</v>
      </c>
      <c r="J189" s="21">
        <v>102.2</v>
      </c>
      <c r="K189" s="21">
        <v>85</v>
      </c>
      <c r="M189" s="9">
        <f t="shared" si="5"/>
        <v>0</v>
      </c>
      <c r="N189" s="9">
        <f t="shared" si="6"/>
        <v>0</v>
      </c>
      <c r="O189" s="9">
        <f t="shared" si="7"/>
        <v>0</v>
      </c>
    </row>
    <row r="190" spans="1:15" x14ac:dyDescent="0.25">
      <c r="A190" s="14">
        <v>42917</v>
      </c>
      <c r="B190" s="21">
        <v>92.1</v>
      </c>
      <c r="C190" s="21">
        <v>104.4</v>
      </c>
      <c r="D190" s="21">
        <v>90.6</v>
      </c>
      <c r="E190" s="7">
        <v>87.3</v>
      </c>
      <c r="F190" s="7">
        <v>100.7</v>
      </c>
      <c r="G190" s="7">
        <v>85.6</v>
      </c>
      <c r="I190" s="22">
        <v>87.3</v>
      </c>
      <c r="J190" s="21">
        <v>100.7</v>
      </c>
      <c r="K190" s="21">
        <v>85.6</v>
      </c>
      <c r="M190" s="9">
        <f t="shared" si="5"/>
        <v>0</v>
      </c>
      <c r="N190" s="9">
        <f t="shared" si="6"/>
        <v>0</v>
      </c>
      <c r="O190" s="9">
        <f t="shared" si="7"/>
        <v>0</v>
      </c>
    </row>
    <row r="191" spans="1:15" x14ac:dyDescent="0.25">
      <c r="A191" s="14">
        <v>42948</v>
      </c>
      <c r="B191" s="21">
        <v>96.7</v>
      </c>
      <c r="C191" s="21">
        <v>104.2</v>
      </c>
      <c r="D191" s="21">
        <v>95.7</v>
      </c>
      <c r="E191" s="7">
        <v>87</v>
      </c>
      <c r="F191" s="7">
        <v>99.5</v>
      </c>
      <c r="G191" s="7">
        <v>85.7</v>
      </c>
      <c r="I191" s="22">
        <v>87</v>
      </c>
      <c r="J191" s="21">
        <v>99.5</v>
      </c>
      <c r="K191" s="21">
        <v>85.7</v>
      </c>
      <c r="M191" s="9">
        <f t="shared" si="5"/>
        <v>0</v>
      </c>
      <c r="N191" s="9">
        <f t="shared" si="6"/>
        <v>0</v>
      </c>
      <c r="O191" s="9">
        <f t="shared" si="7"/>
        <v>0</v>
      </c>
    </row>
    <row r="192" spans="1:15" x14ac:dyDescent="0.25">
      <c r="A192" s="14">
        <v>42979</v>
      </c>
      <c r="B192" s="21">
        <v>93</v>
      </c>
      <c r="C192" s="21">
        <v>102.3</v>
      </c>
      <c r="D192" s="21">
        <v>91.8</v>
      </c>
      <c r="E192" s="7">
        <v>87.4</v>
      </c>
      <c r="F192" s="7">
        <v>99.9</v>
      </c>
      <c r="G192" s="7">
        <v>86.5</v>
      </c>
      <c r="I192" s="22">
        <v>87.4</v>
      </c>
      <c r="J192" s="21">
        <v>99.9</v>
      </c>
      <c r="K192" s="21">
        <v>86.5</v>
      </c>
      <c r="M192" s="9">
        <f t="shared" si="5"/>
        <v>0</v>
      </c>
      <c r="N192" s="9">
        <f t="shared" si="6"/>
        <v>0</v>
      </c>
      <c r="O192" s="9">
        <f t="shared" si="7"/>
        <v>0</v>
      </c>
    </row>
    <row r="193" spans="1:15" x14ac:dyDescent="0.25">
      <c r="A193" s="14">
        <v>43009</v>
      </c>
      <c r="B193" s="21">
        <v>95.1</v>
      </c>
      <c r="C193" s="21">
        <v>104.2</v>
      </c>
      <c r="D193" s="21">
        <v>94</v>
      </c>
      <c r="E193" s="7">
        <v>88.1</v>
      </c>
      <c r="F193" s="7">
        <v>99.7</v>
      </c>
      <c r="G193" s="7">
        <v>86.7</v>
      </c>
      <c r="I193" s="22">
        <v>88.1</v>
      </c>
      <c r="J193" s="21">
        <v>99.7</v>
      </c>
      <c r="K193" s="21">
        <v>86.7</v>
      </c>
      <c r="M193" s="9">
        <f t="shared" si="5"/>
        <v>0</v>
      </c>
      <c r="N193" s="9">
        <f t="shared" si="6"/>
        <v>0</v>
      </c>
      <c r="O193" s="9">
        <f t="shared" si="7"/>
        <v>0</v>
      </c>
    </row>
    <row r="194" spans="1:15" x14ac:dyDescent="0.25">
      <c r="A194" s="14">
        <v>43040</v>
      </c>
      <c r="B194" s="21">
        <v>90.6</v>
      </c>
      <c r="C194" s="21">
        <v>100.5</v>
      </c>
      <c r="D194" s="21">
        <v>89.4</v>
      </c>
      <c r="E194" s="7">
        <v>88.4</v>
      </c>
      <c r="F194" s="7">
        <v>100.5</v>
      </c>
      <c r="G194" s="7">
        <v>87.2</v>
      </c>
      <c r="I194" s="22">
        <v>88.4</v>
      </c>
      <c r="J194" s="21">
        <v>100.5</v>
      </c>
      <c r="K194" s="21">
        <v>87.2</v>
      </c>
      <c r="M194" s="9">
        <f t="shared" si="5"/>
        <v>0</v>
      </c>
      <c r="N194" s="9">
        <f t="shared" si="6"/>
        <v>0</v>
      </c>
      <c r="O194" s="9">
        <f t="shared" si="7"/>
        <v>0</v>
      </c>
    </row>
    <row r="195" spans="1:15" x14ac:dyDescent="0.25">
      <c r="A195" s="14">
        <v>43070</v>
      </c>
      <c r="B195" s="21">
        <v>81</v>
      </c>
      <c r="C195" s="21">
        <v>101.7</v>
      </c>
      <c r="D195" s="21">
        <v>78.400000000000006</v>
      </c>
      <c r="E195" s="7">
        <v>91.3</v>
      </c>
      <c r="F195" s="7">
        <v>98.4</v>
      </c>
      <c r="G195" s="7">
        <v>90.4</v>
      </c>
      <c r="I195" s="22">
        <v>91.3</v>
      </c>
      <c r="J195" s="21">
        <v>98.4</v>
      </c>
      <c r="K195" s="21">
        <v>90.4</v>
      </c>
      <c r="M195" s="9">
        <f t="shared" si="5"/>
        <v>0</v>
      </c>
      <c r="N195" s="9">
        <f t="shared" si="6"/>
        <v>0</v>
      </c>
      <c r="O195" s="9">
        <f t="shared" si="7"/>
        <v>0</v>
      </c>
    </row>
    <row r="196" spans="1:15" x14ac:dyDescent="0.25">
      <c r="A196" s="14">
        <v>43101</v>
      </c>
      <c r="B196" s="21">
        <v>82.3</v>
      </c>
      <c r="C196" s="21">
        <v>101.7</v>
      </c>
      <c r="D196" s="21">
        <v>79.8</v>
      </c>
      <c r="E196" s="7">
        <v>88.9</v>
      </c>
      <c r="F196" s="7">
        <v>101.7</v>
      </c>
      <c r="G196" s="7">
        <v>87.8</v>
      </c>
      <c r="I196" s="22">
        <v>88.9</v>
      </c>
      <c r="J196" s="21">
        <v>101.7</v>
      </c>
      <c r="K196" s="21">
        <v>87.8</v>
      </c>
      <c r="M196" s="9">
        <f t="shared" si="5"/>
        <v>0</v>
      </c>
      <c r="N196" s="9">
        <f t="shared" si="6"/>
        <v>0</v>
      </c>
      <c r="O196" s="9">
        <f t="shared" si="7"/>
        <v>0</v>
      </c>
    </row>
    <row r="197" spans="1:15" x14ac:dyDescent="0.25">
      <c r="A197" s="14">
        <v>43132</v>
      </c>
      <c r="B197" s="21">
        <v>77.3</v>
      </c>
      <c r="C197" s="21">
        <v>88</v>
      </c>
      <c r="D197" s="21">
        <v>75.900000000000006</v>
      </c>
      <c r="E197" s="7">
        <v>88.5</v>
      </c>
      <c r="F197" s="7">
        <v>97.7</v>
      </c>
      <c r="G197" s="7">
        <v>86.3</v>
      </c>
      <c r="I197" s="22">
        <v>88.5</v>
      </c>
      <c r="J197" s="21">
        <v>97.7</v>
      </c>
      <c r="K197" s="21">
        <v>86.3</v>
      </c>
      <c r="M197" s="9">
        <f t="shared" si="5"/>
        <v>0</v>
      </c>
      <c r="N197" s="9">
        <f t="shared" si="6"/>
        <v>0</v>
      </c>
      <c r="O197" s="9">
        <f t="shared" si="7"/>
        <v>0</v>
      </c>
    </row>
    <row r="198" spans="1:15" x14ac:dyDescent="0.25">
      <c r="A198" s="14">
        <v>43160</v>
      </c>
      <c r="B198" s="21">
        <v>86.2</v>
      </c>
      <c r="C198" s="21">
        <v>96.5</v>
      </c>
      <c r="D198" s="21">
        <v>85</v>
      </c>
      <c r="E198" s="7">
        <v>89.7</v>
      </c>
      <c r="F198" s="7">
        <v>101.6</v>
      </c>
      <c r="G198" s="7">
        <v>88.2</v>
      </c>
      <c r="I198" s="22">
        <v>89.7</v>
      </c>
      <c r="J198" s="21">
        <v>101.6</v>
      </c>
      <c r="K198" s="21">
        <v>88.2</v>
      </c>
      <c r="M198" s="9">
        <f t="shared" si="5"/>
        <v>0</v>
      </c>
      <c r="N198" s="9">
        <f t="shared" si="6"/>
        <v>0</v>
      </c>
      <c r="O198" s="9">
        <f t="shared" si="7"/>
        <v>0</v>
      </c>
    </row>
    <row r="199" spans="1:15" x14ac:dyDescent="0.25">
      <c r="A199" s="14">
        <v>43191</v>
      </c>
      <c r="B199" s="21">
        <v>86.5</v>
      </c>
      <c r="C199" s="21">
        <v>95.3</v>
      </c>
      <c r="D199" s="21">
        <v>85.4</v>
      </c>
      <c r="E199" s="7">
        <v>90.1</v>
      </c>
      <c r="F199" s="7">
        <v>101</v>
      </c>
      <c r="G199" s="7">
        <v>88.9</v>
      </c>
      <c r="I199" s="22">
        <v>90.1</v>
      </c>
      <c r="J199" s="21">
        <v>101</v>
      </c>
      <c r="K199" s="21">
        <v>88.9</v>
      </c>
      <c r="M199" s="9">
        <f t="shared" si="5"/>
        <v>0</v>
      </c>
      <c r="N199" s="9">
        <f t="shared" si="6"/>
        <v>0</v>
      </c>
      <c r="O199" s="9">
        <f t="shared" si="7"/>
        <v>0</v>
      </c>
    </row>
    <row r="200" spans="1:15" x14ac:dyDescent="0.25">
      <c r="A200" s="14">
        <v>43221</v>
      </c>
      <c r="B200" s="21">
        <v>84.4</v>
      </c>
      <c r="C200" s="21">
        <v>104.1</v>
      </c>
      <c r="D200" s="21">
        <v>81.900000000000006</v>
      </c>
      <c r="E200" s="7">
        <v>80.2</v>
      </c>
      <c r="F200" s="7">
        <v>103.3</v>
      </c>
      <c r="G200" s="7">
        <v>77.8</v>
      </c>
      <c r="I200" s="22">
        <v>80.2</v>
      </c>
      <c r="J200" s="21">
        <v>103.3</v>
      </c>
      <c r="K200" s="21">
        <v>77.8</v>
      </c>
      <c r="M200" s="9">
        <f t="shared" si="5"/>
        <v>0</v>
      </c>
      <c r="N200" s="9">
        <f t="shared" si="6"/>
        <v>0</v>
      </c>
      <c r="O200" s="9">
        <f t="shared" si="7"/>
        <v>0</v>
      </c>
    </row>
    <row r="201" spans="1:15" x14ac:dyDescent="0.25">
      <c r="A201" s="14">
        <v>43252</v>
      </c>
      <c r="B201" s="21">
        <v>91.1</v>
      </c>
      <c r="C201" s="21">
        <v>102.5</v>
      </c>
      <c r="D201" s="21">
        <v>89.6</v>
      </c>
      <c r="E201" s="7">
        <v>90.3</v>
      </c>
      <c r="F201" s="7">
        <v>102.3</v>
      </c>
      <c r="G201" s="7">
        <v>88.6</v>
      </c>
      <c r="I201" s="22">
        <v>90.3</v>
      </c>
      <c r="J201" s="21">
        <v>102.3</v>
      </c>
      <c r="K201" s="21">
        <v>88.6</v>
      </c>
      <c r="M201" s="9">
        <f t="shared" si="5"/>
        <v>0</v>
      </c>
      <c r="N201" s="9">
        <f t="shared" si="6"/>
        <v>0</v>
      </c>
      <c r="O201" s="9">
        <f t="shared" si="7"/>
        <v>0</v>
      </c>
    </row>
    <row r="202" spans="1:15" x14ac:dyDescent="0.25">
      <c r="A202" s="14">
        <v>43282</v>
      </c>
      <c r="B202" s="21">
        <v>95.8</v>
      </c>
      <c r="C202" s="21">
        <v>105.5</v>
      </c>
      <c r="D202" s="21">
        <v>94.6</v>
      </c>
      <c r="E202" s="7">
        <v>90.1</v>
      </c>
      <c r="F202" s="7">
        <v>101.7</v>
      </c>
      <c r="G202" s="7">
        <v>88.2</v>
      </c>
      <c r="I202" s="22">
        <v>90.1</v>
      </c>
      <c r="J202" s="21">
        <v>101.7</v>
      </c>
      <c r="K202" s="21">
        <v>88.2</v>
      </c>
      <c r="M202" s="9">
        <f t="shared" si="5"/>
        <v>0</v>
      </c>
      <c r="N202" s="9">
        <f t="shared" si="6"/>
        <v>0</v>
      </c>
      <c r="O202" s="9">
        <f t="shared" si="7"/>
        <v>0</v>
      </c>
    </row>
    <row r="203" spans="1:15" x14ac:dyDescent="0.25">
      <c r="A203" s="14">
        <v>43313</v>
      </c>
      <c r="B203" s="21">
        <v>98.2</v>
      </c>
      <c r="C203" s="21">
        <v>104.2</v>
      </c>
      <c r="D203" s="21">
        <v>97.5</v>
      </c>
      <c r="E203" s="7">
        <v>88.9</v>
      </c>
      <c r="F203" s="7">
        <v>99.2</v>
      </c>
      <c r="G203" s="7">
        <v>87.6</v>
      </c>
      <c r="I203" s="22">
        <v>88.9</v>
      </c>
      <c r="J203" s="21">
        <v>99.2</v>
      </c>
      <c r="K203" s="21">
        <v>87.6</v>
      </c>
      <c r="M203" s="9">
        <f t="shared" si="5"/>
        <v>0</v>
      </c>
      <c r="N203" s="9">
        <f t="shared" si="6"/>
        <v>0</v>
      </c>
      <c r="O203" s="9">
        <f t="shared" si="7"/>
        <v>0</v>
      </c>
    </row>
    <row r="204" spans="1:15" x14ac:dyDescent="0.25">
      <c r="A204" s="14">
        <v>43344</v>
      </c>
      <c r="B204" s="21">
        <v>90.7</v>
      </c>
      <c r="C204" s="21">
        <v>100.9</v>
      </c>
      <c r="D204" s="21">
        <v>89.5</v>
      </c>
      <c r="E204" s="7">
        <v>86.5</v>
      </c>
      <c r="F204" s="7">
        <v>98</v>
      </c>
      <c r="G204" s="7">
        <v>85.8</v>
      </c>
      <c r="I204" s="22">
        <v>86.5</v>
      </c>
      <c r="J204" s="21">
        <v>98</v>
      </c>
      <c r="K204" s="21">
        <v>85.8</v>
      </c>
      <c r="M204" s="9">
        <f t="shared" si="5"/>
        <v>0</v>
      </c>
      <c r="N204" s="9">
        <f t="shared" si="6"/>
        <v>0</v>
      </c>
      <c r="O204" s="9">
        <f t="shared" si="7"/>
        <v>0</v>
      </c>
    </row>
    <row r="205" spans="1:15" x14ac:dyDescent="0.25">
      <c r="A205" s="14">
        <v>43374</v>
      </c>
      <c r="B205" s="21">
        <v>95.8</v>
      </c>
      <c r="C205" s="21">
        <v>106.7</v>
      </c>
      <c r="D205" s="21">
        <v>94.4</v>
      </c>
      <c r="E205" s="7">
        <v>87.5</v>
      </c>
      <c r="F205" s="7">
        <v>101.7</v>
      </c>
      <c r="G205" s="7">
        <v>85.9</v>
      </c>
      <c r="I205" s="22">
        <v>87.5</v>
      </c>
      <c r="J205" s="21">
        <v>101.7</v>
      </c>
      <c r="K205" s="21">
        <v>85.9</v>
      </c>
      <c r="M205" s="9">
        <f t="shared" si="5"/>
        <v>0</v>
      </c>
      <c r="N205" s="9">
        <f t="shared" si="6"/>
        <v>0</v>
      </c>
      <c r="O205" s="9">
        <f t="shared" si="7"/>
        <v>0</v>
      </c>
    </row>
    <row r="206" spans="1:15" x14ac:dyDescent="0.25">
      <c r="A206" s="14">
        <v>43405</v>
      </c>
      <c r="B206" s="21">
        <v>89.5</v>
      </c>
      <c r="C206" s="21">
        <v>102</v>
      </c>
      <c r="D206" s="21">
        <v>87.9</v>
      </c>
      <c r="E206" s="7">
        <v>87.5</v>
      </c>
      <c r="F206" s="7">
        <v>101.7</v>
      </c>
      <c r="G206" s="7">
        <v>85.8</v>
      </c>
      <c r="I206" s="22">
        <v>87.5</v>
      </c>
      <c r="J206" s="21">
        <v>101.7</v>
      </c>
      <c r="K206" s="21">
        <v>85.8</v>
      </c>
      <c r="M206" s="9">
        <f t="shared" si="5"/>
        <v>0</v>
      </c>
      <c r="N206" s="9">
        <f t="shared" si="6"/>
        <v>0</v>
      </c>
      <c r="O206" s="9">
        <f t="shared" si="7"/>
        <v>0</v>
      </c>
    </row>
    <row r="207" spans="1:15" x14ac:dyDescent="0.25">
      <c r="A207" s="14">
        <v>43435</v>
      </c>
      <c r="B207" s="21">
        <v>78</v>
      </c>
      <c r="C207" s="21">
        <v>106.8</v>
      </c>
      <c r="D207" s="21">
        <v>74.3</v>
      </c>
      <c r="E207" s="7">
        <v>87.8</v>
      </c>
      <c r="F207" s="7">
        <v>103.4</v>
      </c>
      <c r="G207" s="7">
        <v>85.3</v>
      </c>
      <c r="I207" s="22">
        <v>87.8</v>
      </c>
      <c r="J207" s="21">
        <v>103.4</v>
      </c>
      <c r="K207" s="21">
        <v>85.3</v>
      </c>
      <c r="M207" s="9">
        <f t="shared" si="5"/>
        <v>0</v>
      </c>
      <c r="N207" s="9">
        <f t="shared" si="6"/>
        <v>0</v>
      </c>
      <c r="O207" s="9">
        <f t="shared" si="7"/>
        <v>0</v>
      </c>
    </row>
    <row r="208" spans="1:15" x14ac:dyDescent="0.25">
      <c r="A208" s="14">
        <v>43466</v>
      </c>
      <c r="B208" s="21">
        <v>80.7</v>
      </c>
      <c r="C208" s="21">
        <v>103.4</v>
      </c>
      <c r="D208" s="21">
        <v>77.8</v>
      </c>
      <c r="E208" s="7">
        <v>86.8</v>
      </c>
      <c r="F208" s="7">
        <v>103.5</v>
      </c>
      <c r="G208" s="7">
        <v>85.3</v>
      </c>
      <c r="I208" s="22">
        <v>86.8</v>
      </c>
      <c r="J208" s="21">
        <v>103.5</v>
      </c>
      <c r="K208" s="21">
        <v>85.3</v>
      </c>
      <c r="M208" s="9">
        <f t="shared" si="5"/>
        <v>0</v>
      </c>
      <c r="N208" s="9">
        <f t="shared" si="6"/>
        <v>0</v>
      </c>
      <c r="O208" s="9">
        <f t="shared" si="7"/>
        <v>0</v>
      </c>
    </row>
    <row r="209" spans="1:15" x14ac:dyDescent="0.25">
      <c r="A209" s="14">
        <v>43497</v>
      </c>
      <c r="B209" s="21">
        <v>79.099999999999994</v>
      </c>
      <c r="C209" s="21">
        <v>79.8</v>
      </c>
      <c r="D209" s="21">
        <v>79</v>
      </c>
      <c r="E209" s="7">
        <v>87.3</v>
      </c>
      <c r="F209" s="7">
        <v>88.8</v>
      </c>
      <c r="G209" s="7">
        <v>86.3</v>
      </c>
      <c r="I209" s="22">
        <v>87.3</v>
      </c>
      <c r="J209" s="21">
        <v>88.8</v>
      </c>
      <c r="K209" s="21">
        <v>86.3</v>
      </c>
      <c r="M209" s="9">
        <f t="shared" si="5"/>
        <v>0</v>
      </c>
      <c r="N209" s="9">
        <f t="shared" si="6"/>
        <v>0</v>
      </c>
      <c r="O209" s="9">
        <f t="shared" si="7"/>
        <v>0</v>
      </c>
    </row>
    <row r="210" spans="1:15" x14ac:dyDescent="0.25">
      <c r="A210" s="14">
        <v>43525</v>
      </c>
      <c r="B210" s="21">
        <v>81</v>
      </c>
      <c r="C210" s="21">
        <v>83.6</v>
      </c>
      <c r="D210" s="21">
        <v>80.7</v>
      </c>
      <c r="E210" s="7">
        <v>87.1</v>
      </c>
      <c r="F210" s="7">
        <v>87.7</v>
      </c>
      <c r="G210" s="7">
        <v>86.8</v>
      </c>
      <c r="I210" s="22">
        <v>87.1</v>
      </c>
      <c r="J210" s="21">
        <v>87.7</v>
      </c>
      <c r="K210" s="21">
        <v>86.8</v>
      </c>
      <c r="M210" s="9">
        <f t="shared" si="5"/>
        <v>0</v>
      </c>
      <c r="N210" s="9">
        <f t="shared" si="6"/>
        <v>0</v>
      </c>
      <c r="O210" s="9">
        <f t="shared" si="7"/>
        <v>0</v>
      </c>
    </row>
    <row r="211" spans="1:15" x14ac:dyDescent="0.25">
      <c r="A211" s="14">
        <v>43556</v>
      </c>
      <c r="B211" s="21">
        <v>83.3</v>
      </c>
      <c r="C211" s="21">
        <v>73.599999999999994</v>
      </c>
      <c r="D211" s="21">
        <v>84.6</v>
      </c>
      <c r="E211" s="7">
        <v>87.5</v>
      </c>
      <c r="F211" s="7">
        <v>79.099999999999994</v>
      </c>
      <c r="G211" s="7">
        <v>88.8</v>
      </c>
      <c r="I211" s="22">
        <v>87.5</v>
      </c>
      <c r="J211" s="21">
        <v>79.099999999999994</v>
      </c>
      <c r="K211" s="21">
        <v>88.8</v>
      </c>
      <c r="M211" s="9">
        <f t="shared" si="5"/>
        <v>0</v>
      </c>
      <c r="N211" s="9">
        <f t="shared" si="6"/>
        <v>0</v>
      </c>
      <c r="O211" s="9">
        <f t="shared" si="7"/>
        <v>0</v>
      </c>
    </row>
    <row r="212" spans="1:15" x14ac:dyDescent="0.25">
      <c r="A212" s="14">
        <v>43586</v>
      </c>
      <c r="B212" s="21">
        <v>91</v>
      </c>
      <c r="C212" s="21">
        <v>86.7</v>
      </c>
      <c r="D212" s="21">
        <v>91.5</v>
      </c>
      <c r="E212" s="7">
        <v>87.4</v>
      </c>
      <c r="F212" s="7">
        <v>86.3</v>
      </c>
      <c r="G212" s="7">
        <v>87.3</v>
      </c>
      <c r="I212" s="22">
        <v>87.4</v>
      </c>
      <c r="J212" s="21">
        <v>86.3</v>
      </c>
      <c r="K212" s="21">
        <v>87.3</v>
      </c>
      <c r="M212" s="9">
        <f t="shared" si="5"/>
        <v>0</v>
      </c>
      <c r="N212" s="9">
        <f t="shared" si="6"/>
        <v>0</v>
      </c>
      <c r="O212" s="9">
        <f t="shared" si="7"/>
        <v>0</v>
      </c>
    </row>
    <row r="213" spans="1:15" x14ac:dyDescent="0.25">
      <c r="A213" s="14">
        <v>43617</v>
      </c>
      <c r="B213" s="21">
        <v>85.8</v>
      </c>
      <c r="C213" s="21">
        <v>87.5</v>
      </c>
      <c r="D213" s="21">
        <v>85.6</v>
      </c>
      <c r="E213" s="7">
        <v>86.6</v>
      </c>
      <c r="F213" s="7">
        <v>87.4</v>
      </c>
      <c r="G213" s="7">
        <v>86.2</v>
      </c>
      <c r="I213" s="22">
        <v>86.6</v>
      </c>
      <c r="J213" s="21">
        <v>87.4</v>
      </c>
      <c r="K213" s="21">
        <v>86.2</v>
      </c>
      <c r="M213" s="9">
        <f t="shared" si="5"/>
        <v>0</v>
      </c>
      <c r="N213" s="9">
        <f t="shared" si="6"/>
        <v>0</v>
      </c>
      <c r="O213" s="9">
        <f t="shared" si="7"/>
        <v>0</v>
      </c>
    </row>
    <row r="214" spans="1:15" x14ac:dyDescent="0.25">
      <c r="A214" s="14">
        <v>43647</v>
      </c>
      <c r="B214" s="21">
        <v>93.4</v>
      </c>
      <c r="C214" s="21">
        <v>96.3</v>
      </c>
      <c r="D214" s="21">
        <v>93.1</v>
      </c>
      <c r="E214" s="7">
        <v>86</v>
      </c>
      <c r="F214" s="7">
        <v>92.7</v>
      </c>
      <c r="G214" s="7">
        <v>85.4</v>
      </c>
      <c r="I214" s="22">
        <v>86</v>
      </c>
      <c r="J214" s="21">
        <v>92.7</v>
      </c>
      <c r="K214" s="21">
        <v>85.4</v>
      </c>
      <c r="M214" s="9">
        <f t="shared" si="5"/>
        <v>0</v>
      </c>
      <c r="N214" s="9">
        <f t="shared" si="6"/>
        <v>0</v>
      </c>
      <c r="O214" s="9">
        <f t="shared" si="7"/>
        <v>0</v>
      </c>
    </row>
    <row r="215" spans="1:15" x14ac:dyDescent="0.25">
      <c r="A215" s="14">
        <v>43678</v>
      </c>
      <c r="B215" s="21">
        <v>96.2</v>
      </c>
      <c r="C215" s="21">
        <v>102.3</v>
      </c>
      <c r="D215" s="21">
        <v>95.5</v>
      </c>
      <c r="E215" s="7">
        <v>87</v>
      </c>
      <c r="F215" s="7">
        <v>96.8</v>
      </c>
      <c r="G215" s="7">
        <v>86</v>
      </c>
      <c r="I215" s="22">
        <v>87</v>
      </c>
      <c r="J215" s="21">
        <v>96.8</v>
      </c>
      <c r="K215" s="21">
        <v>86</v>
      </c>
      <c r="M215" s="9">
        <f t="shared" si="5"/>
        <v>0</v>
      </c>
      <c r="N215" s="9">
        <f t="shared" si="6"/>
        <v>0</v>
      </c>
      <c r="O215" s="9">
        <f t="shared" si="7"/>
        <v>0</v>
      </c>
    </row>
    <row r="216" spans="1:15" x14ac:dyDescent="0.25">
      <c r="A216" s="14">
        <v>43709</v>
      </c>
      <c r="B216" s="21">
        <v>91.8</v>
      </c>
      <c r="C216" s="21">
        <v>98.1</v>
      </c>
      <c r="D216" s="21">
        <v>91</v>
      </c>
      <c r="E216" s="7">
        <v>86.9</v>
      </c>
      <c r="F216" s="7">
        <v>94.8</v>
      </c>
      <c r="G216" s="7">
        <v>86.3</v>
      </c>
      <c r="I216" s="22">
        <v>86.9</v>
      </c>
      <c r="J216" s="21">
        <v>94.8</v>
      </c>
      <c r="K216" s="21">
        <v>86.3</v>
      </c>
      <c r="M216" s="9">
        <f t="shared" si="5"/>
        <v>0</v>
      </c>
      <c r="N216" s="9">
        <f t="shared" si="6"/>
        <v>0</v>
      </c>
      <c r="O216" s="9">
        <f t="shared" si="7"/>
        <v>0</v>
      </c>
    </row>
    <row r="217" spans="1:15" x14ac:dyDescent="0.25">
      <c r="A217" s="14">
        <v>43739</v>
      </c>
      <c r="B217" s="21">
        <v>97</v>
      </c>
      <c r="C217" s="21">
        <v>98.9</v>
      </c>
      <c r="D217" s="21">
        <v>96.8</v>
      </c>
      <c r="E217" s="7">
        <v>88.7</v>
      </c>
      <c r="F217" s="7">
        <v>94</v>
      </c>
      <c r="G217" s="7">
        <v>88</v>
      </c>
      <c r="I217" s="22">
        <v>88.7</v>
      </c>
      <c r="J217" s="21">
        <v>94</v>
      </c>
      <c r="K217" s="21">
        <v>88</v>
      </c>
      <c r="M217" s="9">
        <f t="shared" si="5"/>
        <v>0</v>
      </c>
      <c r="N217" s="9">
        <f t="shared" si="6"/>
        <v>0</v>
      </c>
      <c r="O217" s="9">
        <f t="shared" si="7"/>
        <v>0</v>
      </c>
    </row>
    <row r="218" spans="1:15" x14ac:dyDescent="0.25">
      <c r="A218" s="14">
        <v>43770</v>
      </c>
      <c r="B218" s="21">
        <v>88</v>
      </c>
      <c r="C218" s="21">
        <v>92.4</v>
      </c>
      <c r="D218" s="21">
        <v>87.4</v>
      </c>
      <c r="E218" s="7">
        <v>86.9</v>
      </c>
      <c r="F218" s="7">
        <v>92.1</v>
      </c>
      <c r="G218" s="7">
        <v>86.3</v>
      </c>
      <c r="I218" s="22">
        <v>86.9</v>
      </c>
      <c r="J218" s="21">
        <v>92.1</v>
      </c>
      <c r="K218" s="21">
        <v>86.3</v>
      </c>
      <c r="M218" s="9">
        <f t="shared" si="5"/>
        <v>0</v>
      </c>
      <c r="N218" s="9">
        <f t="shared" si="6"/>
        <v>0</v>
      </c>
      <c r="O218" s="9">
        <f t="shared" si="7"/>
        <v>0</v>
      </c>
    </row>
    <row r="219" spans="1:15" x14ac:dyDescent="0.25">
      <c r="A219" s="14">
        <v>43800</v>
      </c>
      <c r="B219" s="21">
        <v>76.900000000000006</v>
      </c>
      <c r="C219" s="21">
        <v>93.9</v>
      </c>
      <c r="D219" s="21">
        <v>74.8</v>
      </c>
      <c r="E219" s="7">
        <v>85.8</v>
      </c>
      <c r="F219" s="7">
        <v>90.9</v>
      </c>
      <c r="G219" s="7">
        <v>84.6</v>
      </c>
      <c r="I219" s="22">
        <v>85.8</v>
      </c>
      <c r="J219" s="21">
        <v>90.9</v>
      </c>
      <c r="K219" s="21">
        <v>84.6</v>
      </c>
      <c r="M219" s="9">
        <f t="shared" si="5"/>
        <v>0</v>
      </c>
      <c r="N219" s="9">
        <f t="shared" si="6"/>
        <v>0</v>
      </c>
      <c r="O219" s="9">
        <f t="shared" si="7"/>
        <v>0</v>
      </c>
    </row>
    <row r="220" spans="1:15" x14ac:dyDescent="0.25">
      <c r="A220" s="14">
        <v>43831</v>
      </c>
      <c r="B220" s="21">
        <v>80</v>
      </c>
      <c r="C220" s="21">
        <v>87.8</v>
      </c>
      <c r="D220" s="21">
        <v>79.099999999999994</v>
      </c>
      <c r="E220" s="7">
        <v>86.4</v>
      </c>
      <c r="F220" s="7">
        <v>88.1</v>
      </c>
      <c r="G220" s="7">
        <v>86.6</v>
      </c>
      <c r="I220" s="22">
        <v>86.4</v>
      </c>
      <c r="J220" s="21">
        <v>88.1</v>
      </c>
      <c r="K220" s="21">
        <v>86.6</v>
      </c>
      <c r="M220" s="9">
        <f t="shared" si="5"/>
        <v>0</v>
      </c>
      <c r="N220" s="9">
        <f t="shared" si="6"/>
        <v>0</v>
      </c>
      <c r="O220" s="9">
        <f t="shared" si="7"/>
        <v>0</v>
      </c>
    </row>
    <row r="221" spans="1:15" x14ac:dyDescent="0.25">
      <c r="A221" s="14">
        <v>43862</v>
      </c>
      <c r="B221" s="21">
        <v>78.900000000000006</v>
      </c>
      <c r="C221" s="21">
        <v>80.099999999999994</v>
      </c>
      <c r="D221" s="21">
        <v>78.7</v>
      </c>
      <c r="E221" s="7">
        <v>87.4</v>
      </c>
      <c r="F221" s="7">
        <v>89.3</v>
      </c>
      <c r="G221" s="7">
        <v>86.5</v>
      </c>
      <c r="I221" s="22">
        <v>87.4</v>
      </c>
      <c r="J221" s="21">
        <v>89.3</v>
      </c>
      <c r="K221" s="21">
        <v>86.5</v>
      </c>
      <c r="M221" s="9">
        <f t="shared" si="5"/>
        <v>0</v>
      </c>
      <c r="N221" s="9">
        <f t="shared" si="6"/>
        <v>0</v>
      </c>
      <c r="O221" s="9">
        <f t="shared" si="7"/>
        <v>0</v>
      </c>
    </row>
    <row r="222" spans="1:15" x14ac:dyDescent="0.25">
      <c r="A222" s="14">
        <v>43891</v>
      </c>
      <c r="B222" s="21">
        <v>77.900000000000006</v>
      </c>
      <c r="C222" s="21">
        <v>83.2</v>
      </c>
      <c r="D222" s="21">
        <v>77.2</v>
      </c>
      <c r="E222" s="7">
        <v>80.7</v>
      </c>
      <c r="F222" s="7">
        <v>87.6</v>
      </c>
      <c r="G222" s="7">
        <v>79.3</v>
      </c>
      <c r="I222" s="22">
        <v>80.7</v>
      </c>
      <c r="J222" s="21">
        <v>87.6</v>
      </c>
      <c r="K222" s="21">
        <v>79.3</v>
      </c>
      <c r="M222" s="9">
        <f t="shared" si="5"/>
        <v>0</v>
      </c>
      <c r="N222" s="9">
        <f t="shared" si="6"/>
        <v>0</v>
      </c>
      <c r="O222" s="9">
        <f t="shared" si="7"/>
        <v>0</v>
      </c>
    </row>
    <row r="223" spans="1:15" x14ac:dyDescent="0.25">
      <c r="A223" s="14">
        <v>43922</v>
      </c>
      <c r="B223" s="21">
        <v>60.3</v>
      </c>
      <c r="C223" s="21">
        <v>80.8</v>
      </c>
      <c r="D223" s="21">
        <v>57.7</v>
      </c>
      <c r="E223" s="7">
        <v>64.900000000000006</v>
      </c>
      <c r="F223" s="7">
        <v>87</v>
      </c>
      <c r="G223" s="7">
        <v>61</v>
      </c>
      <c r="I223" s="22">
        <v>64.900000000000006</v>
      </c>
      <c r="J223" s="21">
        <v>87</v>
      </c>
      <c r="K223" s="21">
        <v>61</v>
      </c>
      <c r="M223" s="9">
        <f t="shared" si="5"/>
        <v>0</v>
      </c>
      <c r="N223" s="9">
        <f t="shared" si="6"/>
        <v>0</v>
      </c>
      <c r="O223" s="9">
        <f t="shared" si="7"/>
        <v>0</v>
      </c>
    </row>
    <row r="224" spans="1:15" x14ac:dyDescent="0.25">
      <c r="A224" s="14">
        <v>43952</v>
      </c>
      <c r="B224" s="21">
        <v>71.2</v>
      </c>
      <c r="C224" s="21">
        <v>81.7</v>
      </c>
      <c r="D224" s="21">
        <v>69.900000000000006</v>
      </c>
      <c r="E224" s="7">
        <v>70.099999999999994</v>
      </c>
      <c r="F224" s="7">
        <v>81.7</v>
      </c>
      <c r="G224" s="7">
        <v>68.8</v>
      </c>
      <c r="I224" s="22">
        <v>70.099999999999994</v>
      </c>
      <c r="J224" s="21">
        <v>81.7</v>
      </c>
      <c r="K224" s="21">
        <v>68.8</v>
      </c>
      <c r="M224" s="9">
        <f t="shared" si="5"/>
        <v>0</v>
      </c>
      <c r="N224" s="9">
        <f t="shared" si="6"/>
        <v>0</v>
      </c>
      <c r="O224" s="9">
        <f t="shared" si="7"/>
        <v>0</v>
      </c>
    </row>
    <row r="225" spans="1:15" x14ac:dyDescent="0.25">
      <c r="A225" s="14">
        <v>43983</v>
      </c>
      <c r="B225" s="21">
        <v>78.400000000000006</v>
      </c>
      <c r="C225" s="21">
        <v>86.5</v>
      </c>
      <c r="D225" s="21">
        <v>77.400000000000006</v>
      </c>
      <c r="E225" s="7">
        <v>76.8</v>
      </c>
      <c r="F225" s="7">
        <v>86.6</v>
      </c>
      <c r="G225" s="7">
        <v>75.8</v>
      </c>
      <c r="I225" s="22">
        <v>76.8</v>
      </c>
      <c r="J225" s="21">
        <v>86.6</v>
      </c>
      <c r="K225" s="21">
        <v>75.8</v>
      </c>
      <c r="M225" s="9">
        <f t="shared" si="5"/>
        <v>0</v>
      </c>
      <c r="N225" s="9">
        <f t="shared" si="6"/>
        <v>0</v>
      </c>
      <c r="O225" s="9">
        <f t="shared" si="7"/>
        <v>0</v>
      </c>
    </row>
    <row r="226" spans="1:15" x14ac:dyDescent="0.25">
      <c r="A226" s="14">
        <v>44013</v>
      </c>
      <c r="B226" s="21">
        <v>91</v>
      </c>
      <c r="C226" s="21">
        <v>97.6</v>
      </c>
      <c r="D226" s="21">
        <v>90.2</v>
      </c>
      <c r="E226" s="7">
        <v>83.9</v>
      </c>
      <c r="F226" s="7">
        <v>93.9</v>
      </c>
      <c r="G226" s="7">
        <v>82.9</v>
      </c>
      <c r="I226" s="22">
        <v>83.9</v>
      </c>
      <c r="J226" s="21">
        <v>93.9</v>
      </c>
      <c r="K226" s="21">
        <v>82.9</v>
      </c>
      <c r="M226" s="9">
        <f t="shared" si="5"/>
        <v>0</v>
      </c>
      <c r="N226" s="9">
        <f t="shared" si="6"/>
        <v>0</v>
      </c>
      <c r="O226" s="9">
        <f t="shared" si="7"/>
        <v>0</v>
      </c>
    </row>
    <row r="227" spans="1:15" x14ac:dyDescent="0.25">
      <c r="A227" s="14">
        <v>44044</v>
      </c>
      <c r="B227" s="21">
        <v>93.9</v>
      </c>
      <c r="C227" s="21">
        <v>100.4</v>
      </c>
      <c r="D227" s="21">
        <v>93.1</v>
      </c>
      <c r="E227" s="7">
        <v>86.3</v>
      </c>
      <c r="F227" s="7">
        <v>94.4</v>
      </c>
      <c r="G227" s="7">
        <v>85.6</v>
      </c>
      <c r="I227" s="22">
        <v>86.3</v>
      </c>
      <c r="J227" s="21">
        <v>94.4</v>
      </c>
      <c r="K227" s="21">
        <v>85.6</v>
      </c>
      <c r="M227" s="9">
        <f t="shared" si="5"/>
        <v>0</v>
      </c>
      <c r="N227" s="9">
        <f t="shared" si="6"/>
        <v>0</v>
      </c>
      <c r="O227" s="9">
        <f t="shared" si="7"/>
        <v>0</v>
      </c>
    </row>
    <row r="228" spans="1:15" x14ac:dyDescent="0.25">
      <c r="A228" s="14">
        <v>44075</v>
      </c>
      <c r="B228" s="21">
        <v>95.4</v>
      </c>
      <c r="C228" s="21">
        <v>94.1</v>
      </c>
      <c r="D228" s="21">
        <v>95.5</v>
      </c>
      <c r="E228" s="7">
        <v>88.7</v>
      </c>
      <c r="F228" s="7">
        <v>90.4</v>
      </c>
      <c r="G228" s="7">
        <v>88.7</v>
      </c>
      <c r="I228" s="22">
        <v>88.7</v>
      </c>
      <c r="J228" s="7">
        <v>90.4</v>
      </c>
      <c r="K228" s="7">
        <v>88.7</v>
      </c>
      <c r="M228" s="9">
        <f t="shared" si="5"/>
        <v>0</v>
      </c>
      <c r="N228" s="9">
        <f t="shared" si="6"/>
        <v>0</v>
      </c>
      <c r="O228" s="9">
        <f t="shared" si="7"/>
        <v>0</v>
      </c>
    </row>
    <row r="229" spans="1:15" x14ac:dyDescent="0.25">
      <c r="A229" s="14">
        <v>44105</v>
      </c>
      <c r="B229" s="21">
        <v>97.3</v>
      </c>
      <c r="C229" s="21">
        <v>92.8</v>
      </c>
      <c r="D229" s="21">
        <v>97.9</v>
      </c>
      <c r="E229" s="7">
        <v>89.7</v>
      </c>
      <c r="F229" s="7">
        <v>87.9</v>
      </c>
      <c r="G229" s="7">
        <v>89.8</v>
      </c>
      <c r="I229" s="22">
        <v>89.7</v>
      </c>
      <c r="J229" s="7">
        <v>87.9</v>
      </c>
      <c r="K229" s="7">
        <v>89.8</v>
      </c>
      <c r="M229" s="9">
        <f t="shared" si="5"/>
        <v>0</v>
      </c>
      <c r="N229" s="9">
        <f t="shared" si="6"/>
        <v>0</v>
      </c>
      <c r="O229" s="9">
        <f t="shared" si="7"/>
        <v>0</v>
      </c>
    </row>
    <row r="230" spans="1:15" x14ac:dyDescent="0.25">
      <c r="A230" s="14">
        <v>44136</v>
      </c>
      <c r="B230" s="21">
        <v>90.2</v>
      </c>
      <c r="C230" s="21">
        <v>84.1</v>
      </c>
      <c r="D230" s="21">
        <v>91</v>
      </c>
      <c r="E230" s="7">
        <v>90.2</v>
      </c>
      <c r="F230" s="7">
        <v>83.7</v>
      </c>
      <c r="G230" s="7">
        <v>90.9</v>
      </c>
      <c r="I230" s="22">
        <v>90.2</v>
      </c>
      <c r="J230" s="7">
        <v>83.7</v>
      </c>
      <c r="K230" s="7">
        <v>90.9</v>
      </c>
      <c r="M230" s="9">
        <f t="shared" si="5"/>
        <v>0</v>
      </c>
      <c r="N230" s="9">
        <f t="shared" si="6"/>
        <v>0</v>
      </c>
      <c r="O230" s="9">
        <f t="shared" si="7"/>
        <v>0</v>
      </c>
    </row>
    <row r="231" spans="1:15" x14ac:dyDescent="0.25">
      <c r="A231" s="14">
        <v>44166</v>
      </c>
      <c r="B231">
        <v>83.3</v>
      </c>
      <c r="C231">
        <v>90.2</v>
      </c>
      <c r="D231">
        <v>82.5</v>
      </c>
      <c r="E231" s="7">
        <v>90.3</v>
      </c>
      <c r="F231" s="7">
        <v>87.4</v>
      </c>
      <c r="G231" s="7">
        <v>91.1</v>
      </c>
      <c r="I231" s="22">
        <v>90.3</v>
      </c>
      <c r="J231" s="7">
        <v>87.4</v>
      </c>
      <c r="K231" s="7">
        <v>91.1</v>
      </c>
      <c r="M231" s="9">
        <f t="shared" si="5"/>
        <v>0</v>
      </c>
      <c r="N231" s="9">
        <f t="shared" si="6"/>
        <v>0</v>
      </c>
      <c r="O231" s="9">
        <f t="shared" si="7"/>
        <v>0</v>
      </c>
    </row>
    <row r="232" spans="1:15" x14ac:dyDescent="0.25">
      <c r="A232" s="14">
        <v>44197</v>
      </c>
      <c r="B232">
        <v>81.900000000000006</v>
      </c>
      <c r="C232">
        <v>88</v>
      </c>
      <c r="D232">
        <v>81.099999999999994</v>
      </c>
      <c r="E232" s="7">
        <v>90.5</v>
      </c>
      <c r="F232" s="7">
        <v>88.6</v>
      </c>
      <c r="G232" s="7">
        <v>90.7</v>
      </c>
      <c r="I232" s="22">
        <v>90.5</v>
      </c>
      <c r="J232" s="7">
        <v>88.6</v>
      </c>
      <c r="K232" s="7">
        <v>90.7</v>
      </c>
      <c r="M232" s="9">
        <f t="shared" si="5"/>
        <v>0</v>
      </c>
      <c r="N232" s="9">
        <f t="shared" si="6"/>
        <v>0</v>
      </c>
      <c r="O232" s="9">
        <f t="shared" si="7"/>
        <v>0</v>
      </c>
    </row>
    <row r="233" spans="1:15" x14ac:dyDescent="0.25">
      <c r="A233" s="14">
        <v>44228</v>
      </c>
      <c r="B233">
        <v>79.099999999999994</v>
      </c>
      <c r="C233">
        <v>74.8</v>
      </c>
      <c r="D233">
        <v>79.7</v>
      </c>
      <c r="E233" s="7">
        <v>89.6</v>
      </c>
      <c r="F233" s="7">
        <v>83.5</v>
      </c>
      <c r="G233" s="7">
        <v>90.2</v>
      </c>
      <c r="I233" s="22">
        <v>89.6</v>
      </c>
      <c r="J233" s="7">
        <v>83.5</v>
      </c>
      <c r="K233" s="7">
        <v>90.2</v>
      </c>
      <c r="M233" s="9">
        <f t="shared" si="5"/>
        <v>0</v>
      </c>
      <c r="N233" s="9">
        <f t="shared" si="6"/>
        <v>0</v>
      </c>
      <c r="O233" s="9">
        <f t="shared" si="7"/>
        <v>0</v>
      </c>
    </row>
    <row r="234" spans="1:15" x14ac:dyDescent="0.25">
      <c r="A234" s="14">
        <v>44256</v>
      </c>
      <c r="B234">
        <v>86.1</v>
      </c>
      <c r="C234">
        <v>83.3</v>
      </c>
      <c r="D234">
        <v>86.5</v>
      </c>
      <c r="E234" s="7">
        <v>87.5</v>
      </c>
      <c r="F234" s="7">
        <v>88.4</v>
      </c>
      <c r="G234" s="7">
        <v>87.7</v>
      </c>
      <c r="I234" s="22">
        <v>87.5</v>
      </c>
      <c r="J234" s="7">
        <v>88.4</v>
      </c>
      <c r="K234" s="7">
        <v>87.7</v>
      </c>
      <c r="M234" s="9">
        <f t="shared" si="5"/>
        <v>0</v>
      </c>
      <c r="N234" s="9">
        <f t="shared" si="6"/>
        <v>0</v>
      </c>
      <c r="O234" s="9">
        <f t="shared" si="7"/>
        <v>0</v>
      </c>
    </row>
    <row r="235" spans="1:15" x14ac:dyDescent="0.25">
      <c r="A235" s="14">
        <v>44287</v>
      </c>
      <c r="B235">
        <v>81.3</v>
      </c>
      <c r="C235">
        <v>83.8</v>
      </c>
      <c r="D235">
        <v>81</v>
      </c>
      <c r="E235" s="7">
        <v>86.1</v>
      </c>
      <c r="F235" s="7">
        <v>89.8</v>
      </c>
      <c r="G235" s="7">
        <v>85.8</v>
      </c>
      <c r="I235" s="22">
        <v>86.1</v>
      </c>
      <c r="J235" s="7">
        <v>89.8</v>
      </c>
      <c r="K235" s="7">
        <v>85.8</v>
      </c>
      <c r="M235" s="9">
        <f t="shared" ref="M235:M243" si="8">(I235-E235)/E235</f>
        <v>0</v>
      </c>
      <c r="N235" s="9">
        <f t="shared" ref="N235:N243" si="9">(J235-F235)/F235</f>
        <v>0</v>
      </c>
      <c r="O235" s="9">
        <f t="shared" ref="O235:O243" si="10">(K235-G235)/G235</f>
        <v>0</v>
      </c>
    </row>
    <row r="236" spans="1:15" x14ac:dyDescent="0.25">
      <c r="A236" s="14">
        <v>44317</v>
      </c>
      <c r="B236">
        <v>88.4</v>
      </c>
      <c r="C236">
        <v>91.2</v>
      </c>
      <c r="D236">
        <v>88</v>
      </c>
      <c r="E236" s="7">
        <v>87.1</v>
      </c>
      <c r="F236" s="7">
        <v>91.4</v>
      </c>
      <c r="G236" s="7">
        <v>86.7</v>
      </c>
      <c r="I236" s="22">
        <v>87.1</v>
      </c>
      <c r="J236" s="7">
        <v>91.4</v>
      </c>
      <c r="K236" s="7">
        <v>86.7</v>
      </c>
      <c r="M236" s="9">
        <f t="shared" si="8"/>
        <v>0</v>
      </c>
      <c r="N236" s="9">
        <f t="shared" si="9"/>
        <v>0</v>
      </c>
      <c r="O236" s="9">
        <f t="shared" si="10"/>
        <v>0</v>
      </c>
    </row>
    <row r="237" spans="1:15" x14ac:dyDescent="0.25">
      <c r="A237" s="14">
        <v>44348</v>
      </c>
      <c r="B237">
        <v>87.9</v>
      </c>
      <c r="C237">
        <v>90.1</v>
      </c>
      <c r="D237">
        <v>87.6</v>
      </c>
      <c r="E237" s="7">
        <v>86.7</v>
      </c>
      <c r="F237" s="7">
        <v>90.4</v>
      </c>
      <c r="G237" s="7">
        <v>86.1</v>
      </c>
      <c r="I237" s="22">
        <v>86.7</v>
      </c>
      <c r="J237" s="7">
        <v>90.4</v>
      </c>
      <c r="K237" s="7">
        <v>86.1</v>
      </c>
      <c r="M237" s="9">
        <f t="shared" si="8"/>
        <v>0</v>
      </c>
      <c r="N237" s="9">
        <f t="shared" si="9"/>
        <v>0</v>
      </c>
      <c r="O237" s="9">
        <f t="shared" si="10"/>
        <v>0</v>
      </c>
    </row>
    <row r="238" spans="1:15" x14ac:dyDescent="0.25">
      <c r="A238" s="14">
        <v>44378</v>
      </c>
      <c r="B238">
        <v>92.2</v>
      </c>
      <c r="C238">
        <v>94.9</v>
      </c>
      <c r="D238">
        <v>91.9</v>
      </c>
      <c r="E238" s="7">
        <v>85.3</v>
      </c>
      <c r="F238" s="7">
        <v>91.3</v>
      </c>
      <c r="G238" s="7">
        <v>84.9</v>
      </c>
      <c r="I238" s="22">
        <v>85.3</v>
      </c>
      <c r="J238" s="7">
        <v>91.3</v>
      </c>
      <c r="K238" s="7">
        <v>84.9</v>
      </c>
      <c r="M238" s="9">
        <f t="shared" si="8"/>
        <v>0</v>
      </c>
      <c r="N238" s="9">
        <f t="shared" si="9"/>
        <v>0</v>
      </c>
      <c r="O238" s="9">
        <f t="shared" si="10"/>
        <v>0</v>
      </c>
    </row>
    <row r="239" spans="1:15" x14ac:dyDescent="0.25">
      <c r="A239" s="14">
        <v>44409</v>
      </c>
      <c r="B239">
        <v>93.4</v>
      </c>
      <c r="C239">
        <v>99</v>
      </c>
      <c r="D239">
        <v>92.7</v>
      </c>
      <c r="E239" s="7">
        <v>85.1</v>
      </c>
      <c r="F239" s="7">
        <v>92.5</v>
      </c>
      <c r="G239" s="7">
        <v>84.5</v>
      </c>
      <c r="I239" s="22">
        <v>85.1</v>
      </c>
      <c r="J239" s="7">
        <v>92.5</v>
      </c>
      <c r="K239" s="7">
        <v>84.5</v>
      </c>
      <c r="M239" s="9">
        <f t="shared" si="8"/>
        <v>0</v>
      </c>
      <c r="N239" s="9">
        <f t="shared" si="9"/>
        <v>0</v>
      </c>
      <c r="O239" s="9">
        <f t="shared" si="10"/>
        <v>0</v>
      </c>
    </row>
    <row r="240" spans="1:15" x14ac:dyDescent="0.25">
      <c r="A240" s="14">
        <v>44440</v>
      </c>
      <c r="B240">
        <v>91.5</v>
      </c>
      <c r="C240">
        <v>97</v>
      </c>
      <c r="D240">
        <v>90.8</v>
      </c>
      <c r="E240" s="7">
        <v>84.6</v>
      </c>
      <c r="F240" s="7">
        <v>92.9</v>
      </c>
      <c r="G240" s="7">
        <v>84.2</v>
      </c>
      <c r="I240" s="22">
        <v>84.6</v>
      </c>
      <c r="J240" s="7">
        <v>92.9</v>
      </c>
      <c r="K240" s="7">
        <v>84.2</v>
      </c>
      <c r="M240" s="9">
        <f t="shared" si="8"/>
        <v>0</v>
      </c>
      <c r="N240" s="9">
        <f t="shared" si="9"/>
        <v>0</v>
      </c>
      <c r="O240" s="9">
        <f t="shared" si="10"/>
        <v>0</v>
      </c>
    </row>
    <row r="241" spans="1:15" x14ac:dyDescent="0.25">
      <c r="A241" s="14">
        <v>44470</v>
      </c>
      <c r="B241">
        <v>89.7</v>
      </c>
      <c r="C241">
        <v>88.4</v>
      </c>
      <c r="D241">
        <v>89.9</v>
      </c>
      <c r="E241" s="7">
        <v>84.2</v>
      </c>
      <c r="F241" s="7">
        <v>83.7</v>
      </c>
      <c r="G241" s="7">
        <v>84.1</v>
      </c>
      <c r="I241" s="22">
        <v>84.2</v>
      </c>
      <c r="J241" s="7">
        <v>83.7</v>
      </c>
      <c r="K241" s="7">
        <v>84.1</v>
      </c>
      <c r="M241" s="9">
        <f t="shared" si="8"/>
        <v>0</v>
      </c>
      <c r="N241" s="9">
        <f t="shared" si="9"/>
        <v>0</v>
      </c>
      <c r="O241" s="9">
        <f t="shared" si="10"/>
        <v>0</v>
      </c>
    </row>
    <row r="242" spans="1:15" x14ac:dyDescent="0.25">
      <c r="A242" s="14">
        <v>44501</v>
      </c>
      <c r="B242">
        <v>86.2</v>
      </c>
      <c r="C242">
        <v>88.3</v>
      </c>
      <c r="D242">
        <v>85.9</v>
      </c>
      <c r="E242" s="7">
        <v>84.2</v>
      </c>
      <c r="F242" s="7">
        <v>87.9</v>
      </c>
      <c r="G242" s="7">
        <v>84</v>
      </c>
      <c r="I242" s="22">
        <v>84.2</v>
      </c>
      <c r="J242" s="7">
        <v>87.9</v>
      </c>
      <c r="K242" s="7">
        <v>84</v>
      </c>
      <c r="M242" s="9">
        <f t="shared" si="8"/>
        <v>0</v>
      </c>
      <c r="N242" s="9">
        <f t="shared" si="9"/>
        <v>0</v>
      </c>
      <c r="O242" s="9">
        <f t="shared" si="10"/>
        <v>0</v>
      </c>
    </row>
    <row r="243" spans="1:15" x14ac:dyDescent="0.25">
      <c r="A243" s="14">
        <v>44531</v>
      </c>
      <c r="B243">
        <v>79.2</v>
      </c>
      <c r="C243">
        <v>92.1</v>
      </c>
      <c r="D243">
        <v>77.599999999999994</v>
      </c>
      <c r="E243" s="7">
        <v>86.6</v>
      </c>
      <c r="F243" s="7">
        <v>89.3</v>
      </c>
      <c r="G243" s="7">
        <v>85.7</v>
      </c>
      <c r="I243" s="22">
        <v>86.6</v>
      </c>
      <c r="J243" s="7">
        <v>89.3</v>
      </c>
      <c r="K243" s="7">
        <v>85.7</v>
      </c>
      <c r="M243" s="9">
        <f t="shared" si="8"/>
        <v>0</v>
      </c>
      <c r="N243" s="9">
        <f t="shared" si="9"/>
        <v>0</v>
      </c>
      <c r="O243" s="9">
        <f t="shared" si="10"/>
        <v>0</v>
      </c>
    </row>
    <row r="244" spans="1:15" x14ac:dyDescent="0.25">
      <c r="A244" s="1"/>
    </row>
    <row r="245" spans="1:15" x14ac:dyDescent="0.25">
      <c r="A245" s="1"/>
    </row>
    <row r="246" spans="1:15" x14ac:dyDescent="0.25">
      <c r="A246" s="1"/>
    </row>
    <row r="247" spans="1:15" x14ac:dyDescent="0.25">
      <c r="A247" s="1"/>
    </row>
  </sheetData>
  <pageMargins left="0.511811024" right="0.511811024" top="0.78740157499999996" bottom="0.78740157499999996" header="0.31496062000000002" footer="0.31496062000000002"/>
  <drawing r:id="rId1"/>
  <legacy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366D150-FF77-435B-AEB5-C133A796D423}">
  <sheetPr codeName="Planilha11"/>
  <dimension ref="A1:S246"/>
  <sheetViews>
    <sheetView zoomScale="115" zoomScaleNormal="115" workbookViewId="0">
      <selection activeCell="AF8" sqref="AF8"/>
    </sheetView>
  </sheetViews>
  <sheetFormatPr defaultRowHeight="15" x14ac:dyDescent="0.25"/>
  <cols>
    <col min="1" max="1" width="11.85546875" bestFit="1" customWidth="1"/>
    <col min="2" max="2" width="19.85546875" bestFit="1" customWidth="1"/>
    <col min="3" max="3" width="15.140625" bestFit="1" customWidth="1"/>
    <col min="4" max="4" width="5.140625" customWidth="1"/>
    <col min="5" max="5" width="9.7109375" customWidth="1"/>
    <col min="6" max="6" width="12.28515625" bestFit="1" customWidth="1"/>
    <col min="7" max="7" width="7.28515625" bestFit="1" customWidth="1"/>
    <col min="15" max="15" width="5" customWidth="1"/>
    <col min="16" max="16" width="12.42578125" bestFit="1" customWidth="1"/>
    <col min="17" max="17" width="11.140625" bestFit="1" customWidth="1"/>
    <col min="18" max="18" width="5" customWidth="1"/>
    <col min="19" max="19" width="10.42578125" bestFit="1" customWidth="1"/>
  </cols>
  <sheetData>
    <row r="1" spans="1:19" x14ac:dyDescent="0.25">
      <c r="A1" s="12" t="s">
        <v>17</v>
      </c>
      <c r="E1" s="12" t="s">
        <v>18</v>
      </c>
      <c r="F1" s="12"/>
      <c r="G1" s="67" t="s">
        <v>137</v>
      </c>
    </row>
    <row r="2" spans="1:19" x14ac:dyDescent="0.25">
      <c r="A2" s="13" t="s">
        <v>9</v>
      </c>
      <c r="B2" s="13" t="s">
        <v>28</v>
      </c>
      <c r="C2" s="13" t="s">
        <v>19</v>
      </c>
      <c r="E2" s="13" t="s">
        <v>7</v>
      </c>
      <c r="F2" s="13" t="s">
        <v>25</v>
      </c>
      <c r="G2" s="13" t="s">
        <v>26</v>
      </c>
      <c r="H2" s="13" t="s">
        <v>125</v>
      </c>
      <c r="I2" s="13" t="s">
        <v>126</v>
      </c>
      <c r="J2" s="75" t="s">
        <v>26</v>
      </c>
      <c r="K2" s="75" t="s">
        <v>125</v>
      </c>
      <c r="L2" s="75" t="s">
        <v>126</v>
      </c>
      <c r="M2" s="75" t="s">
        <v>139</v>
      </c>
      <c r="N2" s="75" t="s">
        <v>138</v>
      </c>
      <c r="P2" s="13" t="s">
        <v>127</v>
      </c>
      <c r="Q2" s="13" t="s">
        <v>128</v>
      </c>
      <c r="S2" s="13" t="s">
        <v>21</v>
      </c>
    </row>
    <row r="3" spans="1:19" x14ac:dyDescent="0.25">
      <c r="A3" s="14">
        <v>37257</v>
      </c>
      <c r="B3" s="21">
        <v>72.400000000000006</v>
      </c>
      <c r="C3" s="7">
        <v>77.7</v>
      </c>
      <c r="E3" s="22" cm="1">
        <f t="array" ref="E3:I242">ROUND(xlDESSAZ($A$3:$A$242,$B$3:$B$242,$E$2:$I$2,,,Specs!$B$5),1)</f>
        <v>77.7</v>
      </c>
      <c r="F3" s="21">
        <v>79.7</v>
      </c>
      <c r="G3" s="20">
        <v>-2</v>
      </c>
      <c r="H3" s="7">
        <v>-6.5</v>
      </c>
      <c r="I3" s="7">
        <v>1.2</v>
      </c>
      <c r="J3" s="76">
        <f>G3/$B3</f>
        <v>-2.7624309392265192E-2</v>
      </c>
      <c r="K3" s="76">
        <f t="shared" ref="K3:L3" si="0">H3/$B3</f>
        <v>-8.9779005524861871E-2</v>
      </c>
      <c r="L3" s="76">
        <f t="shared" si="0"/>
        <v>1.6574585635359115E-2</v>
      </c>
      <c r="M3" s="76" t="e">
        <f>IF($A3&gt;=DATE(2020,3,1),99999999,NA())</f>
        <v>#N/A</v>
      </c>
      <c r="N3" s="76" t="e">
        <f>IF($A3&gt;=DATE(2020,3,1),-99999999,NA())</f>
        <v>#N/A</v>
      </c>
      <c r="O3" s="7"/>
      <c r="P3" s="7">
        <f>F3+G3+H3+I3</f>
        <v>72.400000000000006</v>
      </c>
      <c r="Q3" s="7">
        <f>G3+F3</f>
        <v>77.7</v>
      </c>
      <c r="R3" s="7"/>
      <c r="S3" s="9">
        <f t="shared" ref="S3:S67" si="1">(E3-C3)/C3</f>
        <v>0</v>
      </c>
    </row>
    <row r="4" spans="1:19" x14ac:dyDescent="0.25">
      <c r="A4" s="14">
        <v>37288</v>
      </c>
      <c r="B4" s="21">
        <v>69.7</v>
      </c>
      <c r="C4" s="7">
        <v>80.2</v>
      </c>
      <c r="E4" s="22">
        <v>80.2</v>
      </c>
      <c r="F4" s="21">
        <v>79.7</v>
      </c>
      <c r="G4" s="20">
        <v>0.4</v>
      </c>
      <c r="H4" s="7">
        <v>-9.4</v>
      </c>
      <c r="I4" s="7">
        <v>-1.1000000000000001</v>
      </c>
      <c r="J4" s="76">
        <f t="shared" ref="J4:J67" si="2">G4/$B4</f>
        <v>5.7388809182209472E-3</v>
      </c>
      <c r="K4" s="76">
        <f t="shared" ref="K4:K67" si="3">H4/$B4</f>
        <v>-0.13486370157819225</v>
      </c>
      <c r="L4" s="76">
        <f t="shared" ref="L4:L67" si="4">I4/$B4</f>
        <v>-1.5781922525107604E-2</v>
      </c>
      <c r="M4" s="76" t="e">
        <f t="shared" ref="M4:N67" si="5">IF($A4&gt;=DATE(2020,3,1),99999999,NA())</f>
        <v>#N/A</v>
      </c>
      <c r="N4" s="76" t="e">
        <f t="shared" ref="N4:N67" si="6">IF($A4&gt;=DATE(2020,3,1),-99999999,NA())</f>
        <v>#N/A</v>
      </c>
      <c r="P4" s="7">
        <f t="shared" ref="P4:P67" si="7">F4+G4+H4+I4</f>
        <v>69.600000000000009</v>
      </c>
      <c r="Q4" s="7">
        <f t="shared" ref="Q4:Q67" si="8">G4+F4</f>
        <v>80.100000000000009</v>
      </c>
      <c r="S4" s="9">
        <f t="shared" si="1"/>
        <v>0</v>
      </c>
    </row>
    <row r="5" spans="1:19" x14ac:dyDescent="0.25">
      <c r="A5" s="14">
        <v>37316</v>
      </c>
      <c r="B5" s="21">
        <v>77.400000000000006</v>
      </c>
      <c r="C5" s="7">
        <v>79.8</v>
      </c>
      <c r="E5" s="22">
        <v>79.8</v>
      </c>
      <c r="F5" s="21">
        <v>79.7</v>
      </c>
      <c r="G5" s="20">
        <v>0.2</v>
      </c>
      <c r="H5" s="7">
        <v>0.6</v>
      </c>
      <c r="I5" s="7">
        <v>-3</v>
      </c>
      <c r="J5" s="76">
        <f t="shared" si="2"/>
        <v>2.5839793281653748E-3</v>
      </c>
      <c r="K5" s="76">
        <f t="shared" si="3"/>
        <v>7.7519379844961231E-3</v>
      </c>
      <c r="L5" s="76">
        <f t="shared" si="4"/>
        <v>-3.875968992248062E-2</v>
      </c>
      <c r="M5" s="76" t="e">
        <f t="shared" si="5"/>
        <v>#N/A</v>
      </c>
      <c r="N5" s="76" t="e">
        <f t="shared" si="6"/>
        <v>#N/A</v>
      </c>
      <c r="P5" s="7">
        <f t="shared" si="7"/>
        <v>77.5</v>
      </c>
      <c r="Q5" s="7">
        <f t="shared" si="8"/>
        <v>79.900000000000006</v>
      </c>
      <c r="S5" s="9">
        <f t="shared" si="1"/>
        <v>0</v>
      </c>
    </row>
    <row r="6" spans="1:19" x14ac:dyDescent="0.25">
      <c r="A6" s="14">
        <v>37347</v>
      </c>
      <c r="B6" s="21">
        <v>79.599999999999994</v>
      </c>
      <c r="C6" s="7">
        <v>79.599999999999994</v>
      </c>
      <c r="E6" s="22">
        <v>79.599999999999994</v>
      </c>
      <c r="F6" s="21">
        <v>79.599999999999994</v>
      </c>
      <c r="G6" s="20">
        <v>0</v>
      </c>
      <c r="H6" s="7">
        <v>-2.8</v>
      </c>
      <c r="I6" s="7">
        <v>2.8</v>
      </c>
      <c r="J6" s="76">
        <f t="shared" si="2"/>
        <v>0</v>
      </c>
      <c r="K6" s="76">
        <f t="shared" si="3"/>
        <v>-3.5175879396984924E-2</v>
      </c>
      <c r="L6" s="76">
        <f t="shared" si="4"/>
        <v>3.5175879396984924E-2</v>
      </c>
      <c r="M6" s="76" t="e">
        <f t="shared" si="5"/>
        <v>#N/A</v>
      </c>
      <c r="N6" s="76" t="e">
        <f t="shared" si="6"/>
        <v>#N/A</v>
      </c>
      <c r="P6" s="7">
        <f t="shared" si="7"/>
        <v>79.599999999999994</v>
      </c>
      <c r="Q6" s="7">
        <f t="shared" si="8"/>
        <v>79.599999999999994</v>
      </c>
      <c r="S6" s="9">
        <f t="shared" si="1"/>
        <v>0</v>
      </c>
    </row>
    <row r="7" spans="1:19" x14ac:dyDescent="0.25">
      <c r="A7" s="14">
        <v>37377</v>
      </c>
      <c r="B7" s="21">
        <v>80.400000000000006</v>
      </c>
      <c r="C7" s="7">
        <v>79.099999999999994</v>
      </c>
      <c r="E7" s="22">
        <v>79.099999999999994</v>
      </c>
      <c r="F7" s="21">
        <v>79.400000000000006</v>
      </c>
      <c r="G7" s="20">
        <v>-0.4</v>
      </c>
      <c r="H7" s="7">
        <v>0.9</v>
      </c>
      <c r="I7" s="7">
        <v>0.4</v>
      </c>
      <c r="J7" s="76">
        <f t="shared" si="2"/>
        <v>-4.9751243781094526E-3</v>
      </c>
      <c r="K7" s="76">
        <f t="shared" si="3"/>
        <v>1.1194029850746268E-2</v>
      </c>
      <c r="L7" s="76">
        <f t="shared" si="4"/>
        <v>4.9751243781094526E-3</v>
      </c>
      <c r="M7" s="76" t="e">
        <f t="shared" si="5"/>
        <v>#N/A</v>
      </c>
      <c r="N7" s="76" t="e">
        <f t="shared" si="6"/>
        <v>#N/A</v>
      </c>
      <c r="P7" s="7">
        <f t="shared" si="7"/>
        <v>80.300000000000011</v>
      </c>
      <c r="Q7" s="7">
        <f t="shared" si="8"/>
        <v>79</v>
      </c>
      <c r="S7" s="9">
        <f t="shared" si="1"/>
        <v>0</v>
      </c>
    </row>
    <row r="8" spans="1:19" x14ac:dyDescent="0.25">
      <c r="A8" s="14">
        <v>37408</v>
      </c>
      <c r="B8" s="21">
        <v>77.5</v>
      </c>
      <c r="C8" s="7">
        <v>79.400000000000006</v>
      </c>
      <c r="E8" s="22">
        <v>79.400000000000006</v>
      </c>
      <c r="F8" s="21">
        <v>79.400000000000006</v>
      </c>
      <c r="G8" s="20">
        <v>0.1</v>
      </c>
      <c r="H8" s="7">
        <v>-0.6</v>
      </c>
      <c r="I8" s="7">
        <v>-1.4</v>
      </c>
      <c r="J8" s="76">
        <f t="shared" si="2"/>
        <v>1.2903225806451613E-3</v>
      </c>
      <c r="K8" s="76">
        <f t="shared" si="3"/>
        <v>-7.7419354838709677E-3</v>
      </c>
      <c r="L8" s="76">
        <f t="shared" si="4"/>
        <v>-1.8064516129032256E-2</v>
      </c>
      <c r="M8" s="76" t="e">
        <f t="shared" si="5"/>
        <v>#N/A</v>
      </c>
      <c r="N8" s="76" t="e">
        <f t="shared" si="6"/>
        <v>#N/A</v>
      </c>
      <c r="P8" s="7">
        <f t="shared" si="7"/>
        <v>77.5</v>
      </c>
      <c r="Q8" s="7">
        <f t="shared" si="8"/>
        <v>79.5</v>
      </c>
      <c r="S8" s="9">
        <f t="shared" si="1"/>
        <v>0</v>
      </c>
    </row>
    <row r="9" spans="1:19" x14ac:dyDescent="0.25">
      <c r="A9" s="14">
        <v>37438</v>
      </c>
      <c r="B9" s="21">
        <v>83.3</v>
      </c>
      <c r="C9" s="7">
        <v>79.7</v>
      </c>
      <c r="E9" s="22">
        <v>79.7</v>
      </c>
      <c r="F9" s="21">
        <v>79.400000000000006</v>
      </c>
      <c r="G9" s="20">
        <v>0.4</v>
      </c>
      <c r="H9" s="7">
        <v>2.6</v>
      </c>
      <c r="I9" s="7">
        <v>1</v>
      </c>
      <c r="J9" s="76">
        <f t="shared" si="2"/>
        <v>4.8019207683073235E-3</v>
      </c>
      <c r="K9" s="76">
        <f t="shared" si="3"/>
        <v>3.1212484993997602E-2</v>
      </c>
      <c r="L9" s="76">
        <f t="shared" si="4"/>
        <v>1.2004801920768308E-2</v>
      </c>
      <c r="M9" s="76" t="e">
        <f t="shared" si="5"/>
        <v>#N/A</v>
      </c>
      <c r="N9" s="76" t="e">
        <f t="shared" si="6"/>
        <v>#N/A</v>
      </c>
      <c r="P9" s="7">
        <f t="shared" si="7"/>
        <v>83.4</v>
      </c>
      <c r="Q9" s="7">
        <f t="shared" si="8"/>
        <v>79.800000000000011</v>
      </c>
      <c r="S9" s="9">
        <f t="shared" si="1"/>
        <v>0</v>
      </c>
    </row>
    <row r="10" spans="1:19" x14ac:dyDescent="0.25">
      <c r="A10" s="14">
        <v>37469</v>
      </c>
      <c r="B10" s="21">
        <v>83.6</v>
      </c>
      <c r="C10" s="7">
        <v>78.599999999999994</v>
      </c>
      <c r="E10" s="22">
        <v>78.599999999999994</v>
      </c>
      <c r="F10" s="21">
        <v>79.5</v>
      </c>
      <c r="G10" s="20">
        <v>-0.9</v>
      </c>
      <c r="H10" s="7">
        <v>4.5</v>
      </c>
      <c r="I10" s="7">
        <v>0.5</v>
      </c>
      <c r="J10" s="76">
        <f t="shared" si="2"/>
        <v>-1.076555023923445E-2</v>
      </c>
      <c r="K10" s="76">
        <f t="shared" si="3"/>
        <v>5.3827751196172252E-2</v>
      </c>
      <c r="L10" s="76">
        <f t="shared" si="4"/>
        <v>5.9808612440191387E-3</v>
      </c>
      <c r="M10" s="76" t="e">
        <f t="shared" si="5"/>
        <v>#N/A</v>
      </c>
      <c r="N10" s="76" t="e">
        <f t="shared" si="6"/>
        <v>#N/A</v>
      </c>
      <c r="P10" s="7">
        <f t="shared" si="7"/>
        <v>83.6</v>
      </c>
      <c r="Q10" s="7">
        <f t="shared" si="8"/>
        <v>78.599999999999994</v>
      </c>
      <c r="S10" s="9">
        <f t="shared" si="1"/>
        <v>0</v>
      </c>
    </row>
    <row r="11" spans="1:19" x14ac:dyDescent="0.25">
      <c r="A11" s="14">
        <v>37500</v>
      </c>
      <c r="B11" s="21">
        <v>82.1</v>
      </c>
      <c r="C11" s="7">
        <v>79.599999999999994</v>
      </c>
      <c r="E11" s="22">
        <v>79.599999999999994</v>
      </c>
      <c r="F11" s="21">
        <v>79.599999999999994</v>
      </c>
      <c r="G11" s="20">
        <v>0</v>
      </c>
      <c r="H11" s="7">
        <v>3.6</v>
      </c>
      <c r="I11" s="7">
        <v>-1.1000000000000001</v>
      </c>
      <c r="J11" s="76">
        <f t="shared" si="2"/>
        <v>0</v>
      </c>
      <c r="K11" s="76">
        <f t="shared" si="3"/>
        <v>4.38489646772229E-2</v>
      </c>
      <c r="L11" s="76">
        <f t="shared" si="4"/>
        <v>-1.3398294762484777E-2</v>
      </c>
      <c r="M11" s="76" t="e">
        <f t="shared" si="5"/>
        <v>#N/A</v>
      </c>
      <c r="N11" s="76" t="e">
        <f t="shared" si="6"/>
        <v>#N/A</v>
      </c>
      <c r="P11" s="7">
        <f t="shared" si="7"/>
        <v>82.1</v>
      </c>
      <c r="Q11" s="7">
        <f t="shared" si="8"/>
        <v>79.599999999999994</v>
      </c>
      <c r="S11" s="9">
        <f t="shared" si="1"/>
        <v>0</v>
      </c>
    </row>
    <row r="12" spans="1:19" x14ac:dyDescent="0.25">
      <c r="A12" s="14">
        <v>37530</v>
      </c>
      <c r="B12" s="21">
        <v>89.2</v>
      </c>
      <c r="C12" s="7">
        <v>80.099999999999994</v>
      </c>
      <c r="E12" s="22">
        <v>80.099999999999994</v>
      </c>
      <c r="F12" s="21">
        <v>79.8</v>
      </c>
      <c r="G12" s="20">
        <v>0.4</v>
      </c>
      <c r="H12" s="7">
        <v>7.8</v>
      </c>
      <c r="I12" s="7">
        <v>1.2</v>
      </c>
      <c r="J12" s="76">
        <f t="shared" si="2"/>
        <v>4.4843049327354259E-3</v>
      </c>
      <c r="K12" s="76">
        <f t="shared" si="3"/>
        <v>8.7443946188340796E-2</v>
      </c>
      <c r="L12" s="76">
        <f t="shared" si="4"/>
        <v>1.3452914798206277E-2</v>
      </c>
      <c r="M12" s="76" t="e">
        <f t="shared" si="5"/>
        <v>#N/A</v>
      </c>
      <c r="N12" s="76" t="e">
        <f t="shared" si="6"/>
        <v>#N/A</v>
      </c>
      <c r="P12" s="7">
        <f t="shared" si="7"/>
        <v>89.2</v>
      </c>
      <c r="Q12" s="7">
        <f t="shared" si="8"/>
        <v>80.2</v>
      </c>
      <c r="S12" s="9">
        <f t="shared" si="1"/>
        <v>0</v>
      </c>
    </row>
    <row r="13" spans="1:19" x14ac:dyDescent="0.25">
      <c r="A13" s="14">
        <v>37561</v>
      </c>
      <c r="B13" s="21">
        <v>83.9</v>
      </c>
      <c r="C13" s="7">
        <v>80.3</v>
      </c>
      <c r="E13" s="22">
        <v>80.3</v>
      </c>
      <c r="F13" s="21">
        <v>79.900000000000006</v>
      </c>
      <c r="G13" s="20">
        <v>0.4</v>
      </c>
      <c r="H13" s="7">
        <v>3.7</v>
      </c>
      <c r="I13" s="7">
        <v>-0.1</v>
      </c>
      <c r="J13" s="76">
        <f t="shared" si="2"/>
        <v>4.7675804529201428E-3</v>
      </c>
      <c r="K13" s="76">
        <f t="shared" si="3"/>
        <v>4.4100119189511323E-2</v>
      </c>
      <c r="L13" s="76">
        <f t="shared" si="4"/>
        <v>-1.1918951132300357E-3</v>
      </c>
      <c r="M13" s="76" t="e">
        <f t="shared" si="5"/>
        <v>#N/A</v>
      </c>
      <c r="N13" s="76" t="e">
        <f t="shared" si="6"/>
        <v>#N/A</v>
      </c>
      <c r="P13" s="7">
        <f t="shared" si="7"/>
        <v>83.90000000000002</v>
      </c>
      <c r="Q13" s="7">
        <f t="shared" si="8"/>
        <v>80.300000000000011</v>
      </c>
      <c r="S13" s="9">
        <f t="shared" si="1"/>
        <v>0</v>
      </c>
    </row>
    <row r="14" spans="1:19" x14ac:dyDescent="0.25">
      <c r="A14" s="14">
        <v>37591</v>
      </c>
      <c r="B14" s="21">
        <v>74.599999999999994</v>
      </c>
      <c r="C14" s="7">
        <v>79.599999999999994</v>
      </c>
      <c r="E14" s="22">
        <v>79.599999999999994</v>
      </c>
      <c r="F14" s="21">
        <v>79.900000000000006</v>
      </c>
      <c r="G14" s="20">
        <v>-0.4</v>
      </c>
      <c r="H14" s="7">
        <v>-4.4000000000000004</v>
      </c>
      <c r="I14" s="7">
        <v>-0.6</v>
      </c>
      <c r="J14" s="76">
        <f t="shared" si="2"/>
        <v>-5.3619302949061672E-3</v>
      </c>
      <c r="K14" s="76">
        <f t="shared" si="3"/>
        <v>-5.898123324396784E-2</v>
      </c>
      <c r="L14" s="76">
        <f t="shared" si="4"/>
        <v>-8.0428954423592495E-3</v>
      </c>
      <c r="M14" s="76" t="e">
        <f t="shared" si="5"/>
        <v>#N/A</v>
      </c>
      <c r="N14" s="76" t="e">
        <f t="shared" si="6"/>
        <v>#N/A</v>
      </c>
      <c r="P14" s="7">
        <f t="shared" si="7"/>
        <v>74.5</v>
      </c>
      <c r="Q14" s="7">
        <f t="shared" si="8"/>
        <v>79.5</v>
      </c>
      <c r="S14" s="9">
        <f t="shared" si="1"/>
        <v>0</v>
      </c>
    </row>
    <row r="15" spans="1:19" x14ac:dyDescent="0.25">
      <c r="A15" s="14">
        <v>37622</v>
      </c>
      <c r="B15" s="21">
        <v>74</v>
      </c>
      <c r="C15" s="7">
        <v>79.7</v>
      </c>
      <c r="E15" s="22">
        <v>79.7</v>
      </c>
      <c r="F15" s="21">
        <v>79.900000000000006</v>
      </c>
      <c r="G15" s="20">
        <v>-0.1</v>
      </c>
      <c r="H15" s="7">
        <v>-6.4</v>
      </c>
      <c r="I15" s="7">
        <v>0.7</v>
      </c>
      <c r="J15" s="76">
        <f t="shared" si="2"/>
        <v>-1.3513513513513514E-3</v>
      </c>
      <c r="K15" s="76">
        <f t="shared" si="3"/>
        <v>-8.6486486486486491E-2</v>
      </c>
      <c r="L15" s="76">
        <f t="shared" si="4"/>
        <v>9.4594594594594582E-3</v>
      </c>
      <c r="M15" s="76" t="e">
        <f t="shared" si="5"/>
        <v>#N/A</v>
      </c>
      <c r="N15" s="76" t="e">
        <f t="shared" si="6"/>
        <v>#N/A</v>
      </c>
      <c r="P15" s="7">
        <f t="shared" si="7"/>
        <v>74.100000000000009</v>
      </c>
      <c r="Q15" s="7">
        <f t="shared" si="8"/>
        <v>79.800000000000011</v>
      </c>
      <c r="S15" s="9">
        <f t="shared" si="1"/>
        <v>0</v>
      </c>
    </row>
    <row r="16" spans="1:19" x14ac:dyDescent="0.25">
      <c r="A16" s="14">
        <v>37653</v>
      </c>
      <c r="B16" s="21">
        <v>71.8</v>
      </c>
      <c r="C16" s="7">
        <v>79.7</v>
      </c>
      <c r="E16" s="22">
        <v>79.7</v>
      </c>
      <c r="F16" s="21">
        <v>79.7</v>
      </c>
      <c r="G16" s="20">
        <v>0</v>
      </c>
      <c r="H16" s="7">
        <v>-9.5</v>
      </c>
      <c r="I16" s="7">
        <v>1.6</v>
      </c>
      <c r="J16" s="76">
        <f t="shared" si="2"/>
        <v>0</v>
      </c>
      <c r="K16" s="76">
        <f t="shared" si="3"/>
        <v>-0.13231197771587744</v>
      </c>
      <c r="L16" s="76">
        <f t="shared" si="4"/>
        <v>2.2284122562674098E-2</v>
      </c>
      <c r="M16" s="76" t="e">
        <f t="shared" si="5"/>
        <v>#N/A</v>
      </c>
      <c r="N16" s="76" t="e">
        <f t="shared" si="6"/>
        <v>#N/A</v>
      </c>
      <c r="P16" s="7">
        <f t="shared" si="7"/>
        <v>71.8</v>
      </c>
      <c r="Q16" s="7">
        <f t="shared" si="8"/>
        <v>79.7</v>
      </c>
      <c r="S16" s="9">
        <f t="shared" si="1"/>
        <v>0</v>
      </c>
    </row>
    <row r="17" spans="1:19" x14ac:dyDescent="0.25">
      <c r="A17" s="14">
        <v>37681</v>
      </c>
      <c r="B17" s="21">
        <v>77.400000000000006</v>
      </c>
      <c r="C17" s="7">
        <v>79.8</v>
      </c>
      <c r="E17" s="22">
        <v>79.8</v>
      </c>
      <c r="F17" s="21">
        <v>79.3</v>
      </c>
      <c r="G17" s="20">
        <v>0.5</v>
      </c>
      <c r="H17" s="7">
        <v>0.4</v>
      </c>
      <c r="I17" s="7">
        <v>-2.8</v>
      </c>
      <c r="J17" s="76">
        <f t="shared" si="2"/>
        <v>6.4599483204134363E-3</v>
      </c>
      <c r="K17" s="76">
        <f t="shared" si="3"/>
        <v>5.1679586563307496E-3</v>
      </c>
      <c r="L17" s="76">
        <f t="shared" si="4"/>
        <v>-3.6175710594315243E-2</v>
      </c>
      <c r="M17" s="76" t="e">
        <f t="shared" si="5"/>
        <v>#N/A</v>
      </c>
      <c r="N17" s="76" t="e">
        <f t="shared" si="6"/>
        <v>#N/A</v>
      </c>
      <c r="P17" s="7">
        <f t="shared" si="7"/>
        <v>77.400000000000006</v>
      </c>
      <c r="Q17" s="7">
        <f t="shared" si="8"/>
        <v>79.8</v>
      </c>
      <c r="S17" s="9">
        <f t="shared" si="1"/>
        <v>0</v>
      </c>
    </row>
    <row r="18" spans="1:19" x14ac:dyDescent="0.25">
      <c r="A18" s="14">
        <v>37712</v>
      </c>
      <c r="B18" s="21">
        <v>76.5</v>
      </c>
      <c r="C18" s="7">
        <v>79.400000000000006</v>
      </c>
      <c r="E18" s="22">
        <v>79.400000000000006</v>
      </c>
      <c r="F18" s="21">
        <v>78.8</v>
      </c>
      <c r="G18" s="20">
        <v>0.6</v>
      </c>
      <c r="H18" s="7">
        <v>-2.8</v>
      </c>
      <c r="I18" s="7">
        <v>-0.1</v>
      </c>
      <c r="J18" s="76">
        <f t="shared" si="2"/>
        <v>7.8431372549019607E-3</v>
      </c>
      <c r="K18" s="76">
        <f t="shared" si="3"/>
        <v>-3.6601307189542479E-2</v>
      </c>
      <c r="L18" s="76">
        <f t="shared" si="4"/>
        <v>-1.3071895424836603E-3</v>
      </c>
      <c r="M18" s="76" t="e">
        <f t="shared" si="5"/>
        <v>#N/A</v>
      </c>
      <c r="N18" s="76" t="e">
        <f t="shared" si="6"/>
        <v>#N/A</v>
      </c>
      <c r="P18" s="7">
        <f t="shared" si="7"/>
        <v>76.5</v>
      </c>
      <c r="Q18" s="7">
        <f t="shared" si="8"/>
        <v>79.399999999999991</v>
      </c>
      <c r="S18" s="9">
        <f t="shared" si="1"/>
        <v>0</v>
      </c>
    </row>
    <row r="19" spans="1:19" x14ac:dyDescent="0.25">
      <c r="A19" s="14">
        <v>37742</v>
      </c>
      <c r="B19" s="21">
        <v>79.7</v>
      </c>
      <c r="C19" s="7">
        <v>77.8</v>
      </c>
      <c r="E19" s="22">
        <v>77.8</v>
      </c>
      <c r="F19" s="21">
        <v>78.5</v>
      </c>
      <c r="G19" s="20">
        <v>-0.6</v>
      </c>
      <c r="H19" s="7">
        <v>1.1000000000000001</v>
      </c>
      <c r="I19" s="7">
        <v>0.8</v>
      </c>
      <c r="J19" s="76">
        <f t="shared" si="2"/>
        <v>-7.5282308657465494E-3</v>
      </c>
      <c r="K19" s="76">
        <f t="shared" si="3"/>
        <v>1.3801756587202008E-2</v>
      </c>
      <c r="L19" s="76">
        <f t="shared" si="4"/>
        <v>1.0037641154328734E-2</v>
      </c>
      <c r="M19" s="76" t="e">
        <f t="shared" si="5"/>
        <v>#N/A</v>
      </c>
      <c r="N19" s="76" t="e">
        <f t="shared" si="6"/>
        <v>#N/A</v>
      </c>
      <c r="P19" s="7">
        <f t="shared" si="7"/>
        <v>79.8</v>
      </c>
      <c r="Q19" s="7">
        <f t="shared" si="8"/>
        <v>77.900000000000006</v>
      </c>
      <c r="S19" s="9">
        <f t="shared" si="1"/>
        <v>0</v>
      </c>
    </row>
    <row r="20" spans="1:19" x14ac:dyDescent="0.25">
      <c r="A20" s="14">
        <v>37773</v>
      </c>
      <c r="B20" s="21">
        <v>76.3</v>
      </c>
      <c r="C20" s="7">
        <v>78.2</v>
      </c>
      <c r="E20" s="22">
        <v>78.2</v>
      </c>
      <c r="F20" s="21">
        <v>78.3</v>
      </c>
      <c r="G20" s="20">
        <v>-0.2</v>
      </c>
      <c r="H20" s="7">
        <v>-0.5</v>
      </c>
      <c r="I20" s="7">
        <v>-1.4</v>
      </c>
      <c r="J20" s="76">
        <f t="shared" si="2"/>
        <v>-2.6212319790301446E-3</v>
      </c>
      <c r="K20" s="76">
        <f t="shared" si="3"/>
        <v>-6.5530799475753609E-3</v>
      </c>
      <c r="L20" s="76">
        <f t="shared" si="4"/>
        <v>-1.834862385321101E-2</v>
      </c>
      <c r="M20" s="76" t="e">
        <f t="shared" si="5"/>
        <v>#N/A</v>
      </c>
      <c r="N20" s="76" t="e">
        <f t="shared" si="6"/>
        <v>#N/A</v>
      </c>
      <c r="P20" s="7">
        <f t="shared" si="7"/>
        <v>76.199999999999989</v>
      </c>
      <c r="Q20" s="7">
        <f t="shared" si="8"/>
        <v>78.099999999999994</v>
      </c>
      <c r="S20" s="9">
        <f t="shared" si="1"/>
        <v>0</v>
      </c>
    </row>
    <row r="21" spans="1:19" x14ac:dyDescent="0.25">
      <c r="A21" s="14">
        <v>37803</v>
      </c>
      <c r="B21" s="21">
        <v>81.3</v>
      </c>
      <c r="C21" s="7">
        <v>77.400000000000006</v>
      </c>
      <c r="E21" s="22">
        <v>77.400000000000006</v>
      </c>
      <c r="F21" s="21">
        <v>78.599999999999994</v>
      </c>
      <c r="G21" s="20">
        <v>-1.2</v>
      </c>
      <c r="H21" s="7">
        <v>2.7</v>
      </c>
      <c r="I21" s="7">
        <v>1.2</v>
      </c>
      <c r="J21" s="76">
        <f t="shared" si="2"/>
        <v>-1.4760147601476014E-2</v>
      </c>
      <c r="K21" s="76">
        <f t="shared" si="3"/>
        <v>3.3210332103321034E-2</v>
      </c>
      <c r="L21" s="76">
        <f t="shared" si="4"/>
        <v>1.4760147601476014E-2</v>
      </c>
      <c r="M21" s="76" t="e">
        <f t="shared" si="5"/>
        <v>#N/A</v>
      </c>
      <c r="N21" s="76" t="e">
        <f t="shared" si="6"/>
        <v>#N/A</v>
      </c>
      <c r="P21" s="7">
        <f t="shared" si="7"/>
        <v>81.3</v>
      </c>
      <c r="Q21" s="7">
        <f t="shared" si="8"/>
        <v>77.399999999999991</v>
      </c>
      <c r="S21" s="9">
        <f t="shared" si="1"/>
        <v>0</v>
      </c>
    </row>
    <row r="22" spans="1:19" x14ac:dyDescent="0.25">
      <c r="A22" s="14">
        <v>37834</v>
      </c>
      <c r="B22" s="21">
        <v>81.599999999999994</v>
      </c>
      <c r="C22" s="7">
        <v>78.5</v>
      </c>
      <c r="E22" s="22">
        <v>78.5</v>
      </c>
      <c r="F22" s="21">
        <v>79.2</v>
      </c>
      <c r="G22" s="20">
        <v>-0.7</v>
      </c>
      <c r="H22" s="7">
        <v>4.7</v>
      </c>
      <c r="I22" s="7">
        <v>-1.6</v>
      </c>
      <c r="J22" s="76">
        <f t="shared" si="2"/>
        <v>-8.5784313725490204E-3</v>
      </c>
      <c r="K22" s="76">
        <f t="shared" si="3"/>
        <v>5.7598039215686278E-2</v>
      </c>
      <c r="L22" s="76">
        <f t="shared" si="4"/>
        <v>-1.9607843137254905E-2</v>
      </c>
      <c r="M22" s="76" t="e">
        <f t="shared" si="5"/>
        <v>#N/A</v>
      </c>
      <c r="N22" s="76" t="e">
        <f t="shared" si="6"/>
        <v>#N/A</v>
      </c>
      <c r="P22" s="7">
        <f t="shared" si="7"/>
        <v>81.600000000000009</v>
      </c>
      <c r="Q22" s="7">
        <f t="shared" si="8"/>
        <v>78.5</v>
      </c>
      <c r="S22" s="9">
        <f t="shared" si="1"/>
        <v>0</v>
      </c>
    </row>
    <row r="23" spans="1:19" x14ac:dyDescent="0.25">
      <c r="A23" s="14">
        <v>37865</v>
      </c>
      <c r="B23" s="21">
        <v>85.7</v>
      </c>
      <c r="C23" s="7">
        <v>81.3</v>
      </c>
      <c r="E23" s="22">
        <v>81.3</v>
      </c>
      <c r="F23" s="21">
        <v>80.099999999999994</v>
      </c>
      <c r="G23" s="20">
        <v>1.2</v>
      </c>
      <c r="H23" s="7">
        <v>3.5</v>
      </c>
      <c r="I23" s="7">
        <v>0.9</v>
      </c>
      <c r="J23" s="76">
        <f t="shared" si="2"/>
        <v>1.4002333722287047E-2</v>
      </c>
      <c r="K23" s="76">
        <f t="shared" si="3"/>
        <v>4.0840140023337225E-2</v>
      </c>
      <c r="L23" s="76">
        <f t="shared" si="4"/>
        <v>1.0501750291715286E-2</v>
      </c>
      <c r="M23" s="76" t="e">
        <f t="shared" si="5"/>
        <v>#N/A</v>
      </c>
      <c r="N23" s="76" t="e">
        <f t="shared" si="6"/>
        <v>#N/A</v>
      </c>
      <c r="P23" s="7">
        <f t="shared" si="7"/>
        <v>85.7</v>
      </c>
      <c r="Q23" s="7">
        <f t="shared" si="8"/>
        <v>81.3</v>
      </c>
      <c r="S23" s="9">
        <f t="shared" si="1"/>
        <v>0</v>
      </c>
    </row>
    <row r="24" spans="1:19" x14ac:dyDescent="0.25">
      <c r="A24" s="14">
        <v>37895</v>
      </c>
      <c r="B24" s="21">
        <v>90</v>
      </c>
      <c r="C24" s="7">
        <v>81.599999999999994</v>
      </c>
      <c r="E24" s="22">
        <v>81.599999999999994</v>
      </c>
      <c r="F24" s="21">
        <v>81</v>
      </c>
      <c r="G24" s="20">
        <v>0.6</v>
      </c>
      <c r="H24" s="7">
        <v>7.7</v>
      </c>
      <c r="I24" s="7">
        <v>0.7</v>
      </c>
      <c r="J24" s="76">
        <f t="shared" si="2"/>
        <v>6.6666666666666662E-3</v>
      </c>
      <c r="K24" s="76">
        <f t="shared" si="3"/>
        <v>8.5555555555555551E-2</v>
      </c>
      <c r="L24" s="76">
        <f t="shared" si="4"/>
        <v>7.7777777777777776E-3</v>
      </c>
      <c r="M24" s="76" t="e">
        <f t="shared" si="5"/>
        <v>#N/A</v>
      </c>
      <c r="N24" s="76" t="e">
        <f t="shared" si="6"/>
        <v>#N/A</v>
      </c>
      <c r="P24" s="7">
        <f t="shared" si="7"/>
        <v>90</v>
      </c>
      <c r="Q24" s="7">
        <f t="shared" si="8"/>
        <v>81.599999999999994</v>
      </c>
      <c r="S24" s="9">
        <f t="shared" si="1"/>
        <v>0</v>
      </c>
    </row>
    <row r="25" spans="1:19" x14ac:dyDescent="0.25">
      <c r="A25" s="14">
        <v>37926</v>
      </c>
      <c r="B25" s="21">
        <v>84.6</v>
      </c>
      <c r="C25" s="7">
        <v>82.6</v>
      </c>
      <c r="E25" s="22">
        <v>82.6</v>
      </c>
      <c r="F25" s="21">
        <v>81.8</v>
      </c>
      <c r="G25" s="20">
        <v>0.8</v>
      </c>
      <c r="H25" s="7">
        <v>3.6</v>
      </c>
      <c r="I25" s="7">
        <v>-1.6</v>
      </c>
      <c r="J25" s="76">
        <f t="shared" si="2"/>
        <v>9.4562647754137131E-3</v>
      </c>
      <c r="K25" s="76">
        <f t="shared" si="3"/>
        <v>4.2553191489361708E-2</v>
      </c>
      <c r="L25" s="76">
        <f t="shared" si="4"/>
        <v>-1.8912529550827426E-2</v>
      </c>
      <c r="M25" s="76" t="e">
        <f t="shared" si="5"/>
        <v>#N/A</v>
      </c>
      <c r="N25" s="76" t="e">
        <f t="shared" si="6"/>
        <v>#N/A</v>
      </c>
      <c r="P25" s="7">
        <f t="shared" si="7"/>
        <v>84.6</v>
      </c>
      <c r="Q25" s="7">
        <f t="shared" si="8"/>
        <v>82.6</v>
      </c>
      <c r="S25" s="9">
        <f t="shared" si="1"/>
        <v>0</v>
      </c>
    </row>
    <row r="26" spans="1:19" x14ac:dyDescent="0.25">
      <c r="A26" s="14">
        <v>37956</v>
      </c>
      <c r="B26" s="21">
        <v>77.900000000000006</v>
      </c>
      <c r="C26" s="7">
        <v>81.2</v>
      </c>
      <c r="E26" s="22">
        <v>81.2</v>
      </c>
      <c r="F26" s="21">
        <v>82.5</v>
      </c>
      <c r="G26" s="20">
        <v>-1.3</v>
      </c>
      <c r="H26" s="7">
        <v>-4.3</v>
      </c>
      <c r="I26" s="7">
        <v>1</v>
      </c>
      <c r="J26" s="76">
        <f t="shared" si="2"/>
        <v>-1.668806161745828E-2</v>
      </c>
      <c r="K26" s="76">
        <f t="shared" si="3"/>
        <v>-5.5198973042361994E-2</v>
      </c>
      <c r="L26" s="76">
        <f t="shared" si="4"/>
        <v>1.2836970474967907E-2</v>
      </c>
      <c r="M26" s="76" t="e">
        <f t="shared" si="5"/>
        <v>#N/A</v>
      </c>
      <c r="N26" s="76" t="e">
        <f t="shared" si="6"/>
        <v>#N/A</v>
      </c>
      <c r="P26" s="7">
        <f t="shared" si="7"/>
        <v>77.900000000000006</v>
      </c>
      <c r="Q26" s="7">
        <f t="shared" si="8"/>
        <v>81.2</v>
      </c>
      <c r="S26" s="9">
        <f t="shared" si="1"/>
        <v>0</v>
      </c>
    </row>
    <row r="27" spans="1:19" x14ac:dyDescent="0.25">
      <c r="A27" s="14">
        <v>37987</v>
      </c>
      <c r="B27" s="21">
        <v>76.8</v>
      </c>
      <c r="C27" s="7">
        <v>82.7</v>
      </c>
      <c r="E27" s="22">
        <v>82.7</v>
      </c>
      <c r="F27" s="21">
        <v>83.1</v>
      </c>
      <c r="G27" s="20">
        <v>-0.5</v>
      </c>
      <c r="H27" s="7">
        <v>-6.4</v>
      </c>
      <c r="I27" s="7">
        <v>0.5</v>
      </c>
      <c r="J27" s="76">
        <f t="shared" si="2"/>
        <v>-6.510416666666667E-3</v>
      </c>
      <c r="K27" s="76">
        <f t="shared" si="3"/>
        <v>-8.3333333333333343E-2</v>
      </c>
      <c r="L27" s="76">
        <f t="shared" si="4"/>
        <v>6.510416666666667E-3</v>
      </c>
      <c r="M27" s="76" t="e">
        <f t="shared" si="5"/>
        <v>#N/A</v>
      </c>
      <c r="N27" s="76" t="e">
        <f t="shared" si="6"/>
        <v>#N/A</v>
      </c>
      <c r="P27" s="7">
        <f t="shared" si="7"/>
        <v>76.699999999999989</v>
      </c>
      <c r="Q27" s="7">
        <f t="shared" si="8"/>
        <v>82.6</v>
      </c>
      <c r="S27" s="9">
        <f t="shared" si="1"/>
        <v>0</v>
      </c>
    </row>
    <row r="28" spans="1:19" x14ac:dyDescent="0.25">
      <c r="A28" s="14">
        <v>38018</v>
      </c>
      <c r="B28" s="21">
        <v>74</v>
      </c>
      <c r="C28" s="7">
        <v>84</v>
      </c>
      <c r="E28" s="22">
        <v>84</v>
      </c>
      <c r="F28" s="21">
        <v>83.8</v>
      </c>
      <c r="G28" s="20">
        <v>0.3</v>
      </c>
      <c r="H28" s="7">
        <v>-9.6999999999999993</v>
      </c>
      <c r="I28" s="7">
        <v>-0.3</v>
      </c>
      <c r="J28" s="76">
        <f t="shared" si="2"/>
        <v>4.0540540540540543E-3</v>
      </c>
      <c r="K28" s="76">
        <f t="shared" si="3"/>
        <v>-0.13108108108108107</v>
      </c>
      <c r="L28" s="76">
        <f t="shared" si="4"/>
        <v>-4.0540540540540543E-3</v>
      </c>
      <c r="M28" s="76" t="e">
        <f t="shared" si="5"/>
        <v>#N/A</v>
      </c>
      <c r="N28" s="76" t="e">
        <f t="shared" si="6"/>
        <v>#N/A</v>
      </c>
      <c r="P28" s="7">
        <f t="shared" si="7"/>
        <v>74.099999999999994</v>
      </c>
      <c r="Q28" s="7">
        <f t="shared" si="8"/>
        <v>84.1</v>
      </c>
      <c r="S28" s="9">
        <f t="shared" si="1"/>
        <v>0</v>
      </c>
    </row>
    <row r="29" spans="1:19" x14ac:dyDescent="0.25">
      <c r="A29" s="14">
        <v>38047</v>
      </c>
      <c r="B29" s="21">
        <v>86.9</v>
      </c>
      <c r="C29" s="7">
        <v>84.5</v>
      </c>
      <c r="E29" s="22">
        <v>84.5</v>
      </c>
      <c r="F29" s="21">
        <v>84.4</v>
      </c>
      <c r="G29" s="20">
        <v>0.1</v>
      </c>
      <c r="H29" s="7">
        <v>0.2</v>
      </c>
      <c r="I29" s="7">
        <v>2.1</v>
      </c>
      <c r="J29" s="76">
        <f t="shared" si="2"/>
        <v>1.1507479861910242E-3</v>
      </c>
      <c r="K29" s="76">
        <f t="shared" si="3"/>
        <v>2.3014959723820483E-3</v>
      </c>
      <c r="L29" s="76">
        <f t="shared" si="4"/>
        <v>2.4165707710011506E-2</v>
      </c>
      <c r="M29" s="76" t="e">
        <f t="shared" si="5"/>
        <v>#N/A</v>
      </c>
      <c r="N29" s="76" t="e">
        <f t="shared" si="6"/>
        <v>#N/A</v>
      </c>
      <c r="P29" s="7">
        <f t="shared" si="7"/>
        <v>86.8</v>
      </c>
      <c r="Q29" s="7">
        <f t="shared" si="8"/>
        <v>84.5</v>
      </c>
      <c r="S29" s="9">
        <f t="shared" si="1"/>
        <v>0</v>
      </c>
    </row>
    <row r="30" spans="1:19" x14ac:dyDescent="0.25">
      <c r="A30" s="14">
        <v>38078</v>
      </c>
      <c r="B30" s="21">
        <v>82.2</v>
      </c>
      <c r="C30" s="7">
        <v>85.1</v>
      </c>
      <c r="E30" s="22">
        <v>85.1</v>
      </c>
      <c r="F30" s="21">
        <v>85.1</v>
      </c>
      <c r="G30" s="20">
        <v>0</v>
      </c>
      <c r="H30" s="7">
        <v>-2.9</v>
      </c>
      <c r="I30" s="7">
        <v>0</v>
      </c>
      <c r="J30" s="76">
        <f t="shared" si="2"/>
        <v>0</v>
      </c>
      <c r="K30" s="76">
        <f t="shared" si="3"/>
        <v>-3.5279805352798052E-2</v>
      </c>
      <c r="L30" s="76">
        <f t="shared" si="4"/>
        <v>0</v>
      </c>
      <c r="M30" s="76" t="e">
        <f t="shared" si="5"/>
        <v>#N/A</v>
      </c>
      <c r="N30" s="76" t="e">
        <f t="shared" si="6"/>
        <v>#N/A</v>
      </c>
      <c r="P30" s="7">
        <f t="shared" si="7"/>
        <v>82.199999999999989</v>
      </c>
      <c r="Q30" s="7">
        <f t="shared" si="8"/>
        <v>85.1</v>
      </c>
      <c r="S30" s="9">
        <f t="shared" si="1"/>
        <v>0</v>
      </c>
    </row>
    <row r="31" spans="1:19" x14ac:dyDescent="0.25">
      <c r="A31" s="14">
        <v>38108</v>
      </c>
      <c r="B31" s="21">
        <v>86.3</v>
      </c>
      <c r="C31" s="7">
        <v>85.9</v>
      </c>
      <c r="E31" s="22">
        <v>85.9</v>
      </c>
      <c r="F31" s="21">
        <v>85.8</v>
      </c>
      <c r="G31" s="20">
        <v>0.1</v>
      </c>
      <c r="H31" s="7">
        <v>1.4</v>
      </c>
      <c r="I31" s="7">
        <v>-1</v>
      </c>
      <c r="J31" s="76">
        <f t="shared" si="2"/>
        <v>1.1587485515643107E-3</v>
      </c>
      <c r="K31" s="76">
        <f t="shared" si="3"/>
        <v>1.6222479721900347E-2</v>
      </c>
      <c r="L31" s="76">
        <f t="shared" si="4"/>
        <v>-1.1587485515643106E-2</v>
      </c>
      <c r="M31" s="76" t="e">
        <f t="shared" si="5"/>
        <v>#N/A</v>
      </c>
      <c r="N31" s="76" t="e">
        <f t="shared" si="6"/>
        <v>#N/A</v>
      </c>
      <c r="P31" s="7">
        <f t="shared" si="7"/>
        <v>86.3</v>
      </c>
      <c r="Q31" s="7">
        <f t="shared" si="8"/>
        <v>85.899999999999991</v>
      </c>
      <c r="S31" s="9">
        <f t="shared" si="1"/>
        <v>0</v>
      </c>
    </row>
    <row r="32" spans="1:19" x14ac:dyDescent="0.25">
      <c r="A32" s="14">
        <v>38139</v>
      </c>
      <c r="B32" s="21">
        <v>86.1</v>
      </c>
      <c r="C32" s="7">
        <v>86.1</v>
      </c>
      <c r="E32" s="22">
        <v>86.1</v>
      </c>
      <c r="F32" s="21">
        <v>86.4</v>
      </c>
      <c r="G32" s="20">
        <v>-0.3</v>
      </c>
      <c r="H32" s="7">
        <v>-0.3</v>
      </c>
      <c r="I32" s="7">
        <v>0.3</v>
      </c>
      <c r="J32" s="76">
        <f t="shared" si="2"/>
        <v>-3.4843205574912892E-3</v>
      </c>
      <c r="K32" s="76">
        <f t="shared" si="3"/>
        <v>-3.4843205574912892E-3</v>
      </c>
      <c r="L32" s="76">
        <f t="shared" si="4"/>
        <v>3.4843205574912892E-3</v>
      </c>
      <c r="M32" s="76" t="e">
        <f t="shared" si="5"/>
        <v>#N/A</v>
      </c>
      <c r="N32" s="76" t="e">
        <f t="shared" si="6"/>
        <v>#N/A</v>
      </c>
      <c r="P32" s="7">
        <f t="shared" si="7"/>
        <v>86.100000000000009</v>
      </c>
      <c r="Q32" s="7">
        <f t="shared" si="8"/>
        <v>86.100000000000009</v>
      </c>
      <c r="S32" s="9">
        <f t="shared" si="1"/>
        <v>0</v>
      </c>
    </row>
    <row r="33" spans="1:19" x14ac:dyDescent="0.25">
      <c r="A33" s="14">
        <v>38169</v>
      </c>
      <c r="B33" s="21">
        <v>90.1</v>
      </c>
      <c r="C33" s="7">
        <v>86.7</v>
      </c>
      <c r="E33" s="22">
        <v>86.7</v>
      </c>
      <c r="F33" s="21">
        <v>86.9</v>
      </c>
      <c r="G33" s="20">
        <v>-0.2</v>
      </c>
      <c r="H33" s="7">
        <v>2.9</v>
      </c>
      <c r="I33" s="7">
        <v>0.5</v>
      </c>
      <c r="J33" s="76">
        <f t="shared" si="2"/>
        <v>-2.219755826859046E-3</v>
      </c>
      <c r="K33" s="76">
        <f t="shared" si="3"/>
        <v>3.2186459489456164E-2</v>
      </c>
      <c r="L33" s="76">
        <f t="shared" si="4"/>
        <v>5.5493895671476145E-3</v>
      </c>
      <c r="M33" s="76" t="e">
        <f t="shared" si="5"/>
        <v>#N/A</v>
      </c>
      <c r="N33" s="76" t="e">
        <f t="shared" si="6"/>
        <v>#N/A</v>
      </c>
      <c r="P33" s="7">
        <f t="shared" si="7"/>
        <v>90.100000000000009</v>
      </c>
      <c r="Q33" s="7">
        <f t="shared" si="8"/>
        <v>86.7</v>
      </c>
      <c r="S33" s="9">
        <f t="shared" si="1"/>
        <v>0</v>
      </c>
    </row>
    <row r="34" spans="1:19" x14ac:dyDescent="0.25">
      <c r="A34" s="14">
        <v>38200</v>
      </c>
      <c r="B34" s="21">
        <v>92.1</v>
      </c>
      <c r="C34" s="7">
        <v>87.6</v>
      </c>
      <c r="E34" s="22">
        <v>87.6</v>
      </c>
      <c r="F34" s="21">
        <v>87.3</v>
      </c>
      <c r="G34" s="20">
        <v>0.3</v>
      </c>
      <c r="H34" s="7">
        <v>5</v>
      </c>
      <c r="I34" s="7">
        <v>-0.6</v>
      </c>
      <c r="J34" s="76">
        <f t="shared" si="2"/>
        <v>3.2573289902280132E-3</v>
      </c>
      <c r="K34" s="76">
        <f t="shared" si="3"/>
        <v>5.428881650380022E-2</v>
      </c>
      <c r="L34" s="76">
        <f t="shared" si="4"/>
        <v>-6.5146579804560263E-3</v>
      </c>
      <c r="M34" s="76" t="e">
        <f t="shared" si="5"/>
        <v>#N/A</v>
      </c>
      <c r="N34" s="76" t="e">
        <f t="shared" si="6"/>
        <v>#N/A</v>
      </c>
      <c r="P34" s="7">
        <f t="shared" si="7"/>
        <v>92</v>
      </c>
      <c r="Q34" s="7">
        <f t="shared" si="8"/>
        <v>87.6</v>
      </c>
      <c r="S34" s="9">
        <f t="shared" si="1"/>
        <v>0</v>
      </c>
    </row>
    <row r="35" spans="1:19" x14ac:dyDescent="0.25">
      <c r="A35" s="14">
        <v>38231</v>
      </c>
      <c r="B35" s="21">
        <v>92.1</v>
      </c>
      <c r="C35" s="7">
        <v>88.2</v>
      </c>
      <c r="E35" s="22">
        <v>88.2</v>
      </c>
      <c r="F35" s="21">
        <v>87.7</v>
      </c>
      <c r="G35" s="20">
        <v>0.5</v>
      </c>
      <c r="H35" s="7">
        <v>3.2</v>
      </c>
      <c r="I35" s="7">
        <v>0.7</v>
      </c>
      <c r="J35" s="76">
        <f t="shared" si="2"/>
        <v>5.4288816503800224E-3</v>
      </c>
      <c r="K35" s="76">
        <f t="shared" si="3"/>
        <v>3.4744842562432141E-2</v>
      </c>
      <c r="L35" s="76">
        <f t="shared" si="4"/>
        <v>7.6004343105320303E-3</v>
      </c>
      <c r="M35" s="76" t="e">
        <f t="shared" si="5"/>
        <v>#N/A</v>
      </c>
      <c r="N35" s="76" t="e">
        <f t="shared" si="6"/>
        <v>#N/A</v>
      </c>
      <c r="P35" s="7">
        <f t="shared" si="7"/>
        <v>92.100000000000009</v>
      </c>
      <c r="Q35" s="7">
        <f t="shared" si="8"/>
        <v>88.2</v>
      </c>
      <c r="S35" s="9">
        <f t="shared" si="1"/>
        <v>0</v>
      </c>
    </row>
    <row r="36" spans="1:19" x14ac:dyDescent="0.25">
      <c r="A36" s="14">
        <v>38261</v>
      </c>
      <c r="B36" s="21">
        <v>93.5</v>
      </c>
      <c r="C36" s="7">
        <v>87.5</v>
      </c>
      <c r="E36" s="22">
        <v>87.5</v>
      </c>
      <c r="F36" s="21">
        <v>87.9</v>
      </c>
      <c r="G36" s="20">
        <v>-0.3</v>
      </c>
      <c r="H36" s="7">
        <v>7.6</v>
      </c>
      <c r="I36" s="7">
        <v>-1.6</v>
      </c>
      <c r="J36" s="76">
        <f t="shared" si="2"/>
        <v>-3.2085561497326204E-3</v>
      </c>
      <c r="K36" s="76">
        <f t="shared" si="3"/>
        <v>8.1283422459893048E-2</v>
      </c>
      <c r="L36" s="76">
        <f t="shared" si="4"/>
        <v>-1.7112299465240642E-2</v>
      </c>
      <c r="M36" s="76" t="e">
        <f t="shared" si="5"/>
        <v>#N/A</v>
      </c>
      <c r="N36" s="76" t="e">
        <f t="shared" si="6"/>
        <v>#N/A</v>
      </c>
      <c r="P36" s="7">
        <f t="shared" si="7"/>
        <v>93.600000000000009</v>
      </c>
      <c r="Q36" s="7">
        <f t="shared" si="8"/>
        <v>87.600000000000009</v>
      </c>
      <c r="S36" s="9">
        <f t="shared" si="1"/>
        <v>0</v>
      </c>
    </row>
    <row r="37" spans="1:19" x14ac:dyDescent="0.25">
      <c r="A37" s="14">
        <v>38292</v>
      </c>
      <c r="B37" s="21">
        <v>91.8</v>
      </c>
      <c r="C37" s="7">
        <v>87.5</v>
      </c>
      <c r="E37" s="22">
        <v>87.5</v>
      </c>
      <c r="F37" s="21">
        <v>88</v>
      </c>
      <c r="G37" s="20">
        <v>-0.5</v>
      </c>
      <c r="H37" s="7">
        <v>3.4</v>
      </c>
      <c r="I37" s="7">
        <v>0.9</v>
      </c>
      <c r="J37" s="76">
        <f t="shared" si="2"/>
        <v>-5.4466230936819175E-3</v>
      </c>
      <c r="K37" s="76">
        <f t="shared" si="3"/>
        <v>3.7037037037037035E-2</v>
      </c>
      <c r="L37" s="76">
        <f t="shared" si="4"/>
        <v>9.8039215686274508E-3</v>
      </c>
      <c r="M37" s="76" t="e">
        <f t="shared" si="5"/>
        <v>#N/A</v>
      </c>
      <c r="N37" s="76" t="e">
        <f t="shared" si="6"/>
        <v>#N/A</v>
      </c>
      <c r="P37" s="7">
        <f t="shared" si="7"/>
        <v>91.800000000000011</v>
      </c>
      <c r="Q37" s="7">
        <f t="shared" si="8"/>
        <v>87.5</v>
      </c>
      <c r="S37" s="9">
        <f t="shared" si="1"/>
        <v>0</v>
      </c>
    </row>
    <row r="38" spans="1:19" x14ac:dyDescent="0.25">
      <c r="A38" s="14">
        <v>38322</v>
      </c>
      <c r="B38" s="21">
        <v>84.7</v>
      </c>
      <c r="C38" s="7">
        <v>88.3</v>
      </c>
      <c r="E38" s="22">
        <v>88.3</v>
      </c>
      <c r="F38" s="21">
        <v>88</v>
      </c>
      <c r="G38" s="20">
        <v>0.3</v>
      </c>
      <c r="H38" s="7">
        <v>-4.3</v>
      </c>
      <c r="I38" s="7">
        <v>0.7</v>
      </c>
      <c r="J38" s="76">
        <f t="shared" si="2"/>
        <v>3.5419126328217233E-3</v>
      </c>
      <c r="K38" s="76">
        <f t="shared" si="3"/>
        <v>-5.0767414403778036E-2</v>
      </c>
      <c r="L38" s="76">
        <f t="shared" si="4"/>
        <v>8.2644628099173539E-3</v>
      </c>
      <c r="M38" s="76" t="e">
        <f t="shared" si="5"/>
        <v>#N/A</v>
      </c>
      <c r="N38" s="76" t="e">
        <f t="shared" si="6"/>
        <v>#N/A</v>
      </c>
      <c r="P38" s="7">
        <f t="shared" si="7"/>
        <v>84.7</v>
      </c>
      <c r="Q38" s="7">
        <f t="shared" si="8"/>
        <v>88.3</v>
      </c>
      <c r="S38" s="9">
        <f t="shared" si="1"/>
        <v>0</v>
      </c>
    </row>
    <row r="39" spans="1:19" x14ac:dyDescent="0.25">
      <c r="A39" s="14">
        <v>38353</v>
      </c>
      <c r="B39" s="21">
        <v>81</v>
      </c>
      <c r="C39" s="7">
        <v>88.7</v>
      </c>
      <c r="E39" s="22">
        <v>88.7</v>
      </c>
      <c r="F39" s="21">
        <v>88</v>
      </c>
      <c r="G39" s="20">
        <v>0.7</v>
      </c>
      <c r="H39" s="7">
        <v>-6.4</v>
      </c>
      <c r="I39" s="7">
        <v>-1.3</v>
      </c>
      <c r="J39" s="76">
        <f t="shared" si="2"/>
        <v>8.6419753086419745E-3</v>
      </c>
      <c r="K39" s="76">
        <f t="shared" si="3"/>
        <v>-7.9012345679012344E-2</v>
      </c>
      <c r="L39" s="76">
        <f t="shared" si="4"/>
        <v>-1.6049382716049384E-2</v>
      </c>
      <c r="M39" s="76" t="e">
        <f t="shared" si="5"/>
        <v>#N/A</v>
      </c>
      <c r="N39" s="76" t="e">
        <f t="shared" si="6"/>
        <v>#N/A</v>
      </c>
      <c r="P39" s="7">
        <f t="shared" si="7"/>
        <v>81</v>
      </c>
      <c r="Q39" s="7">
        <f t="shared" si="8"/>
        <v>88.7</v>
      </c>
      <c r="S39" s="9">
        <f t="shared" si="1"/>
        <v>0</v>
      </c>
    </row>
    <row r="40" spans="1:19" x14ac:dyDescent="0.25">
      <c r="A40" s="14">
        <v>38384</v>
      </c>
      <c r="B40" s="21">
        <v>76.400000000000006</v>
      </c>
      <c r="C40" s="7">
        <v>87.4</v>
      </c>
      <c r="E40" s="22">
        <v>87.4</v>
      </c>
      <c r="F40" s="21">
        <v>88.1</v>
      </c>
      <c r="G40" s="20">
        <v>-0.7</v>
      </c>
      <c r="H40" s="7">
        <v>-9.9</v>
      </c>
      <c r="I40" s="7">
        <v>-1.1000000000000001</v>
      </c>
      <c r="J40" s="76">
        <f t="shared" si="2"/>
        <v>-9.1623036649214652E-3</v>
      </c>
      <c r="K40" s="76">
        <f t="shared" si="3"/>
        <v>-0.12958115183246072</v>
      </c>
      <c r="L40" s="76">
        <f t="shared" si="4"/>
        <v>-1.4397905759162303E-2</v>
      </c>
      <c r="M40" s="76" t="e">
        <f t="shared" si="5"/>
        <v>#N/A</v>
      </c>
      <c r="N40" s="76" t="e">
        <f t="shared" si="6"/>
        <v>#N/A</v>
      </c>
      <c r="P40" s="7">
        <f t="shared" si="7"/>
        <v>76.399999999999991</v>
      </c>
      <c r="Q40" s="7">
        <f t="shared" si="8"/>
        <v>87.399999999999991</v>
      </c>
      <c r="S40" s="9">
        <f t="shared" si="1"/>
        <v>0</v>
      </c>
    </row>
    <row r="41" spans="1:19" x14ac:dyDescent="0.25">
      <c r="A41" s="14">
        <v>38412</v>
      </c>
      <c r="B41" s="21">
        <v>88</v>
      </c>
      <c r="C41" s="7">
        <v>88.2</v>
      </c>
      <c r="E41" s="22">
        <v>88.2</v>
      </c>
      <c r="F41" s="21">
        <v>88.3</v>
      </c>
      <c r="G41" s="20">
        <v>-0.1</v>
      </c>
      <c r="H41" s="7">
        <v>0</v>
      </c>
      <c r="I41" s="7">
        <v>-0.2</v>
      </c>
      <c r="J41" s="76">
        <f t="shared" si="2"/>
        <v>-1.1363636363636365E-3</v>
      </c>
      <c r="K41" s="76">
        <f t="shared" si="3"/>
        <v>0</v>
      </c>
      <c r="L41" s="76">
        <f t="shared" si="4"/>
        <v>-2.2727272727272731E-3</v>
      </c>
      <c r="M41" s="76" t="e">
        <f t="shared" si="5"/>
        <v>#N/A</v>
      </c>
      <c r="N41" s="76" t="e">
        <f t="shared" si="6"/>
        <v>#N/A</v>
      </c>
      <c r="P41" s="7">
        <f t="shared" si="7"/>
        <v>88</v>
      </c>
      <c r="Q41" s="7">
        <f t="shared" si="8"/>
        <v>88.2</v>
      </c>
      <c r="S41" s="9">
        <f t="shared" si="1"/>
        <v>0</v>
      </c>
    </row>
    <row r="42" spans="1:19" x14ac:dyDescent="0.25">
      <c r="A42" s="14">
        <v>38443</v>
      </c>
      <c r="B42" s="21">
        <v>87</v>
      </c>
      <c r="C42" s="7">
        <v>88.3</v>
      </c>
      <c r="E42" s="22">
        <v>88.3</v>
      </c>
      <c r="F42" s="21">
        <v>88.5</v>
      </c>
      <c r="G42" s="20">
        <v>-0.2</v>
      </c>
      <c r="H42" s="7">
        <v>-3.1</v>
      </c>
      <c r="I42" s="7">
        <v>1.8</v>
      </c>
      <c r="J42" s="76">
        <f t="shared" si="2"/>
        <v>-2.2988505747126436E-3</v>
      </c>
      <c r="K42" s="76">
        <f t="shared" si="3"/>
        <v>-3.5632183908045977E-2</v>
      </c>
      <c r="L42" s="76">
        <f t="shared" si="4"/>
        <v>2.0689655172413793E-2</v>
      </c>
      <c r="M42" s="76" t="e">
        <f t="shared" si="5"/>
        <v>#N/A</v>
      </c>
      <c r="N42" s="76" t="e">
        <f t="shared" si="6"/>
        <v>#N/A</v>
      </c>
      <c r="P42" s="7">
        <f t="shared" si="7"/>
        <v>87</v>
      </c>
      <c r="Q42" s="7">
        <f t="shared" si="8"/>
        <v>88.3</v>
      </c>
      <c r="S42" s="9">
        <f t="shared" si="1"/>
        <v>0</v>
      </c>
    </row>
    <row r="43" spans="1:19" x14ac:dyDescent="0.25">
      <c r="A43" s="14">
        <v>38473</v>
      </c>
      <c r="B43" s="21">
        <v>91.1</v>
      </c>
      <c r="C43" s="7">
        <v>91.3</v>
      </c>
      <c r="E43" s="22">
        <v>91.3</v>
      </c>
      <c r="F43" s="21">
        <v>88.8</v>
      </c>
      <c r="G43" s="20">
        <v>2.6</v>
      </c>
      <c r="H43" s="7">
        <v>1.7</v>
      </c>
      <c r="I43" s="7">
        <v>-1.9</v>
      </c>
      <c r="J43" s="76">
        <f t="shared" si="2"/>
        <v>2.8540065861690452E-2</v>
      </c>
      <c r="K43" s="76">
        <f t="shared" si="3"/>
        <v>1.8660812294182219E-2</v>
      </c>
      <c r="L43" s="76">
        <f t="shared" si="4"/>
        <v>-2.0856201975850714E-2</v>
      </c>
      <c r="M43" s="76" t="e">
        <f t="shared" si="5"/>
        <v>#N/A</v>
      </c>
      <c r="N43" s="76" t="e">
        <f t="shared" si="6"/>
        <v>#N/A</v>
      </c>
      <c r="P43" s="7">
        <f t="shared" si="7"/>
        <v>91.199999999999989</v>
      </c>
      <c r="Q43" s="7">
        <f t="shared" si="8"/>
        <v>91.399999999999991</v>
      </c>
      <c r="S43" s="9">
        <f t="shared" si="1"/>
        <v>0</v>
      </c>
    </row>
    <row r="44" spans="1:19" x14ac:dyDescent="0.25">
      <c r="A44" s="14">
        <v>38504</v>
      </c>
      <c r="B44" s="21">
        <v>91.4</v>
      </c>
      <c r="C44" s="7">
        <v>89.5</v>
      </c>
      <c r="E44" s="22">
        <v>89.5</v>
      </c>
      <c r="F44" s="21">
        <v>88.9</v>
      </c>
      <c r="G44" s="20">
        <v>0.6</v>
      </c>
      <c r="H44" s="7">
        <v>-0.1</v>
      </c>
      <c r="I44" s="7">
        <v>2</v>
      </c>
      <c r="J44" s="76">
        <f t="shared" si="2"/>
        <v>6.5645514223194746E-3</v>
      </c>
      <c r="K44" s="76">
        <f t="shared" si="3"/>
        <v>-1.0940919037199124E-3</v>
      </c>
      <c r="L44" s="76">
        <f t="shared" si="4"/>
        <v>2.1881838074398249E-2</v>
      </c>
      <c r="M44" s="76" t="e">
        <f t="shared" si="5"/>
        <v>#N/A</v>
      </c>
      <c r="N44" s="76" t="e">
        <f t="shared" si="6"/>
        <v>#N/A</v>
      </c>
      <c r="P44" s="7">
        <f t="shared" si="7"/>
        <v>91.4</v>
      </c>
      <c r="Q44" s="7">
        <f t="shared" si="8"/>
        <v>89.5</v>
      </c>
      <c r="S44" s="9">
        <f t="shared" si="1"/>
        <v>0</v>
      </c>
    </row>
    <row r="45" spans="1:19" x14ac:dyDescent="0.25">
      <c r="A45" s="14">
        <v>38534</v>
      </c>
      <c r="B45" s="21">
        <v>90.5</v>
      </c>
      <c r="C45" s="7">
        <v>88.9</v>
      </c>
      <c r="E45" s="22">
        <v>88.9</v>
      </c>
      <c r="F45" s="21">
        <v>88.9</v>
      </c>
      <c r="G45" s="20">
        <v>0</v>
      </c>
      <c r="H45" s="7">
        <v>3.2</v>
      </c>
      <c r="I45" s="7">
        <v>-1.6</v>
      </c>
      <c r="J45" s="76">
        <f t="shared" si="2"/>
        <v>0</v>
      </c>
      <c r="K45" s="76">
        <f t="shared" si="3"/>
        <v>3.535911602209945E-2</v>
      </c>
      <c r="L45" s="76">
        <f t="shared" si="4"/>
        <v>-1.7679558011049725E-2</v>
      </c>
      <c r="M45" s="76" t="e">
        <f t="shared" si="5"/>
        <v>#N/A</v>
      </c>
      <c r="N45" s="76" t="e">
        <f t="shared" si="6"/>
        <v>#N/A</v>
      </c>
      <c r="P45" s="7">
        <f t="shared" si="7"/>
        <v>90.500000000000014</v>
      </c>
      <c r="Q45" s="7">
        <f t="shared" si="8"/>
        <v>88.9</v>
      </c>
      <c r="S45" s="9">
        <f t="shared" si="1"/>
        <v>0</v>
      </c>
    </row>
    <row r="46" spans="1:19" x14ac:dyDescent="0.25">
      <c r="A46" s="14">
        <v>38565</v>
      </c>
      <c r="B46" s="21">
        <v>95.6</v>
      </c>
      <c r="C46" s="7">
        <v>89.1</v>
      </c>
      <c r="E46" s="22">
        <v>89.1</v>
      </c>
      <c r="F46" s="21">
        <v>88.8</v>
      </c>
      <c r="G46" s="20">
        <v>0.3</v>
      </c>
      <c r="H46" s="7">
        <v>5.5</v>
      </c>
      <c r="I46" s="7">
        <v>1</v>
      </c>
      <c r="J46" s="76">
        <f t="shared" si="2"/>
        <v>3.1380753138075313E-3</v>
      </c>
      <c r="K46" s="76">
        <f t="shared" si="3"/>
        <v>5.753138075313808E-2</v>
      </c>
      <c r="L46" s="76">
        <f t="shared" si="4"/>
        <v>1.0460251046025106E-2</v>
      </c>
      <c r="M46" s="76" t="e">
        <f t="shared" si="5"/>
        <v>#N/A</v>
      </c>
      <c r="N46" s="76" t="e">
        <f t="shared" si="6"/>
        <v>#N/A</v>
      </c>
      <c r="P46" s="7">
        <f t="shared" si="7"/>
        <v>95.6</v>
      </c>
      <c r="Q46" s="7">
        <f t="shared" si="8"/>
        <v>89.1</v>
      </c>
      <c r="S46" s="9">
        <f t="shared" si="1"/>
        <v>0</v>
      </c>
    </row>
    <row r="47" spans="1:19" x14ac:dyDescent="0.25">
      <c r="A47" s="14">
        <v>38596</v>
      </c>
      <c r="B47" s="21">
        <v>92</v>
      </c>
      <c r="C47" s="7">
        <v>88.3</v>
      </c>
      <c r="E47" s="22">
        <v>88.3</v>
      </c>
      <c r="F47" s="21">
        <v>88.8</v>
      </c>
      <c r="G47" s="20">
        <v>-0.5</v>
      </c>
      <c r="H47" s="7">
        <v>3.1</v>
      </c>
      <c r="I47" s="7">
        <v>0.7</v>
      </c>
      <c r="J47" s="76">
        <f t="shared" si="2"/>
        <v>-5.434782608695652E-3</v>
      </c>
      <c r="K47" s="76">
        <f t="shared" si="3"/>
        <v>3.3695652173913043E-2</v>
      </c>
      <c r="L47" s="76">
        <f t="shared" si="4"/>
        <v>7.6086956521739125E-3</v>
      </c>
      <c r="M47" s="76" t="e">
        <f t="shared" si="5"/>
        <v>#N/A</v>
      </c>
      <c r="N47" s="76" t="e">
        <f t="shared" si="6"/>
        <v>#N/A</v>
      </c>
      <c r="P47" s="7">
        <f t="shared" si="7"/>
        <v>92.1</v>
      </c>
      <c r="Q47" s="7">
        <f t="shared" si="8"/>
        <v>88.3</v>
      </c>
      <c r="S47" s="9">
        <f t="shared" si="1"/>
        <v>0</v>
      </c>
    </row>
    <row r="48" spans="1:19" x14ac:dyDescent="0.25">
      <c r="A48" s="14">
        <v>38626</v>
      </c>
      <c r="B48" s="21">
        <v>93.7</v>
      </c>
      <c r="C48" s="7">
        <v>87.6</v>
      </c>
      <c r="E48" s="22">
        <v>87.6</v>
      </c>
      <c r="F48" s="21">
        <v>88.9</v>
      </c>
      <c r="G48" s="20">
        <v>-1.4</v>
      </c>
      <c r="H48" s="7">
        <v>7.4</v>
      </c>
      <c r="I48" s="7">
        <v>-1.3</v>
      </c>
      <c r="J48" s="76">
        <f t="shared" si="2"/>
        <v>-1.494130202774813E-2</v>
      </c>
      <c r="K48" s="76">
        <f t="shared" si="3"/>
        <v>7.8975453575240134E-2</v>
      </c>
      <c r="L48" s="76">
        <f t="shared" si="4"/>
        <v>-1.3874066168623266E-2</v>
      </c>
      <c r="M48" s="76" t="e">
        <f t="shared" si="5"/>
        <v>#N/A</v>
      </c>
      <c r="N48" s="76" t="e">
        <f t="shared" si="6"/>
        <v>#N/A</v>
      </c>
      <c r="P48" s="7">
        <f t="shared" si="7"/>
        <v>93.600000000000009</v>
      </c>
      <c r="Q48" s="7">
        <f t="shared" si="8"/>
        <v>87.5</v>
      </c>
      <c r="S48" s="9">
        <f t="shared" si="1"/>
        <v>0</v>
      </c>
    </row>
    <row r="49" spans="1:19" x14ac:dyDescent="0.25">
      <c r="A49" s="14">
        <v>38657</v>
      </c>
      <c r="B49" s="21">
        <v>92.4</v>
      </c>
      <c r="C49" s="7">
        <v>88.6</v>
      </c>
      <c r="E49" s="22">
        <v>88.6</v>
      </c>
      <c r="F49" s="21">
        <v>89.3</v>
      </c>
      <c r="G49" s="20">
        <v>-0.7</v>
      </c>
      <c r="H49" s="7">
        <v>3.2</v>
      </c>
      <c r="I49" s="7">
        <v>0.6</v>
      </c>
      <c r="J49" s="76">
        <f t="shared" si="2"/>
        <v>-7.5757575757575751E-3</v>
      </c>
      <c r="K49" s="76">
        <f t="shared" si="3"/>
        <v>3.4632034632034632E-2</v>
      </c>
      <c r="L49" s="76">
        <f t="shared" si="4"/>
        <v>6.4935064935064931E-3</v>
      </c>
      <c r="M49" s="76" t="e">
        <f t="shared" si="5"/>
        <v>#N/A</v>
      </c>
      <c r="N49" s="76" t="e">
        <f t="shared" si="6"/>
        <v>#N/A</v>
      </c>
      <c r="P49" s="7">
        <f t="shared" si="7"/>
        <v>92.399999999999991</v>
      </c>
      <c r="Q49" s="7">
        <f t="shared" si="8"/>
        <v>88.6</v>
      </c>
      <c r="S49" s="9">
        <f t="shared" si="1"/>
        <v>0</v>
      </c>
    </row>
    <row r="50" spans="1:19" x14ac:dyDescent="0.25">
      <c r="A50" s="14">
        <v>38687</v>
      </c>
      <c r="B50" s="21">
        <v>86.6</v>
      </c>
      <c r="C50" s="7">
        <v>90.5</v>
      </c>
      <c r="E50" s="22">
        <v>90.5</v>
      </c>
      <c r="F50" s="21">
        <v>89.9</v>
      </c>
      <c r="G50" s="20">
        <v>0.6</v>
      </c>
      <c r="H50" s="7">
        <v>-4.4000000000000004</v>
      </c>
      <c r="I50" s="7">
        <v>0.5</v>
      </c>
      <c r="J50" s="76">
        <f t="shared" si="2"/>
        <v>6.9284064665127024E-3</v>
      </c>
      <c r="K50" s="76">
        <f t="shared" si="3"/>
        <v>-5.080831408775982E-2</v>
      </c>
      <c r="L50" s="76">
        <f t="shared" si="4"/>
        <v>5.7736720554272519E-3</v>
      </c>
      <c r="M50" s="76" t="e">
        <f t="shared" si="5"/>
        <v>#N/A</v>
      </c>
      <c r="N50" s="76" t="e">
        <f t="shared" si="6"/>
        <v>#N/A</v>
      </c>
      <c r="P50" s="7">
        <f t="shared" si="7"/>
        <v>86.6</v>
      </c>
      <c r="Q50" s="7">
        <f t="shared" si="8"/>
        <v>90.5</v>
      </c>
      <c r="S50" s="9">
        <f t="shared" si="1"/>
        <v>0</v>
      </c>
    </row>
    <row r="51" spans="1:19" x14ac:dyDescent="0.25">
      <c r="A51" s="14">
        <v>38718</v>
      </c>
      <c r="B51" s="21">
        <v>83.7</v>
      </c>
      <c r="C51" s="7">
        <v>90.8</v>
      </c>
      <c r="E51" s="22">
        <v>90.8</v>
      </c>
      <c r="F51" s="21">
        <v>90.5</v>
      </c>
      <c r="G51" s="20">
        <v>0.3</v>
      </c>
      <c r="H51" s="7">
        <v>-6.5</v>
      </c>
      <c r="I51" s="7">
        <v>-0.6</v>
      </c>
      <c r="J51" s="76">
        <f t="shared" si="2"/>
        <v>3.5842293906810031E-3</v>
      </c>
      <c r="K51" s="76">
        <f t="shared" si="3"/>
        <v>-7.765830346475508E-2</v>
      </c>
      <c r="L51" s="76">
        <f t="shared" si="4"/>
        <v>-7.1684587813620063E-3</v>
      </c>
      <c r="M51" s="76" t="e">
        <f t="shared" si="5"/>
        <v>#N/A</v>
      </c>
      <c r="N51" s="76" t="e">
        <f t="shared" si="6"/>
        <v>#N/A</v>
      </c>
      <c r="P51" s="7">
        <f t="shared" si="7"/>
        <v>83.7</v>
      </c>
      <c r="Q51" s="7">
        <f t="shared" si="8"/>
        <v>90.8</v>
      </c>
      <c r="S51" s="9">
        <f t="shared" si="1"/>
        <v>0</v>
      </c>
    </row>
    <row r="52" spans="1:19" x14ac:dyDescent="0.25">
      <c r="A52" s="14">
        <v>38749</v>
      </c>
      <c r="B52" s="21">
        <v>80.2</v>
      </c>
      <c r="C52" s="7">
        <v>91.4</v>
      </c>
      <c r="E52" s="22">
        <v>91.4</v>
      </c>
      <c r="F52" s="21">
        <v>91</v>
      </c>
      <c r="G52" s="20">
        <v>0.4</v>
      </c>
      <c r="H52" s="7">
        <v>-10.1</v>
      </c>
      <c r="I52" s="7">
        <v>-1.1000000000000001</v>
      </c>
      <c r="J52" s="76">
        <f t="shared" si="2"/>
        <v>4.9875311720698253E-3</v>
      </c>
      <c r="K52" s="76">
        <f t="shared" si="3"/>
        <v>-0.12593516209476308</v>
      </c>
      <c r="L52" s="76">
        <f t="shared" si="4"/>
        <v>-1.3715710723192021E-2</v>
      </c>
      <c r="M52" s="76" t="e">
        <f t="shared" si="5"/>
        <v>#N/A</v>
      </c>
      <c r="N52" s="76" t="e">
        <f t="shared" si="6"/>
        <v>#N/A</v>
      </c>
      <c r="P52" s="7">
        <f t="shared" si="7"/>
        <v>80.200000000000017</v>
      </c>
      <c r="Q52" s="7">
        <f t="shared" si="8"/>
        <v>91.4</v>
      </c>
      <c r="S52" s="9">
        <f t="shared" si="1"/>
        <v>0</v>
      </c>
    </row>
    <row r="53" spans="1:19" x14ac:dyDescent="0.25">
      <c r="A53" s="14">
        <v>38777</v>
      </c>
      <c r="B53" s="21">
        <v>92.4</v>
      </c>
      <c r="C53" s="7">
        <v>90.7</v>
      </c>
      <c r="E53" s="22">
        <v>90.7</v>
      </c>
      <c r="F53" s="21">
        <v>91.3</v>
      </c>
      <c r="G53" s="20">
        <v>-0.6</v>
      </c>
      <c r="H53" s="7">
        <v>-0.2</v>
      </c>
      <c r="I53" s="7">
        <v>1.9</v>
      </c>
      <c r="J53" s="76">
        <f t="shared" si="2"/>
        <v>-6.4935064935064931E-3</v>
      </c>
      <c r="K53" s="76">
        <f t="shared" si="3"/>
        <v>-2.1645021645021645E-3</v>
      </c>
      <c r="L53" s="76">
        <f t="shared" si="4"/>
        <v>2.056277056277056E-2</v>
      </c>
      <c r="M53" s="76" t="e">
        <f t="shared" si="5"/>
        <v>#N/A</v>
      </c>
      <c r="N53" s="76" t="e">
        <f t="shared" si="6"/>
        <v>#N/A</v>
      </c>
      <c r="P53" s="7">
        <f t="shared" si="7"/>
        <v>92.4</v>
      </c>
      <c r="Q53" s="7">
        <f t="shared" si="8"/>
        <v>90.7</v>
      </c>
      <c r="S53" s="9">
        <f t="shared" si="1"/>
        <v>0</v>
      </c>
    </row>
    <row r="54" spans="1:19" x14ac:dyDescent="0.25">
      <c r="A54" s="14">
        <v>38808</v>
      </c>
      <c r="B54" s="21">
        <v>85.7</v>
      </c>
      <c r="C54" s="7">
        <v>91.4</v>
      </c>
      <c r="E54" s="22">
        <v>91.4</v>
      </c>
      <c r="F54" s="21">
        <v>91.4</v>
      </c>
      <c r="G54" s="20">
        <v>0</v>
      </c>
      <c r="H54" s="7">
        <v>-3.4</v>
      </c>
      <c r="I54" s="7">
        <v>-2.2999999999999998</v>
      </c>
      <c r="J54" s="76">
        <f t="shared" si="2"/>
        <v>0</v>
      </c>
      <c r="K54" s="76">
        <f t="shared" si="3"/>
        <v>-3.9673278879813298E-2</v>
      </c>
      <c r="L54" s="76">
        <f t="shared" si="4"/>
        <v>-2.6837806301050173E-2</v>
      </c>
      <c r="M54" s="76" t="e">
        <f t="shared" si="5"/>
        <v>#N/A</v>
      </c>
      <c r="N54" s="76" t="e">
        <f t="shared" si="6"/>
        <v>#N/A</v>
      </c>
      <c r="P54" s="7">
        <f t="shared" si="7"/>
        <v>85.7</v>
      </c>
      <c r="Q54" s="7">
        <f t="shared" si="8"/>
        <v>91.4</v>
      </c>
      <c r="S54" s="9">
        <f t="shared" si="1"/>
        <v>0</v>
      </c>
    </row>
    <row r="55" spans="1:19" x14ac:dyDescent="0.25">
      <c r="A55" s="14">
        <v>38838</v>
      </c>
      <c r="B55" s="21">
        <v>95.4</v>
      </c>
      <c r="C55" s="7">
        <v>92.2</v>
      </c>
      <c r="E55" s="22">
        <v>92.2</v>
      </c>
      <c r="F55" s="21">
        <v>91.4</v>
      </c>
      <c r="G55" s="20">
        <v>0.8</v>
      </c>
      <c r="H55" s="7">
        <v>2</v>
      </c>
      <c r="I55" s="7">
        <v>1.2</v>
      </c>
      <c r="J55" s="76">
        <f t="shared" si="2"/>
        <v>8.385744234800839E-3</v>
      </c>
      <c r="K55" s="76">
        <f t="shared" si="3"/>
        <v>2.0964360587002094E-2</v>
      </c>
      <c r="L55" s="76">
        <f t="shared" si="4"/>
        <v>1.2578616352201257E-2</v>
      </c>
      <c r="M55" s="76" t="e">
        <f t="shared" si="5"/>
        <v>#N/A</v>
      </c>
      <c r="N55" s="76" t="e">
        <f t="shared" si="6"/>
        <v>#N/A</v>
      </c>
      <c r="P55" s="7">
        <f t="shared" si="7"/>
        <v>95.4</v>
      </c>
      <c r="Q55" s="7">
        <f t="shared" si="8"/>
        <v>92.2</v>
      </c>
      <c r="S55" s="9">
        <f t="shared" si="1"/>
        <v>0</v>
      </c>
    </row>
    <row r="56" spans="1:19" x14ac:dyDescent="0.25">
      <c r="A56" s="14">
        <v>38869</v>
      </c>
      <c r="B56" s="21">
        <v>91.1</v>
      </c>
      <c r="C56" s="7">
        <v>90.6</v>
      </c>
      <c r="E56" s="22">
        <v>90.6</v>
      </c>
      <c r="F56" s="21">
        <v>91.3</v>
      </c>
      <c r="G56" s="20">
        <v>-0.7</v>
      </c>
      <c r="H56" s="7">
        <v>0.1</v>
      </c>
      <c r="I56" s="7">
        <v>0.4</v>
      </c>
      <c r="J56" s="76">
        <f t="shared" si="2"/>
        <v>-7.6838638858397366E-3</v>
      </c>
      <c r="K56" s="76">
        <f t="shared" si="3"/>
        <v>1.0976948408342481E-3</v>
      </c>
      <c r="L56" s="76">
        <f t="shared" si="4"/>
        <v>4.3907793633369925E-3</v>
      </c>
      <c r="M56" s="76" t="e">
        <f t="shared" si="5"/>
        <v>#N/A</v>
      </c>
      <c r="N56" s="76" t="e">
        <f t="shared" si="6"/>
        <v>#N/A</v>
      </c>
      <c r="P56" s="7">
        <f t="shared" si="7"/>
        <v>91.1</v>
      </c>
      <c r="Q56" s="7">
        <f t="shared" si="8"/>
        <v>90.6</v>
      </c>
      <c r="S56" s="9">
        <f t="shared" si="1"/>
        <v>0</v>
      </c>
    </row>
    <row r="57" spans="1:19" x14ac:dyDescent="0.25">
      <c r="A57" s="14">
        <v>38899</v>
      </c>
      <c r="B57" s="21">
        <v>93.8</v>
      </c>
      <c r="C57" s="7">
        <v>91.6</v>
      </c>
      <c r="E57" s="22">
        <v>91.6</v>
      </c>
      <c r="F57" s="21">
        <v>91.2</v>
      </c>
      <c r="G57" s="20">
        <v>0.4</v>
      </c>
      <c r="H57" s="7">
        <v>3.5</v>
      </c>
      <c r="I57" s="7">
        <v>-1.3</v>
      </c>
      <c r="J57" s="76">
        <f t="shared" si="2"/>
        <v>4.2643923240938174E-3</v>
      </c>
      <c r="K57" s="76">
        <f t="shared" si="3"/>
        <v>3.7313432835820899E-2</v>
      </c>
      <c r="L57" s="76">
        <f t="shared" si="4"/>
        <v>-1.3859275053304905E-2</v>
      </c>
      <c r="M57" s="76" t="e">
        <f t="shared" si="5"/>
        <v>#N/A</v>
      </c>
      <c r="N57" s="76" t="e">
        <f t="shared" si="6"/>
        <v>#N/A</v>
      </c>
      <c r="P57" s="7">
        <f t="shared" si="7"/>
        <v>93.800000000000011</v>
      </c>
      <c r="Q57" s="7">
        <f t="shared" si="8"/>
        <v>91.600000000000009</v>
      </c>
      <c r="S57" s="9">
        <f t="shared" si="1"/>
        <v>0</v>
      </c>
    </row>
    <row r="58" spans="1:19" x14ac:dyDescent="0.25">
      <c r="A58" s="14">
        <v>38930</v>
      </c>
      <c r="B58" s="21">
        <v>98.6</v>
      </c>
      <c r="C58" s="7">
        <v>91.4</v>
      </c>
      <c r="E58" s="22">
        <v>91.4</v>
      </c>
      <c r="F58" s="21">
        <v>91.1</v>
      </c>
      <c r="G58" s="20">
        <v>0.3</v>
      </c>
      <c r="H58" s="7">
        <v>6</v>
      </c>
      <c r="I58" s="7">
        <v>1.2</v>
      </c>
      <c r="J58" s="76">
        <f t="shared" si="2"/>
        <v>3.0425963488843813E-3</v>
      </c>
      <c r="K58" s="76">
        <f t="shared" si="3"/>
        <v>6.0851926977687633E-2</v>
      </c>
      <c r="L58" s="76">
        <f t="shared" si="4"/>
        <v>1.2170385395537525E-2</v>
      </c>
      <c r="M58" s="76" t="e">
        <f t="shared" si="5"/>
        <v>#N/A</v>
      </c>
      <c r="N58" s="76" t="e">
        <f t="shared" si="6"/>
        <v>#N/A</v>
      </c>
      <c r="P58" s="7">
        <f t="shared" si="7"/>
        <v>98.6</v>
      </c>
      <c r="Q58" s="7">
        <f t="shared" si="8"/>
        <v>91.399999999999991</v>
      </c>
      <c r="S58" s="9">
        <f t="shared" si="1"/>
        <v>0</v>
      </c>
    </row>
    <row r="59" spans="1:19" x14ac:dyDescent="0.25">
      <c r="A59" s="14">
        <v>38961</v>
      </c>
      <c r="B59" s="21">
        <v>93.2</v>
      </c>
      <c r="C59" s="7">
        <v>90.4</v>
      </c>
      <c r="E59" s="22">
        <v>90.4</v>
      </c>
      <c r="F59" s="21">
        <v>91.2</v>
      </c>
      <c r="G59" s="20">
        <v>-0.8</v>
      </c>
      <c r="H59" s="7">
        <v>2.9</v>
      </c>
      <c r="I59" s="7">
        <v>-0.1</v>
      </c>
      <c r="J59" s="76">
        <f t="shared" si="2"/>
        <v>-8.5836909871244635E-3</v>
      </c>
      <c r="K59" s="76">
        <f t="shared" si="3"/>
        <v>3.1115879828326178E-2</v>
      </c>
      <c r="L59" s="76">
        <f t="shared" si="4"/>
        <v>-1.0729613733905579E-3</v>
      </c>
      <c r="M59" s="76" t="e">
        <f t="shared" si="5"/>
        <v>#N/A</v>
      </c>
      <c r="N59" s="76" t="e">
        <f t="shared" si="6"/>
        <v>#N/A</v>
      </c>
      <c r="P59" s="7">
        <f t="shared" si="7"/>
        <v>93.200000000000017</v>
      </c>
      <c r="Q59" s="7">
        <f t="shared" si="8"/>
        <v>90.4</v>
      </c>
      <c r="S59" s="9">
        <f t="shared" si="1"/>
        <v>0</v>
      </c>
    </row>
    <row r="60" spans="1:19" x14ac:dyDescent="0.25">
      <c r="A60" s="14">
        <v>38991</v>
      </c>
      <c r="B60" s="21">
        <v>97.5</v>
      </c>
      <c r="C60" s="7">
        <v>90.7</v>
      </c>
      <c r="E60" s="22">
        <v>90.7</v>
      </c>
      <c r="F60" s="21">
        <v>91.4</v>
      </c>
      <c r="G60" s="20">
        <v>-0.7</v>
      </c>
      <c r="H60" s="7">
        <v>7.4</v>
      </c>
      <c r="I60" s="7">
        <v>-0.6</v>
      </c>
      <c r="J60" s="76">
        <f t="shared" si="2"/>
        <v>-7.1794871794871786E-3</v>
      </c>
      <c r="K60" s="76">
        <f t="shared" si="3"/>
        <v>7.5897435897435903E-2</v>
      </c>
      <c r="L60" s="76">
        <f t="shared" si="4"/>
        <v>-6.1538461538461538E-3</v>
      </c>
      <c r="M60" s="76" t="e">
        <f t="shared" si="5"/>
        <v>#N/A</v>
      </c>
      <c r="N60" s="76" t="e">
        <f t="shared" si="6"/>
        <v>#N/A</v>
      </c>
      <c r="P60" s="7">
        <f t="shared" si="7"/>
        <v>97.500000000000014</v>
      </c>
      <c r="Q60" s="7">
        <f t="shared" si="8"/>
        <v>90.7</v>
      </c>
      <c r="S60" s="9">
        <f t="shared" si="1"/>
        <v>0</v>
      </c>
    </row>
    <row r="61" spans="1:19" x14ac:dyDescent="0.25">
      <c r="A61" s="14">
        <v>39022</v>
      </c>
      <c r="B61" s="21">
        <v>95.9</v>
      </c>
      <c r="C61" s="7">
        <v>92.1</v>
      </c>
      <c r="E61" s="22">
        <v>92.1</v>
      </c>
      <c r="F61" s="21">
        <v>91.9</v>
      </c>
      <c r="G61" s="20">
        <v>0.2</v>
      </c>
      <c r="H61" s="7">
        <v>3.1</v>
      </c>
      <c r="I61" s="7">
        <v>0.7</v>
      </c>
      <c r="J61" s="76">
        <f t="shared" si="2"/>
        <v>2.0855057351407717E-3</v>
      </c>
      <c r="K61" s="76">
        <f t="shared" si="3"/>
        <v>3.2325338894681963E-2</v>
      </c>
      <c r="L61" s="76">
        <f t="shared" si="4"/>
        <v>7.2992700729926996E-3</v>
      </c>
      <c r="M61" s="76" t="e">
        <f t="shared" si="5"/>
        <v>#N/A</v>
      </c>
      <c r="N61" s="76" t="e">
        <f t="shared" si="6"/>
        <v>#N/A</v>
      </c>
      <c r="P61" s="7">
        <f t="shared" si="7"/>
        <v>95.9</v>
      </c>
      <c r="Q61" s="7">
        <f t="shared" si="8"/>
        <v>92.100000000000009</v>
      </c>
      <c r="S61" s="9">
        <f t="shared" si="1"/>
        <v>0</v>
      </c>
    </row>
    <row r="62" spans="1:19" x14ac:dyDescent="0.25">
      <c r="A62" s="14">
        <v>39052</v>
      </c>
      <c r="B62" s="21">
        <v>87</v>
      </c>
      <c r="C62" s="7">
        <v>93.3</v>
      </c>
      <c r="E62" s="22">
        <v>93.3</v>
      </c>
      <c r="F62" s="21">
        <v>92.5</v>
      </c>
      <c r="G62" s="20">
        <v>0.8</v>
      </c>
      <c r="H62" s="7">
        <v>-4.7</v>
      </c>
      <c r="I62" s="7">
        <v>-1.6</v>
      </c>
      <c r="J62" s="76">
        <f t="shared" si="2"/>
        <v>9.1954022988505746E-3</v>
      </c>
      <c r="K62" s="76">
        <f t="shared" si="3"/>
        <v>-5.4022988505747126E-2</v>
      </c>
      <c r="L62" s="76">
        <f t="shared" si="4"/>
        <v>-1.8390804597701149E-2</v>
      </c>
      <c r="M62" s="76" t="e">
        <f t="shared" si="5"/>
        <v>#N/A</v>
      </c>
      <c r="N62" s="76" t="e">
        <f t="shared" si="6"/>
        <v>#N/A</v>
      </c>
      <c r="P62" s="7">
        <f t="shared" si="7"/>
        <v>87</v>
      </c>
      <c r="Q62" s="7">
        <f t="shared" si="8"/>
        <v>93.3</v>
      </c>
      <c r="S62" s="9">
        <f t="shared" si="1"/>
        <v>0</v>
      </c>
    </row>
    <row r="63" spans="1:19" x14ac:dyDescent="0.25">
      <c r="A63" s="14">
        <v>39083</v>
      </c>
      <c r="B63" s="21">
        <v>87</v>
      </c>
      <c r="C63" s="7">
        <v>92.7</v>
      </c>
      <c r="E63" s="22">
        <v>92.7</v>
      </c>
      <c r="F63" s="21">
        <v>93.3</v>
      </c>
      <c r="G63" s="20">
        <v>-0.6</v>
      </c>
      <c r="H63" s="7">
        <v>-6.7</v>
      </c>
      <c r="I63" s="7">
        <v>1</v>
      </c>
      <c r="J63" s="76">
        <f t="shared" si="2"/>
        <v>-6.8965517241379309E-3</v>
      </c>
      <c r="K63" s="76">
        <f t="shared" si="3"/>
        <v>-7.7011494252873569E-2</v>
      </c>
      <c r="L63" s="76">
        <f t="shared" si="4"/>
        <v>1.1494252873563218E-2</v>
      </c>
      <c r="M63" s="76" t="e">
        <f t="shared" si="5"/>
        <v>#N/A</v>
      </c>
      <c r="N63" s="76" t="e">
        <f t="shared" si="6"/>
        <v>#N/A</v>
      </c>
      <c r="P63" s="7">
        <f t="shared" si="7"/>
        <v>87</v>
      </c>
      <c r="Q63" s="7">
        <f t="shared" si="8"/>
        <v>92.7</v>
      </c>
      <c r="S63" s="9">
        <f t="shared" si="1"/>
        <v>0</v>
      </c>
    </row>
    <row r="64" spans="1:19" x14ac:dyDescent="0.25">
      <c r="A64" s="14">
        <v>39114</v>
      </c>
      <c r="B64" s="21">
        <v>82.6</v>
      </c>
      <c r="C64" s="7">
        <v>93.9</v>
      </c>
      <c r="E64" s="22">
        <v>93.9</v>
      </c>
      <c r="F64" s="21">
        <v>94.1</v>
      </c>
      <c r="G64" s="20">
        <v>-0.2</v>
      </c>
      <c r="H64" s="7">
        <v>-10.3</v>
      </c>
      <c r="I64" s="7">
        <v>-1.1000000000000001</v>
      </c>
      <c r="J64" s="76">
        <f t="shared" si="2"/>
        <v>-2.4213075060532689E-3</v>
      </c>
      <c r="K64" s="76">
        <f t="shared" si="3"/>
        <v>-0.12469733656174335</v>
      </c>
      <c r="L64" s="76">
        <f t="shared" si="4"/>
        <v>-1.331719128329298E-2</v>
      </c>
      <c r="M64" s="76" t="e">
        <f t="shared" si="5"/>
        <v>#N/A</v>
      </c>
      <c r="N64" s="76" t="e">
        <f t="shared" si="6"/>
        <v>#N/A</v>
      </c>
      <c r="P64" s="7">
        <f t="shared" si="7"/>
        <v>82.5</v>
      </c>
      <c r="Q64" s="7">
        <f t="shared" si="8"/>
        <v>93.899999999999991</v>
      </c>
      <c r="S64" s="9">
        <f t="shared" si="1"/>
        <v>0</v>
      </c>
    </row>
    <row r="65" spans="1:19" x14ac:dyDescent="0.25">
      <c r="A65" s="14">
        <v>39142</v>
      </c>
      <c r="B65" s="21">
        <v>96.4</v>
      </c>
      <c r="C65" s="7">
        <v>94.9</v>
      </c>
      <c r="E65" s="22">
        <v>94.9</v>
      </c>
      <c r="F65" s="21">
        <v>94.9</v>
      </c>
      <c r="G65" s="20">
        <v>0</v>
      </c>
      <c r="H65" s="7">
        <v>-0.2</v>
      </c>
      <c r="I65" s="7">
        <v>1.7</v>
      </c>
      <c r="J65" s="76">
        <f t="shared" si="2"/>
        <v>0</v>
      </c>
      <c r="K65" s="76">
        <f t="shared" si="3"/>
        <v>-2.0746887966804979E-3</v>
      </c>
      <c r="L65" s="76">
        <f t="shared" si="4"/>
        <v>1.7634854771784232E-2</v>
      </c>
      <c r="M65" s="76" t="e">
        <f t="shared" si="5"/>
        <v>#N/A</v>
      </c>
      <c r="N65" s="76" t="e">
        <f t="shared" si="6"/>
        <v>#N/A</v>
      </c>
      <c r="P65" s="7">
        <f t="shared" si="7"/>
        <v>96.4</v>
      </c>
      <c r="Q65" s="7">
        <f t="shared" si="8"/>
        <v>94.9</v>
      </c>
      <c r="S65" s="9">
        <f t="shared" si="1"/>
        <v>0</v>
      </c>
    </row>
    <row r="66" spans="1:19" x14ac:dyDescent="0.25">
      <c r="A66" s="14">
        <v>39173</v>
      </c>
      <c r="B66" s="21">
        <v>90.6</v>
      </c>
      <c r="C66" s="7">
        <v>96</v>
      </c>
      <c r="E66" s="22">
        <v>96</v>
      </c>
      <c r="F66" s="21">
        <v>95.6</v>
      </c>
      <c r="G66" s="20">
        <v>0.4</v>
      </c>
      <c r="H66" s="7">
        <v>-3.6</v>
      </c>
      <c r="I66" s="7">
        <v>-1.8</v>
      </c>
      <c r="J66" s="76">
        <f t="shared" si="2"/>
        <v>4.4150110375275947E-3</v>
      </c>
      <c r="K66" s="76">
        <f t="shared" si="3"/>
        <v>-3.9735099337748346E-2</v>
      </c>
      <c r="L66" s="76">
        <f t="shared" si="4"/>
        <v>-1.9867549668874173E-2</v>
      </c>
      <c r="M66" s="76" t="e">
        <f t="shared" si="5"/>
        <v>#N/A</v>
      </c>
      <c r="N66" s="76" t="e">
        <f t="shared" si="6"/>
        <v>#N/A</v>
      </c>
      <c r="P66" s="7">
        <f t="shared" si="7"/>
        <v>90.600000000000009</v>
      </c>
      <c r="Q66" s="7">
        <f t="shared" si="8"/>
        <v>96</v>
      </c>
      <c r="S66" s="9">
        <f t="shared" si="1"/>
        <v>0</v>
      </c>
    </row>
    <row r="67" spans="1:19" x14ac:dyDescent="0.25">
      <c r="A67" s="14">
        <v>39203</v>
      </c>
      <c r="B67" s="21">
        <v>99.9</v>
      </c>
      <c r="C67" s="7">
        <v>96.3</v>
      </c>
      <c r="E67" s="22">
        <v>96.3</v>
      </c>
      <c r="F67" s="21">
        <v>96.2</v>
      </c>
      <c r="G67" s="20">
        <v>0.1</v>
      </c>
      <c r="H67" s="7">
        <v>2.1</v>
      </c>
      <c r="I67" s="7">
        <v>1.5</v>
      </c>
      <c r="J67" s="76">
        <f t="shared" si="2"/>
        <v>1.001001001001001E-3</v>
      </c>
      <c r="K67" s="76">
        <f t="shared" si="3"/>
        <v>2.1021021021021019E-2</v>
      </c>
      <c r="L67" s="76">
        <f t="shared" si="4"/>
        <v>1.5015015015015015E-2</v>
      </c>
      <c r="M67" s="76" t="e">
        <f t="shared" si="5"/>
        <v>#N/A</v>
      </c>
      <c r="N67" s="76" t="e">
        <f t="shared" si="6"/>
        <v>#N/A</v>
      </c>
      <c r="P67" s="7">
        <f t="shared" si="7"/>
        <v>99.899999999999991</v>
      </c>
      <c r="Q67" s="7">
        <f t="shared" si="8"/>
        <v>96.3</v>
      </c>
      <c r="S67" s="9">
        <f t="shared" si="1"/>
        <v>0</v>
      </c>
    </row>
    <row r="68" spans="1:19" x14ac:dyDescent="0.25">
      <c r="A68" s="14">
        <v>39234</v>
      </c>
      <c r="B68" s="21">
        <v>96.9</v>
      </c>
      <c r="C68" s="7">
        <v>97</v>
      </c>
      <c r="E68" s="22">
        <v>97</v>
      </c>
      <c r="F68" s="21">
        <v>96.7</v>
      </c>
      <c r="G68" s="20">
        <v>0.3</v>
      </c>
      <c r="H68" s="7">
        <v>0.2</v>
      </c>
      <c r="I68" s="7">
        <v>-0.3</v>
      </c>
      <c r="J68" s="76">
        <f t="shared" ref="J68:J131" si="9">G68/$B68</f>
        <v>3.0959752321981422E-3</v>
      </c>
      <c r="K68" s="76">
        <f t="shared" ref="K68:K131" si="10">H68/$B68</f>
        <v>2.0639834881320948E-3</v>
      </c>
      <c r="L68" s="76">
        <f t="shared" ref="L68:L131" si="11">I68/$B68</f>
        <v>-3.0959752321981422E-3</v>
      </c>
      <c r="M68" s="76" t="e">
        <f t="shared" ref="M68:N131" si="12">IF($A68&gt;=DATE(2020,3,1),99999999,NA())</f>
        <v>#N/A</v>
      </c>
      <c r="N68" s="76" t="e">
        <f t="shared" ref="N68:N131" si="13">IF($A68&gt;=DATE(2020,3,1),-99999999,NA())</f>
        <v>#N/A</v>
      </c>
      <c r="P68" s="7">
        <f t="shared" ref="P68:P131" si="14">F68+G68+H68+I68</f>
        <v>96.9</v>
      </c>
      <c r="Q68" s="7">
        <f t="shared" ref="Q68:Q131" si="15">G68+F68</f>
        <v>97</v>
      </c>
      <c r="S68" s="9">
        <f t="shared" ref="S68:S131" si="16">(E68-C68)/C68</f>
        <v>0</v>
      </c>
    </row>
    <row r="69" spans="1:19" x14ac:dyDescent="0.25">
      <c r="A69" s="14">
        <v>39264</v>
      </c>
      <c r="B69" s="21">
        <v>99.8</v>
      </c>
      <c r="C69" s="7">
        <v>96.5</v>
      </c>
      <c r="E69" s="22">
        <v>96.5</v>
      </c>
      <c r="F69" s="21">
        <v>97.2</v>
      </c>
      <c r="G69" s="20">
        <v>-0.6</v>
      </c>
      <c r="H69" s="7">
        <v>3.9</v>
      </c>
      <c r="I69" s="7">
        <v>-0.6</v>
      </c>
      <c r="J69" s="76">
        <f t="shared" si="9"/>
        <v>-6.0120240480961923E-3</v>
      </c>
      <c r="K69" s="76">
        <f t="shared" si="10"/>
        <v>3.9078156312625248E-2</v>
      </c>
      <c r="L69" s="76">
        <f t="shared" si="11"/>
        <v>-6.0120240480961923E-3</v>
      </c>
      <c r="M69" s="76" t="e">
        <f t="shared" si="12"/>
        <v>#N/A</v>
      </c>
      <c r="N69" s="76" t="e">
        <f t="shared" si="13"/>
        <v>#N/A</v>
      </c>
      <c r="P69" s="7">
        <f t="shared" si="14"/>
        <v>99.90000000000002</v>
      </c>
      <c r="Q69" s="7">
        <f t="shared" si="15"/>
        <v>96.600000000000009</v>
      </c>
      <c r="S69" s="9">
        <f t="shared" si="16"/>
        <v>0</v>
      </c>
    </row>
    <row r="70" spans="1:19" x14ac:dyDescent="0.25">
      <c r="A70" s="14">
        <v>39295</v>
      </c>
      <c r="B70" s="21">
        <v>104.9</v>
      </c>
      <c r="C70" s="7">
        <v>97.9</v>
      </c>
      <c r="E70" s="22">
        <v>97.9</v>
      </c>
      <c r="F70" s="21">
        <v>97.5</v>
      </c>
      <c r="G70" s="20">
        <v>0.4</v>
      </c>
      <c r="H70" s="7">
        <v>6.3</v>
      </c>
      <c r="I70" s="7">
        <v>0.7</v>
      </c>
      <c r="J70" s="76">
        <f t="shared" si="9"/>
        <v>3.8131553860819827E-3</v>
      </c>
      <c r="K70" s="76">
        <f t="shared" si="10"/>
        <v>6.0057197330791227E-2</v>
      </c>
      <c r="L70" s="76">
        <f t="shared" si="11"/>
        <v>6.6730219256434693E-3</v>
      </c>
      <c r="M70" s="76" t="e">
        <f t="shared" si="12"/>
        <v>#N/A</v>
      </c>
      <c r="N70" s="76" t="e">
        <f t="shared" si="13"/>
        <v>#N/A</v>
      </c>
      <c r="P70" s="7">
        <f t="shared" si="14"/>
        <v>104.9</v>
      </c>
      <c r="Q70" s="7">
        <f t="shared" si="15"/>
        <v>97.9</v>
      </c>
      <c r="S70" s="9">
        <f t="shared" si="16"/>
        <v>0</v>
      </c>
    </row>
    <row r="71" spans="1:19" x14ac:dyDescent="0.25">
      <c r="A71" s="14">
        <v>39326</v>
      </c>
      <c r="B71" s="21">
        <v>98.4</v>
      </c>
      <c r="C71" s="7">
        <v>97.1</v>
      </c>
      <c r="E71" s="22">
        <v>97.1</v>
      </c>
      <c r="F71" s="21">
        <v>97.9</v>
      </c>
      <c r="G71" s="20">
        <v>-0.8</v>
      </c>
      <c r="H71" s="7">
        <v>2.9</v>
      </c>
      <c r="I71" s="7">
        <v>-1.6</v>
      </c>
      <c r="J71" s="76">
        <f t="shared" si="9"/>
        <v>-8.1300813008130073E-3</v>
      </c>
      <c r="K71" s="76">
        <f t="shared" si="10"/>
        <v>2.9471544715447152E-2</v>
      </c>
      <c r="L71" s="76">
        <f t="shared" si="11"/>
        <v>-1.6260162601626015E-2</v>
      </c>
      <c r="M71" s="76" t="e">
        <f t="shared" si="12"/>
        <v>#N/A</v>
      </c>
      <c r="N71" s="76" t="e">
        <f t="shared" si="13"/>
        <v>#N/A</v>
      </c>
      <c r="P71" s="7">
        <f t="shared" si="14"/>
        <v>98.40000000000002</v>
      </c>
      <c r="Q71" s="7">
        <f t="shared" si="15"/>
        <v>97.100000000000009</v>
      </c>
      <c r="S71" s="9">
        <f t="shared" si="16"/>
        <v>0</v>
      </c>
    </row>
    <row r="72" spans="1:19" x14ac:dyDescent="0.25">
      <c r="A72" s="14">
        <v>39356</v>
      </c>
      <c r="B72" s="21">
        <v>107.8</v>
      </c>
      <c r="C72" s="7">
        <v>99.5</v>
      </c>
      <c r="E72" s="22">
        <v>99.5</v>
      </c>
      <c r="F72" s="21">
        <v>98.4</v>
      </c>
      <c r="G72" s="20">
        <v>1</v>
      </c>
      <c r="H72" s="7">
        <v>7.4</v>
      </c>
      <c r="I72" s="7">
        <v>1</v>
      </c>
      <c r="J72" s="76">
        <f t="shared" si="9"/>
        <v>9.2764378478664197E-3</v>
      </c>
      <c r="K72" s="76">
        <f t="shared" si="10"/>
        <v>6.8645640074211506E-2</v>
      </c>
      <c r="L72" s="76">
        <f t="shared" si="11"/>
        <v>9.2764378478664197E-3</v>
      </c>
      <c r="M72" s="76" t="e">
        <f t="shared" si="12"/>
        <v>#N/A</v>
      </c>
      <c r="N72" s="76" t="e">
        <f t="shared" si="13"/>
        <v>#N/A</v>
      </c>
      <c r="P72" s="7">
        <f t="shared" si="14"/>
        <v>107.80000000000001</v>
      </c>
      <c r="Q72" s="7">
        <f t="shared" si="15"/>
        <v>99.4</v>
      </c>
      <c r="S72" s="9">
        <f t="shared" si="16"/>
        <v>0</v>
      </c>
    </row>
    <row r="73" spans="1:19" x14ac:dyDescent="0.25">
      <c r="A73" s="14">
        <v>39387</v>
      </c>
      <c r="B73" s="21">
        <v>102.4</v>
      </c>
      <c r="C73" s="7">
        <v>98.5</v>
      </c>
      <c r="E73" s="22">
        <v>98.5</v>
      </c>
      <c r="F73" s="21">
        <v>98.9</v>
      </c>
      <c r="G73" s="20">
        <v>-0.4</v>
      </c>
      <c r="H73" s="7">
        <v>3.2</v>
      </c>
      <c r="I73" s="7">
        <v>0.7</v>
      </c>
      <c r="J73" s="76">
        <f t="shared" si="9"/>
        <v>-3.90625E-3</v>
      </c>
      <c r="K73" s="76">
        <f t="shared" si="10"/>
        <v>3.125E-2</v>
      </c>
      <c r="L73" s="76">
        <f t="shared" si="11"/>
        <v>6.8359374999999991E-3</v>
      </c>
      <c r="M73" s="76" t="e">
        <f t="shared" si="12"/>
        <v>#N/A</v>
      </c>
      <c r="N73" s="76" t="e">
        <f t="shared" si="13"/>
        <v>#N/A</v>
      </c>
      <c r="P73" s="7">
        <f t="shared" si="14"/>
        <v>102.4</v>
      </c>
      <c r="Q73" s="7">
        <f t="shared" si="15"/>
        <v>98.5</v>
      </c>
      <c r="S73" s="9">
        <f t="shared" si="16"/>
        <v>0</v>
      </c>
    </row>
    <row r="74" spans="1:19" x14ac:dyDescent="0.25">
      <c r="A74" s="14">
        <v>39417</v>
      </c>
      <c r="B74" s="21">
        <v>92.6</v>
      </c>
      <c r="C74" s="7">
        <v>98.9</v>
      </c>
      <c r="E74" s="22">
        <v>98.9</v>
      </c>
      <c r="F74" s="21">
        <v>99.4</v>
      </c>
      <c r="G74" s="20">
        <v>-0.5</v>
      </c>
      <c r="H74" s="7">
        <v>-5.0999999999999996</v>
      </c>
      <c r="I74" s="7">
        <v>-1.3</v>
      </c>
      <c r="J74" s="76">
        <f t="shared" si="9"/>
        <v>-5.399568034557236E-3</v>
      </c>
      <c r="K74" s="76">
        <f t="shared" si="10"/>
        <v>-5.5075593952483799E-2</v>
      </c>
      <c r="L74" s="76">
        <f t="shared" si="11"/>
        <v>-1.4038876889848813E-2</v>
      </c>
      <c r="M74" s="76" t="e">
        <f t="shared" si="12"/>
        <v>#N/A</v>
      </c>
      <c r="N74" s="76" t="e">
        <f t="shared" si="13"/>
        <v>#N/A</v>
      </c>
      <c r="P74" s="7">
        <f t="shared" si="14"/>
        <v>92.500000000000014</v>
      </c>
      <c r="Q74" s="7">
        <f t="shared" si="15"/>
        <v>98.9</v>
      </c>
      <c r="S74" s="9">
        <f t="shared" si="16"/>
        <v>0</v>
      </c>
    </row>
    <row r="75" spans="1:19" x14ac:dyDescent="0.25">
      <c r="A75" s="14">
        <v>39448</v>
      </c>
      <c r="B75" s="21">
        <v>94.8</v>
      </c>
      <c r="C75" s="7">
        <v>100.6</v>
      </c>
      <c r="E75" s="22">
        <v>100.6</v>
      </c>
      <c r="F75" s="21">
        <v>99.8</v>
      </c>
      <c r="G75" s="20">
        <v>0.9</v>
      </c>
      <c r="H75" s="7">
        <v>-7</v>
      </c>
      <c r="I75" s="7">
        <v>1.2</v>
      </c>
      <c r="J75" s="76">
        <f t="shared" si="9"/>
        <v>9.4936708860759497E-3</v>
      </c>
      <c r="K75" s="76">
        <f t="shared" si="10"/>
        <v>-7.3839662447257384E-2</v>
      </c>
      <c r="L75" s="76">
        <f t="shared" si="11"/>
        <v>1.2658227848101266E-2</v>
      </c>
      <c r="M75" s="76" t="e">
        <f t="shared" si="12"/>
        <v>#N/A</v>
      </c>
      <c r="N75" s="76" t="e">
        <f t="shared" si="13"/>
        <v>#N/A</v>
      </c>
      <c r="P75" s="7">
        <f t="shared" si="14"/>
        <v>94.9</v>
      </c>
      <c r="Q75" s="7">
        <f t="shared" si="15"/>
        <v>100.7</v>
      </c>
      <c r="S75" s="9">
        <f t="shared" si="16"/>
        <v>0</v>
      </c>
    </row>
    <row r="76" spans="1:19" x14ac:dyDescent="0.25">
      <c r="A76" s="14">
        <v>39479</v>
      </c>
      <c r="B76" s="21">
        <v>91.1</v>
      </c>
      <c r="C76" s="7">
        <v>100.2</v>
      </c>
      <c r="E76" s="22">
        <v>100.2</v>
      </c>
      <c r="F76" s="21">
        <v>100.2</v>
      </c>
      <c r="G76" s="20">
        <v>0.1</v>
      </c>
      <c r="H76" s="7">
        <v>-10.4</v>
      </c>
      <c r="I76" s="7">
        <v>1.3</v>
      </c>
      <c r="J76" s="76">
        <f t="shared" si="9"/>
        <v>1.0976948408342481E-3</v>
      </c>
      <c r="K76" s="76">
        <f t="shared" si="10"/>
        <v>-0.11416026344676181</v>
      </c>
      <c r="L76" s="76">
        <f t="shared" si="11"/>
        <v>1.4270032930845226E-2</v>
      </c>
      <c r="M76" s="76" t="e">
        <f t="shared" si="12"/>
        <v>#N/A</v>
      </c>
      <c r="N76" s="76" t="e">
        <f t="shared" si="13"/>
        <v>#N/A</v>
      </c>
      <c r="P76" s="7">
        <f t="shared" si="14"/>
        <v>91.199999999999989</v>
      </c>
      <c r="Q76" s="7">
        <f t="shared" si="15"/>
        <v>100.3</v>
      </c>
      <c r="S76" s="9">
        <f t="shared" si="16"/>
        <v>0</v>
      </c>
    </row>
    <row r="77" spans="1:19" x14ac:dyDescent="0.25">
      <c r="A77" s="14">
        <v>39508</v>
      </c>
      <c r="B77" s="21">
        <v>97.7</v>
      </c>
      <c r="C77" s="7">
        <v>100.5</v>
      </c>
      <c r="E77" s="22">
        <v>100.5</v>
      </c>
      <c r="F77" s="21">
        <v>100.6</v>
      </c>
      <c r="G77" s="20">
        <v>-0.1</v>
      </c>
      <c r="H77" s="7">
        <v>-0.1</v>
      </c>
      <c r="I77" s="7">
        <v>-2.6</v>
      </c>
      <c r="J77" s="76">
        <f t="shared" si="9"/>
        <v>-1.0235414534288639E-3</v>
      </c>
      <c r="K77" s="76">
        <f t="shared" si="10"/>
        <v>-1.0235414534288639E-3</v>
      </c>
      <c r="L77" s="76">
        <f t="shared" si="11"/>
        <v>-2.6612077789150462E-2</v>
      </c>
      <c r="M77" s="76" t="e">
        <f t="shared" si="12"/>
        <v>#N/A</v>
      </c>
      <c r="N77" s="76" t="e">
        <f t="shared" si="13"/>
        <v>#N/A</v>
      </c>
      <c r="P77" s="7">
        <f t="shared" si="14"/>
        <v>97.800000000000011</v>
      </c>
      <c r="Q77" s="7">
        <f t="shared" si="15"/>
        <v>100.5</v>
      </c>
      <c r="S77" s="9">
        <f t="shared" si="16"/>
        <v>0</v>
      </c>
    </row>
    <row r="78" spans="1:19" x14ac:dyDescent="0.25">
      <c r="A78" s="14">
        <v>39539</v>
      </c>
      <c r="B78" s="21">
        <v>99.2</v>
      </c>
      <c r="C78" s="7">
        <v>100.4</v>
      </c>
      <c r="E78" s="22">
        <v>100.4</v>
      </c>
      <c r="F78" s="21">
        <v>101.1</v>
      </c>
      <c r="G78" s="20">
        <v>-0.7</v>
      </c>
      <c r="H78" s="7">
        <v>-3.7</v>
      </c>
      <c r="I78" s="7">
        <v>2.5</v>
      </c>
      <c r="J78" s="76">
        <f t="shared" si="9"/>
        <v>-7.0564516129032247E-3</v>
      </c>
      <c r="K78" s="76">
        <f t="shared" si="10"/>
        <v>-3.7298387096774195E-2</v>
      </c>
      <c r="L78" s="76">
        <f t="shared" si="11"/>
        <v>2.5201612903225805E-2</v>
      </c>
      <c r="M78" s="76" t="e">
        <f t="shared" si="12"/>
        <v>#N/A</v>
      </c>
      <c r="N78" s="76" t="e">
        <f t="shared" si="13"/>
        <v>#N/A</v>
      </c>
      <c r="P78" s="7">
        <f t="shared" si="14"/>
        <v>99.199999999999989</v>
      </c>
      <c r="Q78" s="7">
        <f t="shared" si="15"/>
        <v>100.39999999999999</v>
      </c>
      <c r="S78" s="9">
        <f t="shared" si="16"/>
        <v>0</v>
      </c>
    </row>
    <row r="79" spans="1:19" x14ac:dyDescent="0.25">
      <c r="A79" s="14">
        <v>39569</v>
      </c>
      <c r="B79" s="21">
        <v>102.5</v>
      </c>
      <c r="C79" s="7">
        <v>101.1</v>
      </c>
      <c r="E79" s="22">
        <v>101.1</v>
      </c>
      <c r="F79" s="21">
        <v>101.6</v>
      </c>
      <c r="G79" s="20">
        <v>-0.6</v>
      </c>
      <c r="H79" s="7">
        <v>2.2000000000000002</v>
      </c>
      <c r="I79" s="7">
        <v>-0.8</v>
      </c>
      <c r="J79" s="76">
        <f t="shared" si="9"/>
        <v>-5.8536585365853658E-3</v>
      </c>
      <c r="K79" s="76">
        <f t="shared" si="10"/>
        <v>2.1463414634146343E-2</v>
      </c>
      <c r="L79" s="76">
        <f t="shared" si="11"/>
        <v>-7.8048780487804887E-3</v>
      </c>
      <c r="M79" s="76" t="e">
        <f t="shared" si="12"/>
        <v>#N/A</v>
      </c>
      <c r="N79" s="76" t="e">
        <f t="shared" si="13"/>
        <v>#N/A</v>
      </c>
      <c r="P79" s="7">
        <f t="shared" si="14"/>
        <v>102.4</v>
      </c>
      <c r="Q79" s="7">
        <f t="shared" si="15"/>
        <v>101</v>
      </c>
      <c r="S79" s="9">
        <f t="shared" si="16"/>
        <v>0</v>
      </c>
    </row>
    <row r="80" spans="1:19" x14ac:dyDescent="0.25">
      <c r="A80" s="14">
        <v>39600</v>
      </c>
      <c r="B80" s="21">
        <v>103.3</v>
      </c>
      <c r="C80" s="7">
        <v>102.9</v>
      </c>
      <c r="E80" s="22">
        <v>102.9</v>
      </c>
      <c r="F80" s="21">
        <v>102.1</v>
      </c>
      <c r="G80" s="20">
        <v>0.8</v>
      </c>
      <c r="H80" s="7">
        <v>0.2</v>
      </c>
      <c r="I80" s="7">
        <v>0.2</v>
      </c>
      <c r="J80" s="76">
        <f t="shared" si="9"/>
        <v>7.7444336882865443E-3</v>
      </c>
      <c r="K80" s="76">
        <f t="shared" si="10"/>
        <v>1.9361084220716361E-3</v>
      </c>
      <c r="L80" s="76">
        <f t="shared" si="11"/>
        <v>1.9361084220716361E-3</v>
      </c>
      <c r="M80" s="76" t="e">
        <f t="shared" si="12"/>
        <v>#N/A</v>
      </c>
      <c r="N80" s="76" t="e">
        <f t="shared" si="13"/>
        <v>#N/A</v>
      </c>
      <c r="P80" s="7">
        <f t="shared" si="14"/>
        <v>103.3</v>
      </c>
      <c r="Q80" s="7">
        <f t="shared" si="15"/>
        <v>102.89999999999999</v>
      </c>
      <c r="S80" s="9">
        <f t="shared" si="16"/>
        <v>0</v>
      </c>
    </row>
    <row r="81" spans="1:19" x14ac:dyDescent="0.25">
      <c r="A81" s="14">
        <v>39630</v>
      </c>
      <c r="B81" s="21">
        <v>108.5</v>
      </c>
      <c r="C81" s="7">
        <v>103.2</v>
      </c>
      <c r="E81" s="22">
        <v>103.2</v>
      </c>
      <c r="F81" s="21">
        <v>102.5</v>
      </c>
      <c r="G81" s="20">
        <v>0.7</v>
      </c>
      <c r="H81" s="7">
        <v>4.0999999999999996</v>
      </c>
      <c r="I81" s="7">
        <v>1.2</v>
      </c>
      <c r="J81" s="76">
        <f t="shared" si="9"/>
        <v>6.4516129032258064E-3</v>
      </c>
      <c r="K81" s="76">
        <f t="shared" si="10"/>
        <v>3.7788018433179721E-2</v>
      </c>
      <c r="L81" s="76">
        <f t="shared" si="11"/>
        <v>1.1059907834101382E-2</v>
      </c>
      <c r="M81" s="76" t="e">
        <f t="shared" si="12"/>
        <v>#N/A</v>
      </c>
      <c r="N81" s="76" t="e">
        <f t="shared" si="13"/>
        <v>#N/A</v>
      </c>
      <c r="P81" s="7">
        <f t="shared" si="14"/>
        <v>108.5</v>
      </c>
      <c r="Q81" s="7">
        <f t="shared" si="15"/>
        <v>103.2</v>
      </c>
      <c r="S81" s="9">
        <f t="shared" si="16"/>
        <v>0</v>
      </c>
    </row>
    <row r="82" spans="1:19" x14ac:dyDescent="0.25">
      <c r="A82" s="14">
        <v>39661</v>
      </c>
      <c r="B82" s="21">
        <v>106.9</v>
      </c>
      <c r="C82" s="7">
        <v>101.9</v>
      </c>
      <c r="E82" s="22">
        <v>101.9</v>
      </c>
      <c r="F82" s="21">
        <v>102.6</v>
      </c>
      <c r="G82" s="20">
        <v>-0.6</v>
      </c>
      <c r="H82" s="7">
        <v>6.6</v>
      </c>
      <c r="I82" s="7">
        <v>-1.6</v>
      </c>
      <c r="J82" s="76">
        <f t="shared" si="9"/>
        <v>-5.6127221702525721E-3</v>
      </c>
      <c r="K82" s="76">
        <f t="shared" si="10"/>
        <v>6.1739943872778293E-2</v>
      </c>
      <c r="L82" s="76">
        <f t="shared" si="11"/>
        <v>-1.4967259120673527E-2</v>
      </c>
      <c r="M82" s="76" t="e">
        <f t="shared" si="12"/>
        <v>#N/A</v>
      </c>
      <c r="N82" s="76" t="e">
        <f t="shared" si="13"/>
        <v>#N/A</v>
      </c>
      <c r="P82" s="7">
        <f t="shared" si="14"/>
        <v>107</v>
      </c>
      <c r="Q82" s="7">
        <f t="shared" si="15"/>
        <v>102</v>
      </c>
      <c r="S82" s="9">
        <f t="shared" si="16"/>
        <v>0</v>
      </c>
    </row>
    <row r="83" spans="1:19" x14ac:dyDescent="0.25">
      <c r="A83" s="14">
        <v>39692</v>
      </c>
      <c r="B83" s="21">
        <v>107.3</v>
      </c>
      <c r="C83" s="7">
        <v>103.4</v>
      </c>
      <c r="E83" s="22">
        <v>103.4</v>
      </c>
      <c r="F83" s="21">
        <v>102.3</v>
      </c>
      <c r="G83" s="20">
        <v>1.1000000000000001</v>
      </c>
      <c r="H83" s="7">
        <v>3</v>
      </c>
      <c r="I83" s="7">
        <v>0.9</v>
      </c>
      <c r="J83" s="76">
        <f t="shared" si="9"/>
        <v>1.0251630941286114E-2</v>
      </c>
      <c r="K83" s="76">
        <f t="shared" si="10"/>
        <v>2.7958993476234855E-2</v>
      </c>
      <c r="L83" s="76">
        <f t="shared" si="11"/>
        <v>8.3876980428704579E-3</v>
      </c>
      <c r="M83" s="76" t="e">
        <f t="shared" si="12"/>
        <v>#N/A</v>
      </c>
      <c r="N83" s="76" t="e">
        <f t="shared" si="13"/>
        <v>#N/A</v>
      </c>
      <c r="P83" s="7">
        <f t="shared" si="14"/>
        <v>107.3</v>
      </c>
      <c r="Q83" s="7">
        <f t="shared" si="15"/>
        <v>103.39999999999999</v>
      </c>
      <c r="S83" s="9">
        <f t="shared" si="16"/>
        <v>0</v>
      </c>
    </row>
    <row r="84" spans="1:19" x14ac:dyDescent="0.25">
      <c r="A84" s="14">
        <v>39722</v>
      </c>
      <c r="B84" s="21">
        <v>108.4</v>
      </c>
      <c r="C84" s="7">
        <v>100.2</v>
      </c>
      <c r="E84" s="22">
        <v>100.2</v>
      </c>
      <c r="F84" s="21">
        <v>101.8</v>
      </c>
      <c r="G84" s="20">
        <v>-1.7</v>
      </c>
      <c r="H84" s="7">
        <v>7.5</v>
      </c>
      <c r="I84" s="7">
        <v>0.7</v>
      </c>
      <c r="J84" s="76">
        <f t="shared" si="9"/>
        <v>-1.5682656826568265E-2</v>
      </c>
      <c r="K84" s="76">
        <f t="shared" si="10"/>
        <v>6.9188191881918812E-2</v>
      </c>
      <c r="L84" s="76">
        <f t="shared" si="11"/>
        <v>6.4575645756457557E-3</v>
      </c>
      <c r="M84" s="76" t="e">
        <f t="shared" si="12"/>
        <v>#N/A</v>
      </c>
      <c r="N84" s="76" t="e">
        <f t="shared" si="13"/>
        <v>#N/A</v>
      </c>
      <c r="P84" s="7">
        <f t="shared" si="14"/>
        <v>108.3</v>
      </c>
      <c r="Q84" s="7">
        <f t="shared" si="15"/>
        <v>100.1</v>
      </c>
      <c r="S84" s="9">
        <f t="shared" si="16"/>
        <v>0</v>
      </c>
    </row>
    <row r="85" spans="1:19" x14ac:dyDescent="0.25">
      <c r="A85" s="14">
        <v>39753</v>
      </c>
      <c r="B85" s="21">
        <v>96.2</v>
      </c>
      <c r="C85" s="7">
        <v>94.4</v>
      </c>
      <c r="E85" s="22">
        <v>94.4</v>
      </c>
      <c r="F85" s="21">
        <v>94.5</v>
      </c>
      <c r="G85" s="20">
        <v>-0.1</v>
      </c>
      <c r="H85" s="7">
        <v>3.4</v>
      </c>
      <c r="I85" s="7">
        <v>-1.6</v>
      </c>
      <c r="J85" s="76">
        <f t="shared" si="9"/>
        <v>-1.0395010395010396E-3</v>
      </c>
      <c r="K85" s="76">
        <f t="shared" si="10"/>
        <v>3.5343035343035338E-2</v>
      </c>
      <c r="L85" s="76">
        <f t="shared" si="11"/>
        <v>-1.6632016632016633E-2</v>
      </c>
      <c r="M85" s="76" t="e">
        <f t="shared" si="12"/>
        <v>#N/A</v>
      </c>
      <c r="N85" s="76" t="e">
        <f t="shared" si="13"/>
        <v>#N/A</v>
      </c>
      <c r="P85" s="7">
        <f t="shared" si="14"/>
        <v>96.200000000000017</v>
      </c>
      <c r="Q85" s="7">
        <f t="shared" si="15"/>
        <v>94.4</v>
      </c>
      <c r="S85" s="9">
        <f t="shared" si="16"/>
        <v>0</v>
      </c>
    </row>
    <row r="86" spans="1:19" x14ac:dyDescent="0.25">
      <c r="A86" s="14">
        <v>39783</v>
      </c>
      <c r="B86" s="21">
        <v>79.099999999999994</v>
      </c>
      <c r="C86" s="7">
        <v>83.8</v>
      </c>
      <c r="E86" s="22">
        <v>83.8</v>
      </c>
      <c r="F86" s="21">
        <v>93.7</v>
      </c>
      <c r="G86" s="20">
        <v>-10</v>
      </c>
      <c r="H86" s="7">
        <v>-5.6</v>
      </c>
      <c r="I86" s="7">
        <v>1</v>
      </c>
      <c r="J86" s="76">
        <f t="shared" si="9"/>
        <v>-0.12642225031605564</v>
      </c>
      <c r="K86" s="76">
        <f t="shared" si="10"/>
        <v>-7.0796460176991149E-2</v>
      </c>
      <c r="L86" s="76">
        <f t="shared" si="11"/>
        <v>1.2642225031605564E-2</v>
      </c>
      <c r="M86" s="76" t="e">
        <f t="shared" si="12"/>
        <v>#N/A</v>
      </c>
      <c r="N86" s="76" t="e">
        <f t="shared" si="13"/>
        <v>#N/A</v>
      </c>
      <c r="P86" s="7">
        <f t="shared" si="14"/>
        <v>79.100000000000009</v>
      </c>
      <c r="Q86" s="7">
        <f t="shared" si="15"/>
        <v>83.7</v>
      </c>
      <c r="S86" s="9">
        <f t="shared" si="16"/>
        <v>0</v>
      </c>
    </row>
    <row r="87" spans="1:19" x14ac:dyDescent="0.25">
      <c r="A87" s="14">
        <v>39814</v>
      </c>
      <c r="B87" s="21">
        <v>78.7</v>
      </c>
      <c r="C87" s="7">
        <v>85.6</v>
      </c>
      <c r="E87" s="22">
        <v>85.6</v>
      </c>
      <c r="F87" s="21">
        <v>93</v>
      </c>
      <c r="G87" s="20">
        <v>-7.3</v>
      </c>
      <c r="H87" s="7">
        <v>-7.5</v>
      </c>
      <c r="I87" s="7">
        <v>0.5</v>
      </c>
      <c r="J87" s="76">
        <f t="shared" si="9"/>
        <v>-9.275730622617534E-2</v>
      </c>
      <c r="K87" s="76">
        <f t="shared" si="10"/>
        <v>-9.5298602287166453E-2</v>
      </c>
      <c r="L87" s="76">
        <f t="shared" si="11"/>
        <v>6.3532401524777635E-3</v>
      </c>
      <c r="M87" s="76" t="e">
        <f t="shared" si="12"/>
        <v>#N/A</v>
      </c>
      <c r="N87" s="76" t="e">
        <f t="shared" si="13"/>
        <v>#N/A</v>
      </c>
      <c r="P87" s="7">
        <f t="shared" si="14"/>
        <v>78.7</v>
      </c>
      <c r="Q87" s="7">
        <f t="shared" si="15"/>
        <v>85.7</v>
      </c>
      <c r="S87" s="9">
        <f t="shared" si="16"/>
        <v>0</v>
      </c>
    </row>
    <row r="88" spans="1:19" x14ac:dyDescent="0.25">
      <c r="A88" s="14">
        <v>39845</v>
      </c>
      <c r="B88" s="21">
        <v>76.099999999999994</v>
      </c>
      <c r="C88" s="7">
        <v>87.6</v>
      </c>
      <c r="E88" s="22">
        <v>87.6</v>
      </c>
      <c r="F88" s="21">
        <v>92.3</v>
      </c>
      <c r="G88" s="20">
        <v>-4.8</v>
      </c>
      <c r="H88" s="7">
        <v>-10.4</v>
      </c>
      <c r="I88" s="7">
        <v>-1.1000000000000001</v>
      </c>
      <c r="J88" s="76">
        <f t="shared" si="9"/>
        <v>-6.30749014454665E-2</v>
      </c>
      <c r="K88" s="76">
        <f t="shared" si="10"/>
        <v>-0.13666228646517742</v>
      </c>
      <c r="L88" s="76">
        <f t="shared" si="11"/>
        <v>-1.4454664914586073E-2</v>
      </c>
      <c r="M88" s="76" t="e">
        <f t="shared" si="12"/>
        <v>#N/A</v>
      </c>
      <c r="N88" s="76" t="e">
        <f t="shared" si="13"/>
        <v>#N/A</v>
      </c>
      <c r="P88" s="7">
        <f t="shared" si="14"/>
        <v>76</v>
      </c>
      <c r="Q88" s="7">
        <f t="shared" si="15"/>
        <v>87.5</v>
      </c>
      <c r="S88" s="9">
        <f t="shared" si="16"/>
        <v>0</v>
      </c>
    </row>
    <row r="89" spans="1:19" x14ac:dyDescent="0.25">
      <c r="A89" s="14">
        <v>39873</v>
      </c>
      <c r="B89" s="21">
        <v>88.6</v>
      </c>
      <c r="C89" s="7">
        <v>88</v>
      </c>
      <c r="E89" s="22">
        <v>88</v>
      </c>
      <c r="F89" s="21">
        <v>91.9</v>
      </c>
      <c r="G89" s="20">
        <v>-3.9</v>
      </c>
      <c r="H89" s="7">
        <v>0</v>
      </c>
      <c r="I89" s="7">
        <v>0.6</v>
      </c>
      <c r="J89" s="76">
        <f t="shared" si="9"/>
        <v>-4.4018058690744925E-2</v>
      </c>
      <c r="K89" s="76">
        <f t="shared" si="10"/>
        <v>0</v>
      </c>
      <c r="L89" s="76">
        <f t="shared" si="11"/>
        <v>6.7720090293453723E-3</v>
      </c>
      <c r="M89" s="76" t="e">
        <f t="shared" si="12"/>
        <v>#N/A</v>
      </c>
      <c r="N89" s="76" t="e">
        <f t="shared" si="13"/>
        <v>#N/A</v>
      </c>
      <c r="P89" s="7">
        <f t="shared" si="14"/>
        <v>88.6</v>
      </c>
      <c r="Q89" s="7">
        <f t="shared" si="15"/>
        <v>88</v>
      </c>
      <c r="S89" s="9">
        <f t="shared" si="16"/>
        <v>0</v>
      </c>
    </row>
    <row r="90" spans="1:19" x14ac:dyDescent="0.25">
      <c r="A90" s="14">
        <v>39904</v>
      </c>
      <c r="B90" s="21">
        <v>85.2</v>
      </c>
      <c r="C90" s="7">
        <v>89</v>
      </c>
      <c r="E90" s="22">
        <v>89</v>
      </c>
      <c r="F90" s="21">
        <v>91.8</v>
      </c>
      <c r="G90" s="20">
        <v>-2.8</v>
      </c>
      <c r="H90" s="7">
        <v>-3.8</v>
      </c>
      <c r="I90" s="7">
        <v>0</v>
      </c>
      <c r="J90" s="76">
        <f t="shared" si="9"/>
        <v>-3.2863849765258211E-2</v>
      </c>
      <c r="K90" s="76">
        <f t="shared" si="10"/>
        <v>-4.4600938967136149E-2</v>
      </c>
      <c r="L90" s="76">
        <f t="shared" si="11"/>
        <v>0</v>
      </c>
      <c r="M90" s="76" t="e">
        <f t="shared" si="12"/>
        <v>#N/A</v>
      </c>
      <c r="N90" s="76" t="e">
        <f t="shared" si="13"/>
        <v>#N/A</v>
      </c>
      <c r="P90" s="7">
        <f t="shared" si="14"/>
        <v>85.2</v>
      </c>
      <c r="Q90" s="7">
        <f t="shared" si="15"/>
        <v>89</v>
      </c>
      <c r="S90" s="9">
        <f t="shared" si="16"/>
        <v>0</v>
      </c>
    </row>
    <row r="91" spans="1:19" x14ac:dyDescent="0.25">
      <c r="A91" s="14">
        <v>39934</v>
      </c>
      <c r="B91" s="21">
        <v>91.3</v>
      </c>
      <c r="C91" s="7">
        <v>90.4</v>
      </c>
      <c r="E91" s="22">
        <v>90.4</v>
      </c>
      <c r="F91" s="21">
        <v>92</v>
      </c>
      <c r="G91" s="20">
        <v>-1.7</v>
      </c>
      <c r="H91" s="7">
        <v>2.2999999999999998</v>
      </c>
      <c r="I91" s="7">
        <v>-1.3</v>
      </c>
      <c r="J91" s="76">
        <f t="shared" si="9"/>
        <v>-1.8619934282584884E-2</v>
      </c>
      <c r="K91" s="76">
        <f t="shared" si="10"/>
        <v>2.5191675794085433E-2</v>
      </c>
      <c r="L91" s="76">
        <f t="shared" si="11"/>
        <v>-1.4238773274917854E-2</v>
      </c>
      <c r="M91" s="76" t="e">
        <f t="shared" si="12"/>
        <v>#N/A</v>
      </c>
      <c r="N91" s="76" t="e">
        <f t="shared" si="13"/>
        <v>#N/A</v>
      </c>
      <c r="P91" s="7">
        <f t="shared" si="14"/>
        <v>91.3</v>
      </c>
      <c r="Q91" s="7">
        <f t="shared" si="15"/>
        <v>90.3</v>
      </c>
      <c r="S91" s="9">
        <f t="shared" si="16"/>
        <v>0</v>
      </c>
    </row>
    <row r="92" spans="1:19" x14ac:dyDescent="0.25">
      <c r="A92" s="14">
        <v>39965</v>
      </c>
      <c r="B92" s="21">
        <v>92.2</v>
      </c>
      <c r="C92" s="7">
        <v>91.6</v>
      </c>
      <c r="E92" s="22">
        <v>91.6</v>
      </c>
      <c r="F92" s="21">
        <v>92.6</v>
      </c>
      <c r="G92" s="20">
        <v>-1.1000000000000001</v>
      </c>
      <c r="H92" s="7">
        <v>0</v>
      </c>
      <c r="I92" s="7">
        <v>0.7</v>
      </c>
      <c r="J92" s="76">
        <f t="shared" si="9"/>
        <v>-1.1930585683297181E-2</v>
      </c>
      <c r="K92" s="76">
        <f t="shared" si="10"/>
        <v>0</v>
      </c>
      <c r="L92" s="76">
        <f t="shared" si="11"/>
        <v>7.5921908893709323E-3</v>
      </c>
      <c r="M92" s="76" t="e">
        <f t="shared" si="12"/>
        <v>#N/A</v>
      </c>
      <c r="N92" s="76" t="e">
        <f t="shared" si="13"/>
        <v>#N/A</v>
      </c>
      <c r="P92" s="7">
        <f t="shared" si="14"/>
        <v>92.2</v>
      </c>
      <c r="Q92" s="7">
        <f t="shared" si="15"/>
        <v>91.5</v>
      </c>
      <c r="S92" s="9">
        <f t="shared" si="16"/>
        <v>0</v>
      </c>
    </row>
    <row r="93" spans="1:19" x14ac:dyDescent="0.25">
      <c r="A93" s="14">
        <v>39995</v>
      </c>
      <c r="B93" s="21">
        <v>97.7</v>
      </c>
      <c r="C93" s="7">
        <v>92.6</v>
      </c>
      <c r="E93" s="22">
        <v>92.6</v>
      </c>
      <c r="F93" s="21">
        <v>93.6</v>
      </c>
      <c r="G93" s="20">
        <v>-1</v>
      </c>
      <c r="H93" s="7">
        <v>4.4000000000000004</v>
      </c>
      <c r="I93" s="7">
        <v>0.7</v>
      </c>
      <c r="J93" s="76">
        <f t="shared" si="9"/>
        <v>-1.0235414534288638E-2</v>
      </c>
      <c r="K93" s="76">
        <f t="shared" si="10"/>
        <v>4.503582395087001E-2</v>
      </c>
      <c r="L93" s="76">
        <f t="shared" si="11"/>
        <v>7.1647901740020462E-3</v>
      </c>
      <c r="M93" s="76" t="e">
        <f t="shared" si="12"/>
        <v>#N/A</v>
      </c>
      <c r="N93" s="76" t="e">
        <f t="shared" si="13"/>
        <v>#N/A</v>
      </c>
      <c r="P93" s="7">
        <f t="shared" si="14"/>
        <v>97.7</v>
      </c>
      <c r="Q93" s="7">
        <f t="shared" si="15"/>
        <v>92.6</v>
      </c>
      <c r="S93" s="9">
        <f t="shared" si="16"/>
        <v>0</v>
      </c>
    </row>
    <row r="94" spans="1:19" x14ac:dyDescent="0.25">
      <c r="A94" s="14">
        <v>40026</v>
      </c>
      <c r="B94" s="21">
        <v>99.6</v>
      </c>
      <c r="C94" s="7">
        <v>94</v>
      </c>
      <c r="E94" s="22">
        <v>94</v>
      </c>
      <c r="F94" s="21">
        <v>94.8</v>
      </c>
      <c r="G94" s="20">
        <v>-0.8</v>
      </c>
      <c r="H94" s="7">
        <v>6.9</v>
      </c>
      <c r="I94" s="7">
        <v>-1.3</v>
      </c>
      <c r="J94" s="76">
        <f t="shared" si="9"/>
        <v>-8.0321285140562259E-3</v>
      </c>
      <c r="K94" s="76">
        <f t="shared" si="10"/>
        <v>6.9277108433734941E-2</v>
      </c>
      <c r="L94" s="76">
        <f t="shared" si="11"/>
        <v>-1.3052208835341366E-2</v>
      </c>
      <c r="M94" s="76" t="e">
        <f t="shared" si="12"/>
        <v>#N/A</v>
      </c>
      <c r="N94" s="76" t="e">
        <f t="shared" si="13"/>
        <v>#N/A</v>
      </c>
      <c r="P94" s="7">
        <f t="shared" si="14"/>
        <v>99.600000000000009</v>
      </c>
      <c r="Q94" s="7">
        <f t="shared" si="15"/>
        <v>94</v>
      </c>
      <c r="S94" s="9">
        <f t="shared" si="16"/>
        <v>0</v>
      </c>
    </row>
    <row r="95" spans="1:19" x14ac:dyDescent="0.25">
      <c r="A95" s="14">
        <v>40057</v>
      </c>
      <c r="B95" s="21">
        <v>99.4</v>
      </c>
      <c r="C95" s="7">
        <v>95.6</v>
      </c>
      <c r="E95" s="22">
        <v>95.6</v>
      </c>
      <c r="F95" s="21">
        <v>96.1</v>
      </c>
      <c r="G95" s="20">
        <v>-0.5</v>
      </c>
      <c r="H95" s="7">
        <v>3.2</v>
      </c>
      <c r="I95" s="7">
        <v>0.6</v>
      </c>
      <c r="J95" s="76">
        <f t="shared" si="9"/>
        <v>-5.0301810865191147E-3</v>
      </c>
      <c r="K95" s="76">
        <f t="shared" si="10"/>
        <v>3.2193158953722337E-2</v>
      </c>
      <c r="L95" s="76">
        <f t="shared" si="11"/>
        <v>6.0362173038229373E-3</v>
      </c>
      <c r="M95" s="76" t="e">
        <f t="shared" si="12"/>
        <v>#N/A</v>
      </c>
      <c r="N95" s="76" t="e">
        <f t="shared" si="13"/>
        <v>#N/A</v>
      </c>
      <c r="P95" s="7">
        <f t="shared" si="14"/>
        <v>99.399999999999991</v>
      </c>
      <c r="Q95" s="7">
        <f t="shared" si="15"/>
        <v>95.6</v>
      </c>
      <c r="S95" s="9">
        <f t="shared" si="16"/>
        <v>0</v>
      </c>
    </row>
    <row r="96" spans="1:19" x14ac:dyDescent="0.25">
      <c r="A96" s="14">
        <v>40087</v>
      </c>
      <c r="B96" s="21">
        <v>105.6</v>
      </c>
      <c r="C96" s="7">
        <v>97.3</v>
      </c>
      <c r="E96" s="22">
        <v>97.3</v>
      </c>
      <c r="F96" s="21">
        <v>97.3</v>
      </c>
      <c r="G96" s="20">
        <v>0</v>
      </c>
      <c r="H96" s="7">
        <v>7.7</v>
      </c>
      <c r="I96" s="7">
        <v>0.5</v>
      </c>
      <c r="J96" s="76">
        <f t="shared" si="9"/>
        <v>0</v>
      </c>
      <c r="K96" s="76">
        <f t="shared" si="10"/>
        <v>7.2916666666666671E-2</v>
      </c>
      <c r="L96" s="76">
        <f t="shared" si="11"/>
        <v>4.734848484848485E-3</v>
      </c>
      <c r="M96" s="76" t="e">
        <f t="shared" si="12"/>
        <v>#N/A</v>
      </c>
      <c r="N96" s="76" t="e">
        <f t="shared" si="13"/>
        <v>#N/A</v>
      </c>
      <c r="P96" s="7">
        <f t="shared" si="14"/>
        <v>105.5</v>
      </c>
      <c r="Q96" s="7">
        <f t="shared" si="15"/>
        <v>97.3</v>
      </c>
      <c r="S96" s="9">
        <f t="shared" si="16"/>
        <v>0</v>
      </c>
    </row>
    <row r="97" spans="1:19" x14ac:dyDescent="0.25">
      <c r="A97" s="14">
        <v>40118</v>
      </c>
      <c r="B97" s="21">
        <v>101.4</v>
      </c>
      <c r="C97" s="7">
        <v>98.9</v>
      </c>
      <c r="E97" s="22">
        <v>98.9</v>
      </c>
      <c r="F97" s="21">
        <v>98.5</v>
      </c>
      <c r="G97" s="20">
        <v>0.4</v>
      </c>
      <c r="H97" s="7">
        <v>3.6</v>
      </c>
      <c r="I97" s="7">
        <v>-1.1000000000000001</v>
      </c>
      <c r="J97" s="76">
        <f t="shared" si="9"/>
        <v>3.9447731755424065E-3</v>
      </c>
      <c r="K97" s="76">
        <f t="shared" si="10"/>
        <v>3.5502958579881658E-2</v>
      </c>
      <c r="L97" s="76">
        <f t="shared" si="11"/>
        <v>-1.0848126232741617E-2</v>
      </c>
      <c r="M97" s="76" t="e">
        <f t="shared" si="12"/>
        <v>#N/A</v>
      </c>
      <c r="N97" s="76" t="e">
        <f t="shared" si="13"/>
        <v>#N/A</v>
      </c>
      <c r="P97" s="7">
        <f t="shared" si="14"/>
        <v>101.4</v>
      </c>
      <c r="Q97" s="7">
        <f t="shared" si="15"/>
        <v>98.9</v>
      </c>
      <c r="S97" s="9">
        <f t="shared" si="16"/>
        <v>0</v>
      </c>
    </row>
    <row r="98" spans="1:19" x14ac:dyDescent="0.25">
      <c r="A98" s="14">
        <v>40148</v>
      </c>
      <c r="B98" s="21">
        <v>94.1</v>
      </c>
      <c r="C98" s="7">
        <v>99.1</v>
      </c>
      <c r="E98" s="22">
        <v>99.1</v>
      </c>
      <c r="F98" s="21">
        <v>99.7</v>
      </c>
      <c r="G98" s="20">
        <v>-0.6</v>
      </c>
      <c r="H98" s="7">
        <v>-6.2</v>
      </c>
      <c r="I98" s="7">
        <v>1.2</v>
      </c>
      <c r="J98" s="76">
        <f t="shared" si="9"/>
        <v>-6.3761955366631248E-3</v>
      </c>
      <c r="K98" s="76">
        <f t="shared" si="10"/>
        <v>-6.5887353878852292E-2</v>
      </c>
      <c r="L98" s="76">
        <f t="shared" si="11"/>
        <v>1.275239107332625E-2</v>
      </c>
      <c r="M98" s="76" t="e">
        <f t="shared" si="12"/>
        <v>#N/A</v>
      </c>
      <c r="N98" s="76" t="e">
        <f t="shared" si="13"/>
        <v>#N/A</v>
      </c>
      <c r="P98" s="7">
        <f t="shared" si="14"/>
        <v>94.100000000000009</v>
      </c>
      <c r="Q98" s="7">
        <f t="shared" si="15"/>
        <v>99.100000000000009</v>
      </c>
      <c r="S98" s="9">
        <f t="shared" si="16"/>
        <v>0</v>
      </c>
    </row>
    <row r="99" spans="1:19" x14ac:dyDescent="0.25">
      <c r="A99" s="14">
        <v>40179</v>
      </c>
      <c r="B99" s="21">
        <v>91.2</v>
      </c>
      <c r="C99" s="7">
        <v>100.7</v>
      </c>
      <c r="E99" s="22">
        <v>100.7</v>
      </c>
      <c r="F99" s="21">
        <v>100.7</v>
      </c>
      <c r="G99" s="20">
        <v>0</v>
      </c>
      <c r="H99" s="7">
        <v>-7.9</v>
      </c>
      <c r="I99" s="7">
        <v>-1.6</v>
      </c>
      <c r="J99" s="76">
        <f t="shared" si="9"/>
        <v>0</v>
      </c>
      <c r="K99" s="76">
        <f t="shared" si="10"/>
        <v>-8.6622807017543865E-2</v>
      </c>
      <c r="L99" s="76">
        <f t="shared" si="11"/>
        <v>-1.7543859649122806E-2</v>
      </c>
      <c r="M99" s="76" t="e">
        <f t="shared" si="12"/>
        <v>#N/A</v>
      </c>
      <c r="N99" s="76" t="e">
        <f t="shared" si="13"/>
        <v>#N/A</v>
      </c>
      <c r="P99" s="7">
        <f t="shared" si="14"/>
        <v>91.2</v>
      </c>
      <c r="Q99" s="7">
        <f t="shared" si="15"/>
        <v>100.7</v>
      </c>
      <c r="S99" s="9">
        <f t="shared" si="16"/>
        <v>0</v>
      </c>
    </row>
    <row r="100" spans="1:19" x14ac:dyDescent="0.25">
      <c r="A100" s="14">
        <v>40210</v>
      </c>
      <c r="B100" s="21">
        <v>89</v>
      </c>
      <c r="C100" s="7">
        <v>100.5</v>
      </c>
      <c r="E100" s="22">
        <v>100.5</v>
      </c>
      <c r="F100" s="21">
        <v>101.6</v>
      </c>
      <c r="G100" s="20">
        <v>-1.1000000000000001</v>
      </c>
      <c r="H100" s="7">
        <v>-10.4</v>
      </c>
      <c r="I100" s="7">
        <v>-1.1000000000000001</v>
      </c>
      <c r="J100" s="76">
        <f t="shared" si="9"/>
        <v>-1.2359550561797755E-2</v>
      </c>
      <c r="K100" s="76">
        <f t="shared" si="10"/>
        <v>-0.11685393258426967</v>
      </c>
      <c r="L100" s="76">
        <f t="shared" si="11"/>
        <v>-1.2359550561797755E-2</v>
      </c>
      <c r="M100" s="76" t="e">
        <f t="shared" si="12"/>
        <v>#N/A</v>
      </c>
      <c r="N100" s="76" t="e">
        <f t="shared" si="13"/>
        <v>#N/A</v>
      </c>
      <c r="P100" s="7">
        <f t="shared" si="14"/>
        <v>89</v>
      </c>
      <c r="Q100" s="7">
        <f t="shared" si="15"/>
        <v>100.5</v>
      </c>
      <c r="S100" s="9">
        <f t="shared" si="16"/>
        <v>0</v>
      </c>
    </row>
    <row r="101" spans="1:19" x14ac:dyDescent="0.25">
      <c r="A101" s="14">
        <v>40238</v>
      </c>
      <c r="B101" s="21">
        <v>105.1</v>
      </c>
      <c r="C101" s="7">
        <v>103</v>
      </c>
      <c r="E101" s="22">
        <v>103</v>
      </c>
      <c r="F101" s="21">
        <v>102.3</v>
      </c>
      <c r="G101" s="20">
        <v>0.7</v>
      </c>
      <c r="H101" s="7">
        <v>0</v>
      </c>
      <c r="I101" s="7">
        <v>2.1</v>
      </c>
      <c r="J101" s="76">
        <f t="shared" si="9"/>
        <v>6.6603235014272124E-3</v>
      </c>
      <c r="K101" s="76">
        <f t="shared" si="10"/>
        <v>0</v>
      </c>
      <c r="L101" s="76">
        <f t="shared" si="11"/>
        <v>1.9980970504281638E-2</v>
      </c>
      <c r="M101" s="76" t="e">
        <f t="shared" si="12"/>
        <v>#N/A</v>
      </c>
      <c r="N101" s="76" t="e">
        <f t="shared" si="13"/>
        <v>#N/A</v>
      </c>
      <c r="P101" s="7">
        <f t="shared" si="14"/>
        <v>105.1</v>
      </c>
      <c r="Q101" s="7">
        <f t="shared" si="15"/>
        <v>103</v>
      </c>
      <c r="S101" s="9">
        <f t="shared" si="16"/>
        <v>0</v>
      </c>
    </row>
    <row r="102" spans="1:19" x14ac:dyDescent="0.25">
      <c r="A102" s="14">
        <v>40269</v>
      </c>
      <c r="B102" s="21">
        <v>99.3</v>
      </c>
      <c r="C102" s="7">
        <v>103.2</v>
      </c>
      <c r="E102" s="22">
        <v>103.2</v>
      </c>
      <c r="F102" s="21">
        <v>102.7</v>
      </c>
      <c r="G102" s="20">
        <v>0.5</v>
      </c>
      <c r="H102" s="7">
        <v>-3.8</v>
      </c>
      <c r="I102" s="7">
        <v>0</v>
      </c>
      <c r="J102" s="76">
        <f t="shared" si="9"/>
        <v>5.0352467270896274E-3</v>
      </c>
      <c r="K102" s="76">
        <f t="shared" si="10"/>
        <v>-3.8267875125881166E-2</v>
      </c>
      <c r="L102" s="76">
        <f t="shared" si="11"/>
        <v>0</v>
      </c>
      <c r="M102" s="76" t="e">
        <f t="shared" si="12"/>
        <v>#N/A</v>
      </c>
      <c r="N102" s="76" t="e">
        <f t="shared" si="13"/>
        <v>#N/A</v>
      </c>
      <c r="P102" s="7">
        <f t="shared" si="14"/>
        <v>99.4</v>
      </c>
      <c r="Q102" s="7">
        <f t="shared" si="15"/>
        <v>103.2</v>
      </c>
      <c r="S102" s="9">
        <f t="shared" si="16"/>
        <v>0</v>
      </c>
    </row>
    <row r="103" spans="1:19" x14ac:dyDescent="0.25">
      <c r="A103" s="14">
        <v>40299</v>
      </c>
      <c r="B103" s="21">
        <v>104.3</v>
      </c>
      <c r="C103" s="7">
        <v>103</v>
      </c>
      <c r="E103" s="22">
        <v>103</v>
      </c>
      <c r="F103" s="21">
        <v>102.7</v>
      </c>
      <c r="G103" s="20">
        <v>0.3</v>
      </c>
      <c r="H103" s="7">
        <v>2.2999999999999998</v>
      </c>
      <c r="I103" s="7">
        <v>-1</v>
      </c>
      <c r="J103" s="76">
        <f t="shared" si="9"/>
        <v>2.8763183125599234E-3</v>
      </c>
      <c r="K103" s="76">
        <f t="shared" si="10"/>
        <v>2.2051773729626079E-2</v>
      </c>
      <c r="L103" s="76">
        <f t="shared" si="11"/>
        <v>-9.5877277085330784E-3</v>
      </c>
      <c r="M103" s="76" t="e">
        <f t="shared" si="12"/>
        <v>#N/A</v>
      </c>
      <c r="N103" s="76" t="e">
        <f t="shared" si="13"/>
        <v>#N/A</v>
      </c>
      <c r="P103" s="7">
        <f t="shared" si="14"/>
        <v>104.3</v>
      </c>
      <c r="Q103" s="7">
        <f t="shared" si="15"/>
        <v>103</v>
      </c>
      <c r="S103" s="9">
        <f t="shared" si="16"/>
        <v>0</v>
      </c>
    </row>
    <row r="104" spans="1:19" x14ac:dyDescent="0.25">
      <c r="A104" s="14">
        <v>40330</v>
      </c>
      <c r="B104" s="21">
        <v>102.5</v>
      </c>
      <c r="C104" s="7">
        <v>102.3</v>
      </c>
      <c r="E104" s="22">
        <v>102.3</v>
      </c>
      <c r="F104" s="21">
        <v>102.5</v>
      </c>
      <c r="G104" s="20">
        <v>-0.1</v>
      </c>
      <c r="H104" s="7">
        <v>-0.2</v>
      </c>
      <c r="I104" s="7">
        <v>0.3</v>
      </c>
      <c r="J104" s="76">
        <f t="shared" si="9"/>
        <v>-9.7560975609756108E-4</v>
      </c>
      <c r="K104" s="76">
        <f t="shared" si="10"/>
        <v>-1.9512195121951222E-3</v>
      </c>
      <c r="L104" s="76">
        <f t="shared" si="11"/>
        <v>2.9268292682926829E-3</v>
      </c>
      <c r="M104" s="76" t="e">
        <f t="shared" si="12"/>
        <v>#N/A</v>
      </c>
      <c r="N104" s="76" t="e">
        <f t="shared" si="13"/>
        <v>#N/A</v>
      </c>
      <c r="P104" s="7">
        <f t="shared" si="14"/>
        <v>102.5</v>
      </c>
      <c r="Q104" s="7">
        <f t="shared" si="15"/>
        <v>102.4</v>
      </c>
      <c r="S104" s="9">
        <f t="shared" si="16"/>
        <v>0</v>
      </c>
    </row>
    <row r="105" spans="1:19" x14ac:dyDescent="0.25">
      <c r="A105" s="14">
        <v>40360</v>
      </c>
      <c r="B105" s="21">
        <v>106.9</v>
      </c>
      <c r="C105" s="7">
        <v>101.8</v>
      </c>
      <c r="E105" s="22">
        <v>101.8</v>
      </c>
      <c r="F105" s="21">
        <v>102.1</v>
      </c>
      <c r="G105" s="20">
        <v>-0.2</v>
      </c>
      <c r="H105" s="7">
        <v>4.5</v>
      </c>
      <c r="I105" s="7">
        <v>0.5</v>
      </c>
      <c r="J105" s="76">
        <f t="shared" si="9"/>
        <v>-1.8709073900841909E-3</v>
      </c>
      <c r="K105" s="76">
        <f t="shared" si="10"/>
        <v>4.2095416276894289E-2</v>
      </c>
      <c r="L105" s="76">
        <f t="shared" si="11"/>
        <v>4.6772684752104769E-3</v>
      </c>
      <c r="M105" s="76" t="e">
        <f t="shared" si="12"/>
        <v>#N/A</v>
      </c>
      <c r="N105" s="76" t="e">
        <f t="shared" si="13"/>
        <v>#N/A</v>
      </c>
      <c r="P105" s="7">
        <f t="shared" si="14"/>
        <v>106.89999999999999</v>
      </c>
      <c r="Q105" s="7">
        <f t="shared" si="15"/>
        <v>101.89999999999999</v>
      </c>
      <c r="S105" s="9">
        <f t="shared" si="16"/>
        <v>0</v>
      </c>
    </row>
    <row r="106" spans="1:19" x14ac:dyDescent="0.25">
      <c r="A106" s="14">
        <v>40391</v>
      </c>
      <c r="B106" s="21">
        <v>108.1</v>
      </c>
      <c r="C106" s="7">
        <v>101.4</v>
      </c>
      <c r="E106" s="22">
        <v>101.4</v>
      </c>
      <c r="F106" s="21">
        <v>101.7</v>
      </c>
      <c r="G106" s="20">
        <v>-0.3</v>
      </c>
      <c r="H106">
        <v>7.3</v>
      </c>
      <c r="I106">
        <v>-0.6</v>
      </c>
      <c r="J106" s="76">
        <f t="shared" si="9"/>
        <v>-2.7752081406105457E-3</v>
      </c>
      <c r="K106" s="76">
        <f t="shared" si="10"/>
        <v>6.7530064754856622E-2</v>
      </c>
      <c r="L106" s="76">
        <f t="shared" si="11"/>
        <v>-5.5504162812210914E-3</v>
      </c>
      <c r="M106" s="76" t="e">
        <f t="shared" si="12"/>
        <v>#N/A</v>
      </c>
      <c r="N106" s="76" t="e">
        <f t="shared" si="13"/>
        <v>#N/A</v>
      </c>
      <c r="P106" s="7">
        <f t="shared" si="14"/>
        <v>108.10000000000001</v>
      </c>
      <c r="Q106" s="7">
        <f t="shared" si="15"/>
        <v>101.4</v>
      </c>
      <c r="S106" s="9">
        <f t="shared" si="16"/>
        <v>0</v>
      </c>
    </row>
    <row r="107" spans="1:19" x14ac:dyDescent="0.25">
      <c r="A107" s="14">
        <v>40422</v>
      </c>
      <c r="B107" s="21">
        <v>105.8</v>
      </c>
      <c r="C107" s="7">
        <v>101.6</v>
      </c>
      <c r="E107" s="22">
        <v>101.6</v>
      </c>
      <c r="F107" s="21">
        <v>101.5</v>
      </c>
      <c r="G107" s="20">
        <v>0.1</v>
      </c>
      <c r="H107">
        <v>3.5</v>
      </c>
      <c r="I107">
        <v>0.7</v>
      </c>
      <c r="J107" s="76">
        <f t="shared" si="9"/>
        <v>9.4517958412098301E-4</v>
      </c>
      <c r="K107" s="76">
        <f t="shared" si="10"/>
        <v>3.3081285444234408E-2</v>
      </c>
      <c r="L107" s="76">
        <f t="shared" si="11"/>
        <v>6.6162570888468808E-3</v>
      </c>
      <c r="M107" s="76" t="e">
        <f t="shared" si="12"/>
        <v>#N/A</v>
      </c>
      <c r="N107" s="76" t="e">
        <f t="shared" si="13"/>
        <v>#N/A</v>
      </c>
      <c r="P107" s="7">
        <f t="shared" si="14"/>
        <v>105.8</v>
      </c>
      <c r="Q107" s="7">
        <f t="shared" si="15"/>
        <v>101.6</v>
      </c>
      <c r="S107" s="9">
        <f t="shared" si="16"/>
        <v>0</v>
      </c>
    </row>
    <row r="108" spans="1:19" x14ac:dyDescent="0.25">
      <c r="A108" s="14">
        <v>40452</v>
      </c>
      <c r="B108" s="21">
        <v>107.7</v>
      </c>
      <c r="C108" s="7">
        <v>101.3</v>
      </c>
      <c r="E108" s="22">
        <v>101.3</v>
      </c>
      <c r="F108" s="21">
        <v>101.7</v>
      </c>
      <c r="G108" s="20">
        <v>-0.4</v>
      </c>
      <c r="H108">
        <v>8</v>
      </c>
      <c r="I108">
        <v>-1.6</v>
      </c>
      <c r="J108" s="76">
        <f t="shared" si="9"/>
        <v>-3.7140204271123491E-3</v>
      </c>
      <c r="K108" s="76">
        <f t="shared" si="10"/>
        <v>7.4280408542246976E-2</v>
      </c>
      <c r="L108" s="76">
        <f t="shared" si="11"/>
        <v>-1.4856081708449397E-2</v>
      </c>
      <c r="M108" s="76" t="e">
        <f t="shared" si="12"/>
        <v>#N/A</v>
      </c>
      <c r="N108" s="76" t="e">
        <f t="shared" si="13"/>
        <v>#N/A</v>
      </c>
      <c r="P108" s="7">
        <f t="shared" si="14"/>
        <v>107.7</v>
      </c>
      <c r="Q108" s="7">
        <f t="shared" si="15"/>
        <v>101.3</v>
      </c>
      <c r="S108" s="9">
        <f t="shared" si="16"/>
        <v>0</v>
      </c>
    </row>
    <row r="109" spans="1:19" x14ac:dyDescent="0.25">
      <c r="A109" s="14">
        <v>40483</v>
      </c>
      <c r="B109" s="21">
        <v>106.8</v>
      </c>
      <c r="C109" s="7">
        <v>102.2</v>
      </c>
      <c r="E109" s="22">
        <v>102.2</v>
      </c>
      <c r="F109" s="21">
        <v>102.1</v>
      </c>
      <c r="G109" s="20">
        <v>0.1</v>
      </c>
      <c r="H109">
        <v>3.7</v>
      </c>
      <c r="I109">
        <v>0.9</v>
      </c>
      <c r="J109" s="76">
        <f t="shared" si="9"/>
        <v>9.3632958801498139E-4</v>
      </c>
      <c r="K109" s="76">
        <f t="shared" si="10"/>
        <v>3.4644194756554308E-2</v>
      </c>
      <c r="L109" s="76">
        <f t="shared" si="11"/>
        <v>8.4269662921348312E-3</v>
      </c>
      <c r="M109" s="76" t="e">
        <f t="shared" si="12"/>
        <v>#N/A</v>
      </c>
      <c r="N109" s="76" t="e">
        <f t="shared" si="13"/>
        <v>#N/A</v>
      </c>
      <c r="P109" s="7">
        <f t="shared" si="14"/>
        <v>106.8</v>
      </c>
      <c r="Q109" s="7">
        <f t="shared" si="15"/>
        <v>102.19999999999999</v>
      </c>
      <c r="S109" s="9">
        <f t="shared" si="16"/>
        <v>0</v>
      </c>
    </row>
    <row r="110" spans="1:19" x14ac:dyDescent="0.25">
      <c r="A110" s="14">
        <v>40513</v>
      </c>
      <c r="B110" s="21">
        <v>96.6</v>
      </c>
      <c r="C110" s="7">
        <v>102.7</v>
      </c>
      <c r="E110" s="22">
        <v>102.7</v>
      </c>
      <c r="F110" s="21">
        <v>102.7</v>
      </c>
      <c r="G110" s="20">
        <v>0</v>
      </c>
      <c r="H110">
        <v>-6.8</v>
      </c>
      <c r="I110">
        <v>0.7</v>
      </c>
      <c r="J110" s="76">
        <f t="shared" si="9"/>
        <v>0</v>
      </c>
      <c r="K110" s="76">
        <f t="shared" si="10"/>
        <v>-7.0393374741200831E-2</v>
      </c>
      <c r="L110" s="76">
        <f t="shared" si="11"/>
        <v>7.246376811594203E-3</v>
      </c>
      <c r="M110" s="76" t="e">
        <f t="shared" si="12"/>
        <v>#N/A</v>
      </c>
      <c r="N110" s="76" t="e">
        <f t="shared" si="13"/>
        <v>#N/A</v>
      </c>
      <c r="P110" s="7">
        <f t="shared" si="14"/>
        <v>96.600000000000009</v>
      </c>
      <c r="Q110" s="7">
        <f t="shared" si="15"/>
        <v>102.7</v>
      </c>
      <c r="S110" s="9">
        <f t="shared" si="16"/>
        <v>0</v>
      </c>
    </row>
    <row r="111" spans="1:19" x14ac:dyDescent="0.25">
      <c r="A111" s="14">
        <v>40544</v>
      </c>
      <c r="B111" s="21">
        <v>93.2</v>
      </c>
      <c r="C111" s="7">
        <v>102.8</v>
      </c>
      <c r="E111" s="22">
        <v>102.8</v>
      </c>
      <c r="F111" s="21">
        <v>103.3</v>
      </c>
      <c r="G111" s="20">
        <v>-0.5</v>
      </c>
      <c r="H111">
        <v>-8.3000000000000007</v>
      </c>
      <c r="I111">
        <v>-1.3</v>
      </c>
      <c r="J111" s="76">
        <f t="shared" si="9"/>
        <v>-5.3648068669527897E-3</v>
      </c>
      <c r="K111" s="76">
        <f t="shared" si="10"/>
        <v>-8.9055793991416318E-2</v>
      </c>
      <c r="L111" s="76">
        <f t="shared" si="11"/>
        <v>-1.3948497854077254E-2</v>
      </c>
      <c r="M111" s="76" t="e">
        <f t="shared" si="12"/>
        <v>#N/A</v>
      </c>
      <c r="N111" s="76" t="e">
        <f t="shared" si="13"/>
        <v>#N/A</v>
      </c>
      <c r="P111" s="7">
        <f t="shared" si="14"/>
        <v>93.2</v>
      </c>
      <c r="Q111" s="7">
        <f t="shared" si="15"/>
        <v>102.8</v>
      </c>
      <c r="S111" s="9">
        <f t="shared" si="16"/>
        <v>0</v>
      </c>
    </row>
    <row r="112" spans="1:19" x14ac:dyDescent="0.25">
      <c r="A112" s="14">
        <v>40575</v>
      </c>
      <c r="B112" s="21">
        <v>95.4</v>
      </c>
      <c r="C112" s="7">
        <v>104.2</v>
      </c>
      <c r="E112" s="22">
        <v>104.2</v>
      </c>
      <c r="F112" s="21">
        <v>103.9</v>
      </c>
      <c r="G112" s="20">
        <v>0.3</v>
      </c>
      <c r="H112">
        <v>-10.4</v>
      </c>
      <c r="I112">
        <v>1.6</v>
      </c>
      <c r="J112" s="76">
        <f t="shared" si="9"/>
        <v>3.1446540880503142E-3</v>
      </c>
      <c r="K112" s="76">
        <f t="shared" si="10"/>
        <v>-0.1090146750524109</v>
      </c>
      <c r="L112" s="76">
        <f t="shared" si="11"/>
        <v>1.6771488469601678E-2</v>
      </c>
      <c r="M112" s="76" t="e">
        <f t="shared" si="12"/>
        <v>#N/A</v>
      </c>
      <c r="N112" s="76" t="e">
        <f t="shared" si="13"/>
        <v>#N/A</v>
      </c>
      <c r="P112" s="7">
        <f t="shared" si="14"/>
        <v>95.399999999999991</v>
      </c>
      <c r="Q112" s="7">
        <f t="shared" si="15"/>
        <v>104.2</v>
      </c>
      <c r="S112" s="9">
        <f t="shared" si="16"/>
        <v>0</v>
      </c>
    </row>
    <row r="113" spans="1:19" x14ac:dyDescent="0.25">
      <c r="A113" s="14">
        <v>40603</v>
      </c>
      <c r="B113" s="21">
        <v>104.4</v>
      </c>
      <c r="C113" s="7">
        <v>104.8</v>
      </c>
      <c r="E113" s="22">
        <v>104.8</v>
      </c>
      <c r="F113" s="21">
        <v>104.2</v>
      </c>
      <c r="G113" s="20">
        <v>0.6</v>
      </c>
      <c r="H113">
        <v>-0.1</v>
      </c>
      <c r="I113">
        <v>-0.3</v>
      </c>
      <c r="J113" s="76">
        <f t="shared" si="9"/>
        <v>5.7471264367816082E-3</v>
      </c>
      <c r="K113" s="76">
        <f t="shared" si="10"/>
        <v>-9.5785440613026815E-4</v>
      </c>
      <c r="L113" s="76">
        <f t="shared" si="11"/>
        <v>-2.8735632183908041E-3</v>
      </c>
      <c r="M113" s="76" t="e">
        <f t="shared" si="12"/>
        <v>#N/A</v>
      </c>
      <c r="N113" s="76" t="e">
        <f t="shared" si="13"/>
        <v>#N/A</v>
      </c>
      <c r="P113" s="7">
        <f t="shared" si="14"/>
        <v>104.4</v>
      </c>
      <c r="Q113" s="7">
        <f t="shared" si="15"/>
        <v>104.8</v>
      </c>
      <c r="S113" s="9">
        <f t="shared" si="16"/>
        <v>0</v>
      </c>
    </row>
    <row r="114" spans="1:19" x14ac:dyDescent="0.25">
      <c r="A114" s="14">
        <v>40634</v>
      </c>
      <c r="B114" s="21">
        <v>97.5</v>
      </c>
      <c r="C114" s="7">
        <v>102.1</v>
      </c>
      <c r="E114" s="22">
        <v>102.1</v>
      </c>
      <c r="F114" s="21">
        <v>104.3</v>
      </c>
      <c r="G114" s="20">
        <v>-2.2000000000000002</v>
      </c>
      <c r="H114">
        <v>-3.8</v>
      </c>
      <c r="I114">
        <v>-0.8</v>
      </c>
      <c r="J114" s="76">
        <f t="shared" si="9"/>
        <v>-2.2564102564102566E-2</v>
      </c>
      <c r="K114" s="76">
        <f t="shared" si="10"/>
        <v>-3.8974358974358969E-2</v>
      </c>
      <c r="L114" s="76">
        <f t="shared" si="11"/>
        <v>-8.2051282051282051E-3</v>
      </c>
      <c r="M114" s="76" t="e">
        <f t="shared" si="12"/>
        <v>#N/A</v>
      </c>
      <c r="N114" s="76" t="e">
        <f t="shared" si="13"/>
        <v>#N/A</v>
      </c>
      <c r="P114" s="7">
        <f t="shared" si="14"/>
        <v>97.5</v>
      </c>
      <c r="Q114" s="7">
        <f t="shared" si="15"/>
        <v>102.1</v>
      </c>
      <c r="S114" s="9">
        <f t="shared" si="16"/>
        <v>0</v>
      </c>
    </row>
    <row r="115" spans="1:19" x14ac:dyDescent="0.25">
      <c r="A115" s="14">
        <v>40664</v>
      </c>
      <c r="B115" s="21">
        <v>107.1</v>
      </c>
      <c r="C115" s="7">
        <v>105.2</v>
      </c>
      <c r="E115" s="22">
        <v>105.2</v>
      </c>
      <c r="F115" s="21">
        <v>104</v>
      </c>
      <c r="G115" s="20">
        <v>1.2</v>
      </c>
      <c r="H115">
        <v>2.2000000000000002</v>
      </c>
      <c r="I115">
        <v>-0.3</v>
      </c>
      <c r="J115" s="76">
        <f t="shared" si="9"/>
        <v>1.1204481792717087E-2</v>
      </c>
      <c r="K115" s="76">
        <f t="shared" si="10"/>
        <v>2.0541549953314663E-2</v>
      </c>
      <c r="L115" s="76">
        <f t="shared" si="11"/>
        <v>-2.8011204481792717E-3</v>
      </c>
      <c r="M115" s="76" t="e">
        <f t="shared" si="12"/>
        <v>#N/A</v>
      </c>
      <c r="N115" s="76" t="e">
        <f t="shared" si="13"/>
        <v>#N/A</v>
      </c>
      <c r="P115" s="7">
        <f t="shared" si="14"/>
        <v>107.10000000000001</v>
      </c>
      <c r="Q115" s="7">
        <f t="shared" si="15"/>
        <v>105.2</v>
      </c>
      <c r="S115" s="9">
        <f t="shared" si="16"/>
        <v>0</v>
      </c>
    </row>
    <row r="116" spans="1:19" x14ac:dyDescent="0.25">
      <c r="A116" s="14">
        <v>40695</v>
      </c>
      <c r="B116" s="21">
        <v>102.8</v>
      </c>
      <c r="C116" s="7">
        <v>102.7</v>
      </c>
      <c r="E116" s="22">
        <v>102.7</v>
      </c>
      <c r="F116" s="21">
        <v>103.4</v>
      </c>
      <c r="G116" s="20">
        <v>-0.7</v>
      </c>
      <c r="H116">
        <v>-0.3</v>
      </c>
      <c r="I116">
        <v>0.4</v>
      </c>
      <c r="J116" s="76">
        <f t="shared" si="9"/>
        <v>-6.8093385214007783E-3</v>
      </c>
      <c r="K116" s="76">
        <f t="shared" si="10"/>
        <v>-2.9182879377431907E-3</v>
      </c>
      <c r="L116" s="76">
        <f t="shared" si="11"/>
        <v>3.891050583657588E-3</v>
      </c>
      <c r="M116" s="76" t="e">
        <f t="shared" si="12"/>
        <v>#N/A</v>
      </c>
      <c r="N116" s="76" t="e">
        <f t="shared" si="13"/>
        <v>#N/A</v>
      </c>
      <c r="P116" s="7">
        <f t="shared" si="14"/>
        <v>102.80000000000001</v>
      </c>
      <c r="Q116" s="7">
        <f t="shared" si="15"/>
        <v>102.7</v>
      </c>
      <c r="S116" s="9">
        <f t="shared" si="16"/>
        <v>0</v>
      </c>
    </row>
    <row r="117" spans="1:19" x14ac:dyDescent="0.25">
      <c r="A117" s="14">
        <v>40725</v>
      </c>
      <c r="B117" s="21">
        <v>106.1</v>
      </c>
      <c r="C117" s="7">
        <v>103.1</v>
      </c>
      <c r="E117" s="22">
        <v>103.1</v>
      </c>
      <c r="F117" s="21">
        <v>102.6</v>
      </c>
      <c r="G117" s="20">
        <v>0.5</v>
      </c>
      <c r="H117">
        <v>4.5999999999999996</v>
      </c>
      <c r="I117">
        <v>-1.6</v>
      </c>
      <c r="J117" s="76">
        <f t="shared" si="9"/>
        <v>4.7125353440150806E-3</v>
      </c>
      <c r="K117" s="76">
        <f t="shared" si="10"/>
        <v>4.3355325164938736E-2</v>
      </c>
      <c r="L117" s="76">
        <f t="shared" si="11"/>
        <v>-1.5080113100848258E-2</v>
      </c>
      <c r="M117" s="76" t="e">
        <f t="shared" si="12"/>
        <v>#N/A</v>
      </c>
      <c r="N117" s="76" t="e">
        <f t="shared" si="13"/>
        <v>#N/A</v>
      </c>
      <c r="P117" s="7">
        <f t="shared" si="14"/>
        <v>106.1</v>
      </c>
      <c r="Q117" s="7">
        <f t="shared" si="15"/>
        <v>103.1</v>
      </c>
      <c r="S117" s="9">
        <f t="shared" si="16"/>
        <v>0</v>
      </c>
    </row>
    <row r="118" spans="1:19" x14ac:dyDescent="0.25">
      <c r="A118" s="14">
        <v>40756</v>
      </c>
      <c r="B118" s="21">
        <v>110.8</v>
      </c>
      <c r="C118" s="7">
        <v>102.1</v>
      </c>
      <c r="E118" s="22">
        <v>102.1</v>
      </c>
      <c r="F118" s="21">
        <v>101.6</v>
      </c>
      <c r="G118" s="20">
        <v>0.4</v>
      </c>
      <c r="H118">
        <v>7.8</v>
      </c>
      <c r="I118">
        <v>1</v>
      </c>
      <c r="J118" s="76">
        <f t="shared" si="9"/>
        <v>3.6101083032490976E-3</v>
      </c>
      <c r="K118" s="76">
        <f t="shared" si="10"/>
        <v>7.0397111913357402E-2</v>
      </c>
      <c r="L118" s="76">
        <f t="shared" si="11"/>
        <v>9.0252707581227436E-3</v>
      </c>
      <c r="M118" s="76" t="e">
        <f t="shared" si="12"/>
        <v>#N/A</v>
      </c>
      <c r="N118" s="76" t="e">
        <f t="shared" si="13"/>
        <v>#N/A</v>
      </c>
      <c r="P118" s="7">
        <f t="shared" si="14"/>
        <v>110.8</v>
      </c>
      <c r="Q118" s="7">
        <f t="shared" si="15"/>
        <v>102</v>
      </c>
      <c r="S118" s="9">
        <f t="shared" si="16"/>
        <v>0</v>
      </c>
    </row>
    <row r="119" spans="1:19" x14ac:dyDescent="0.25">
      <c r="A119" s="14">
        <v>40787</v>
      </c>
      <c r="B119" s="21">
        <v>104.8</v>
      </c>
      <c r="C119" s="7">
        <v>100.2</v>
      </c>
      <c r="E119" s="22">
        <v>100.2</v>
      </c>
      <c r="F119" s="21">
        <v>100.8</v>
      </c>
      <c r="G119" s="20">
        <v>-0.6</v>
      </c>
      <c r="H119">
        <v>4</v>
      </c>
      <c r="I119">
        <v>0.7</v>
      </c>
      <c r="J119" s="76">
        <f t="shared" si="9"/>
        <v>-5.7251908396946565E-3</v>
      </c>
      <c r="K119" s="76">
        <f t="shared" si="10"/>
        <v>3.8167938931297711E-2</v>
      </c>
      <c r="L119" s="76">
        <f t="shared" si="11"/>
        <v>6.6793893129770991E-3</v>
      </c>
      <c r="M119" s="76" t="e">
        <f t="shared" si="12"/>
        <v>#N/A</v>
      </c>
      <c r="N119" s="76" t="e">
        <f t="shared" si="13"/>
        <v>#N/A</v>
      </c>
      <c r="P119" s="7">
        <f t="shared" si="14"/>
        <v>104.9</v>
      </c>
      <c r="Q119" s="7">
        <f t="shared" si="15"/>
        <v>100.2</v>
      </c>
      <c r="S119" s="9">
        <f t="shared" si="16"/>
        <v>0</v>
      </c>
    </row>
    <row r="120" spans="1:19" x14ac:dyDescent="0.25">
      <c r="A120" s="14">
        <v>40817</v>
      </c>
      <c r="B120" s="21">
        <v>106.3</v>
      </c>
      <c r="C120" s="7">
        <v>99.2</v>
      </c>
      <c r="E120" s="22">
        <v>99.2</v>
      </c>
      <c r="F120" s="21">
        <v>100</v>
      </c>
      <c r="G120" s="20">
        <v>-0.8</v>
      </c>
      <c r="H120">
        <v>8.3000000000000007</v>
      </c>
      <c r="I120">
        <v>-1.3</v>
      </c>
      <c r="J120" s="76">
        <f t="shared" si="9"/>
        <v>-7.525870178739417E-3</v>
      </c>
      <c r="K120" s="76">
        <f t="shared" si="10"/>
        <v>7.8080903104421451E-2</v>
      </c>
      <c r="L120" s="76">
        <f t="shared" si="11"/>
        <v>-1.2229539040451553E-2</v>
      </c>
      <c r="M120" s="76" t="e">
        <f t="shared" si="12"/>
        <v>#N/A</v>
      </c>
      <c r="N120" s="76" t="e">
        <f t="shared" si="13"/>
        <v>#N/A</v>
      </c>
      <c r="P120" s="7">
        <f t="shared" si="14"/>
        <v>106.2</v>
      </c>
      <c r="Q120" s="7">
        <f t="shared" si="15"/>
        <v>99.2</v>
      </c>
      <c r="S120" s="9">
        <f t="shared" si="16"/>
        <v>0</v>
      </c>
    </row>
    <row r="121" spans="1:19" x14ac:dyDescent="0.25">
      <c r="A121" s="14">
        <v>40848</v>
      </c>
      <c r="B121" s="21">
        <v>104.2</v>
      </c>
      <c r="C121" s="7">
        <v>99.9</v>
      </c>
      <c r="E121" s="22">
        <v>99.9</v>
      </c>
      <c r="F121" s="21">
        <v>99.4</v>
      </c>
      <c r="G121" s="20">
        <v>0.6</v>
      </c>
      <c r="H121">
        <v>3.7</v>
      </c>
      <c r="I121">
        <v>0.6</v>
      </c>
      <c r="J121" s="76">
        <f t="shared" si="9"/>
        <v>5.7581573896353161E-3</v>
      </c>
      <c r="K121" s="76">
        <f t="shared" si="10"/>
        <v>3.5508637236084453E-2</v>
      </c>
      <c r="L121" s="76">
        <f t="shared" si="11"/>
        <v>5.7581573896353161E-3</v>
      </c>
      <c r="M121" s="76" t="e">
        <f t="shared" si="12"/>
        <v>#N/A</v>
      </c>
      <c r="N121" s="76" t="e">
        <f t="shared" si="13"/>
        <v>#N/A</v>
      </c>
      <c r="P121" s="7">
        <f t="shared" si="14"/>
        <v>104.3</v>
      </c>
      <c r="Q121" s="7">
        <f t="shared" si="15"/>
        <v>100</v>
      </c>
      <c r="S121" s="9">
        <f t="shared" si="16"/>
        <v>0</v>
      </c>
    </row>
    <row r="122" spans="1:19" x14ac:dyDescent="0.25">
      <c r="A122" s="14">
        <v>40878</v>
      </c>
      <c r="B122" s="21">
        <v>95.7</v>
      </c>
      <c r="C122" s="7">
        <v>102.5</v>
      </c>
      <c r="E122" s="22">
        <v>102.5</v>
      </c>
      <c r="F122" s="21">
        <v>98.9</v>
      </c>
      <c r="G122" s="20">
        <v>3.5</v>
      </c>
      <c r="H122">
        <v>-7.3</v>
      </c>
      <c r="I122">
        <v>0.5</v>
      </c>
      <c r="J122" s="76">
        <f t="shared" si="9"/>
        <v>3.657262277951933E-2</v>
      </c>
      <c r="K122" s="76">
        <f t="shared" si="10"/>
        <v>-7.6280041797283177E-2</v>
      </c>
      <c r="L122" s="76">
        <f t="shared" si="11"/>
        <v>5.2246603970741903E-3</v>
      </c>
      <c r="M122" s="76" t="e">
        <f t="shared" si="12"/>
        <v>#N/A</v>
      </c>
      <c r="N122" s="76" t="e">
        <f t="shared" si="13"/>
        <v>#N/A</v>
      </c>
      <c r="P122" s="7">
        <f t="shared" si="14"/>
        <v>95.600000000000009</v>
      </c>
      <c r="Q122" s="7">
        <f t="shared" si="15"/>
        <v>102.4</v>
      </c>
      <c r="S122" s="9">
        <f t="shared" si="16"/>
        <v>0</v>
      </c>
    </row>
    <row r="123" spans="1:19" x14ac:dyDescent="0.25">
      <c r="A123" s="14">
        <v>40909</v>
      </c>
      <c r="B123" s="21">
        <v>88.7</v>
      </c>
      <c r="C123" s="7">
        <v>98</v>
      </c>
      <c r="E123" s="22">
        <v>98</v>
      </c>
      <c r="F123" s="21">
        <v>98.6</v>
      </c>
      <c r="G123" s="20">
        <v>-0.7</v>
      </c>
      <c r="H123">
        <v>-8.6999999999999993</v>
      </c>
      <c r="I123">
        <v>-0.6</v>
      </c>
      <c r="J123" s="76">
        <f t="shared" si="9"/>
        <v>-7.8917700112739568E-3</v>
      </c>
      <c r="K123" s="76">
        <f t="shared" si="10"/>
        <v>-9.808342728297631E-2</v>
      </c>
      <c r="L123" s="76">
        <f t="shared" si="11"/>
        <v>-6.7643742953776773E-3</v>
      </c>
      <c r="M123" s="76" t="e">
        <f t="shared" si="12"/>
        <v>#N/A</v>
      </c>
      <c r="N123" s="76" t="e">
        <f t="shared" si="13"/>
        <v>#N/A</v>
      </c>
      <c r="P123" s="7">
        <f t="shared" si="14"/>
        <v>88.6</v>
      </c>
      <c r="Q123" s="7">
        <f t="shared" si="15"/>
        <v>97.899999999999991</v>
      </c>
      <c r="S123" s="9">
        <f t="shared" si="16"/>
        <v>0</v>
      </c>
    </row>
    <row r="124" spans="1:19" x14ac:dyDescent="0.25">
      <c r="A124" s="14">
        <v>40940</v>
      </c>
      <c r="B124" s="21">
        <v>89.8</v>
      </c>
      <c r="C124" s="7">
        <v>99</v>
      </c>
      <c r="E124" s="22">
        <v>99</v>
      </c>
      <c r="F124" s="21">
        <v>98.5</v>
      </c>
      <c r="G124" s="20">
        <v>0.5</v>
      </c>
      <c r="H124">
        <v>-10.5</v>
      </c>
      <c r="I124">
        <v>1.3</v>
      </c>
      <c r="J124" s="76">
        <f t="shared" si="9"/>
        <v>5.5679287305122494E-3</v>
      </c>
      <c r="K124" s="76">
        <f t="shared" si="10"/>
        <v>-0.11692650334075724</v>
      </c>
      <c r="L124" s="76">
        <f t="shared" si="11"/>
        <v>1.447661469933185E-2</v>
      </c>
      <c r="M124" s="76" t="e">
        <f t="shared" si="12"/>
        <v>#N/A</v>
      </c>
      <c r="N124" s="76" t="e">
        <f t="shared" si="13"/>
        <v>#N/A</v>
      </c>
      <c r="P124" s="7">
        <f t="shared" si="14"/>
        <v>89.8</v>
      </c>
      <c r="Q124" s="7">
        <f t="shared" si="15"/>
        <v>99</v>
      </c>
      <c r="S124" s="9">
        <f t="shared" si="16"/>
        <v>0</v>
      </c>
    </row>
    <row r="125" spans="1:19" x14ac:dyDescent="0.25">
      <c r="A125" s="14">
        <v>40969</v>
      </c>
      <c r="B125" s="21">
        <v>99.7</v>
      </c>
      <c r="C125" s="7">
        <v>98.3</v>
      </c>
      <c r="E125" s="22">
        <v>98.3</v>
      </c>
      <c r="F125" s="21">
        <v>98.4</v>
      </c>
      <c r="G125" s="20">
        <v>-0.2</v>
      </c>
      <c r="H125">
        <v>-0.3</v>
      </c>
      <c r="I125">
        <v>1.7</v>
      </c>
      <c r="J125" s="76">
        <f t="shared" si="9"/>
        <v>-2.0060180541624875E-3</v>
      </c>
      <c r="K125" s="76">
        <f t="shared" si="10"/>
        <v>-3.009027081243731E-3</v>
      </c>
      <c r="L125" s="76">
        <f t="shared" si="11"/>
        <v>1.7051153460381142E-2</v>
      </c>
      <c r="M125" s="76" t="e">
        <f t="shared" si="12"/>
        <v>#N/A</v>
      </c>
      <c r="N125" s="76" t="e">
        <f t="shared" si="13"/>
        <v>#N/A</v>
      </c>
      <c r="P125" s="7">
        <f t="shared" si="14"/>
        <v>99.600000000000009</v>
      </c>
      <c r="Q125" s="7">
        <f t="shared" si="15"/>
        <v>98.2</v>
      </c>
      <c r="S125" s="9">
        <f t="shared" si="16"/>
        <v>0</v>
      </c>
    </row>
    <row r="126" spans="1:19" x14ac:dyDescent="0.25">
      <c r="A126" s="14">
        <v>41000</v>
      </c>
      <c r="B126" s="21">
        <v>92.8</v>
      </c>
      <c r="C126" s="7">
        <v>98.5</v>
      </c>
      <c r="E126" s="22">
        <v>98.5</v>
      </c>
      <c r="F126" s="21">
        <v>98.6</v>
      </c>
      <c r="G126" s="20">
        <v>-0.1</v>
      </c>
      <c r="H126">
        <v>-3.8</v>
      </c>
      <c r="I126">
        <v>-1.8</v>
      </c>
      <c r="J126" s="76">
        <f t="shared" si="9"/>
        <v>-1.0775862068965517E-3</v>
      </c>
      <c r="K126" s="76">
        <f t="shared" si="10"/>
        <v>-4.0948275862068964E-2</v>
      </c>
      <c r="L126" s="76">
        <f t="shared" si="11"/>
        <v>-1.9396551724137932E-2</v>
      </c>
      <c r="M126" s="76" t="e">
        <f t="shared" si="12"/>
        <v>#N/A</v>
      </c>
      <c r="N126" s="76" t="e">
        <f t="shared" si="13"/>
        <v>#N/A</v>
      </c>
      <c r="P126" s="7">
        <f t="shared" si="14"/>
        <v>92.9</v>
      </c>
      <c r="Q126" s="7">
        <f t="shared" si="15"/>
        <v>98.5</v>
      </c>
      <c r="S126" s="9">
        <f t="shared" si="16"/>
        <v>0</v>
      </c>
    </row>
    <row r="127" spans="1:19" x14ac:dyDescent="0.25">
      <c r="A127" s="14">
        <v>41030</v>
      </c>
      <c r="B127" s="21">
        <v>102.5</v>
      </c>
      <c r="C127" s="7">
        <v>98.9</v>
      </c>
      <c r="E127" s="22">
        <v>98.9</v>
      </c>
      <c r="F127" s="21">
        <v>99</v>
      </c>
      <c r="G127" s="20">
        <v>-0.1</v>
      </c>
      <c r="H127">
        <v>2.1</v>
      </c>
      <c r="I127">
        <v>1.5</v>
      </c>
      <c r="J127" s="76">
        <f t="shared" si="9"/>
        <v>-9.7560975609756108E-4</v>
      </c>
      <c r="K127" s="76">
        <f t="shared" si="10"/>
        <v>2.0487804878048781E-2</v>
      </c>
      <c r="L127" s="76">
        <f t="shared" si="11"/>
        <v>1.4634146341463415E-2</v>
      </c>
      <c r="M127" s="76" t="e">
        <f t="shared" si="12"/>
        <v>#N/A</v>
      </c>
      <c r="N127" s="76" t="e">
        <f t="shared" si="13"/>
        <v>#N/A</v>
      </c>
      <c r="P127" s="7">
        <f t="shared" si="14"/>
        <v>102.5</v>
      </c>
      <c r="Q127" s="7">
        <f t="shared" si="15"/>
        <v>98.9</v>
      </c>
      <c r="S127" s="9">
        <f t="shared" si="16"/>
        <v>0</v>
      </c>
    </row>
    <row r="128" spans="1:19" x14ac:dyDescent="0.25">
      <c r="A128" s="14">
        <v>41061</v>
      </c>
      <c r="B128" s="21">
        <v>98.3</v>
      </c>
      <c r="C128" s="7">
        <v>99</v>
      </c>
      <c r="E128" s="22">
        <v>99</v>
      </c>
      <c r="F128" s="21">
        <v>99.5</v>
      </c>
      <c r="G128" s="20">
        <v>-0.5</v>
      </c>
      <c r="H128">
        <v>-0.3</v>
      </c>
      <c r="I128">
        <v>-0.3</v>
      </c>
      <c r="J128" s="76">
        <f t="shared" si="9"/>
        <v>-5.0864699898270603E-3</v>
      </c>
      <c r="K128" s="76">
        <f t="shared" si="10"/>
        <v>-3.0518819938962359E-3</v>
      </c>
      <c r="L128" s="76">
        <f t="shared" si="11"/>
        <v>-3.0518819938962359E-3</v>
      </c>
      <c r="M128" s="76" t="e">
        <f t="shared" si="12"/>
        <v>#N/A</v>
      </c>
      <c r="N128" s="76" t="e">
        <f t="shared" si="13"/>
        <v>#N/A</v>
      </c>
      <c r="P128" s="7">
        <f t="shared" si="14"/>
        <v>98.4</v>
      </c>
      <c r="Q128" s="7">
        <f t="shared" si="15"/>
        <v>99</v>
      </c>
      <c r="S128" s="9">
        <f t="shared" si="16"/>
        <v>0</v>
      </c>
    </row>
    <row r="129" spans="1:19" x14ac:dyDescent="0.25">
      <c r="A129" s="14">
        <v>41091</v>
      </c>
      <c r="B129" s="21">
        <v>104.5</v>
      </c>
      <c r="C129" s="7">
        <v>100.5</v>
      </c>
      <c r="E129" s="22">
        <v>100.5</v>
      </c>
      <c r="F129" s="21">
        <v>100</v>
      </c>
      <c r="G129" s="20">
        <v>0.5</v>
      </c>
      <c r="H129">
        <v>4.5999999999999996</v>
      </c>
      <c r="I129">
        <v>-0.6</v>
      </c>
      <c r="J129" s="76">
        <f t="shared" si="9"/>
        <v>4.7846889952153108E-3</v>
      </c>
      <c r="K129" s="76">
        <f t="shared" si="10"/>
        <v>4.4019138755980861E-2</v>
      </c>
      <c r="L129" s="76">
        <f t="shared" si="11"/>
        <v>-5.7416267942583732E-3</v>
      </c>
      <c r="M129" s="76" t="e">
        <f t="shared" si="12"/>
        <v>#N/A</v>
      </c>
      <c r="N129" s="76" t="e">
        <f t="shared" si="13"/>
        <v>#N/A</v>
      </c>
      <c r="P129" s="7">
        <f t="shared" si="14"/>
        <v>104.5</v>
      </c>
      <c r="Q129" s="7">
        <f t="shared" si="15"/>
        <v>100.5</v>
      </c>
      <c r="S129" s="9">
        <f t="shared" si="16"/>
        <v>0</v>
      </c>
    </row>
    <row r="130" spans="1:19" x14ac:dyDescent="0.25">
      <c r="A130" s="14">
        <v>41122</v>
      </c>
      <c r="B130" s="21">
        <v>111.5</v>
      </c>
      <c r="C130" s="7">
        <v>102.5</v>
      </c>
      <c r="E130" s="22">
        <v>102.5</v>
      </c>
      <c r="F130" s="21">
        <v>100.6</v>
      </c>
      <c r="G130" s="20">
        <v>2</v>
      </c>
      <c r="H130">
        <v>8.1999999999999993</v>
      </c>
      <c r="I130">
        <v>0.7</v>
      </c>
      <c r="J130" s="76">
        <f t="shared" si="9"/>
        <v>1.7937219730941704E-2</v>
      </c>
      <c r="K130" s="76">
        <f t="shared" si="10"/>
        <v>7.3542600896860974E-2</v>
      </c>
      <c r="L130" s="76">
        <f t="shared" si="11"/>
        <v>6.2780269058295961E-3</v>
      </c>
      <c r="M130" s="76" t="e">
        <f t="shared" si="12"/>
        <v>#N/A</v>
      </c>
      <c r="N130" s="76" t="e">
        <f t="shared" si="13"/>
        <v>#N/A</v>
      </c>
      <c r="P130" s="7">
        <f t="shared" si="14"/>
        <v>111.5</v>
      </c>
      <c r="Q130" s="7">
        <f t="shared" si="15"/>
        <v>102.6</v>
      </c>
      <c r="S130" s="9">
        <f t="shared" si="16"/>
        <v>0</v>
      </c>
    </row>
    <row r="131" spans="1:19" x14ac:dyDescent="0.25">
      <c r="A131" s="14">
        <v>41153</v>
      </c>
      <c r="B131" s="21">
        <v>103.4</v>
      </c>
      <c r="C131" s="7">
        <v>100.6</v>
      </c>
      <c r="E131" s="22">
        <v>100.6</v>
      </c>
      <c r="F131" s="21">
        <v>101</v>
      </c>
      <c r="G131" s="20">
        <v>-0.4</v>
      </c>
      <c r="H131">
        <v>4.4000000000000004</v>
      </c>
      <c r="I131">
        <v>-1.6</v>
      </c>
      <c r="J131" s="76">
        <f t="shared" si="9"/>
        <v>-3.8684719535783366E-3</v>
      </c>
      <c r="K131" s="76">
        <f t="shared" si="10"/>
        <v>4.2553191489361701E-2</v>
      </c>
      <c r="L131" s="76">
        <f t="shared" si="11"/>
        <v>-1.5473887814313346E-2</v>
      </c>
      <c r="M131" s="76" t="e">
        <f t="shared" si="12"/>
        <v>#N/A</v>
      </c>
      <c r="N131" s="76" t="e">
        <f t="shared" si="13"/>
        <v>#N/A</v>
      </c>
      <c r="P131" s="7">
        <f t="shared" si="14"/>
        <v>103.4</v>
      </c>
      <c r="Q131" s="7">
        <f t="shared" si="15"/>
        <v>100.6</v>
      </c>
      <c r="S131" s="9">
        <f t="shared" si="16"/>
        <v>0</v>
      </c>
    </row>
    <row r="132" spans="1:19" x14ac:dyDescent="0.25">
      <c r="A132" s="14">
        <v>41183</v>
      </c>
      <c r="B132" s="21">
        <v>111.8</v>
      </c>
      <c r="C132" s="7">
        <v>102.1</v>
      </c>
      <c r="E132" s="22">
        <v>102.1</v>
      </c>
      <c r="F132" s="21">
        <v>101.2</v>
      </c>
      <c r="G132" s="20">
        <v>0.9</v>
      </c>
      <c r="H132">
        <v>8.6999999999999993</v>
      </c>
      <c r="I132">
        <v>1</v>
      </c>
      <c r="J132" s="76">
        <f t="shared" ref="J132:J195" si="17">G132/$B132</f>
        <v>8.0500894454382833E-3</v>
      </c>
      <c r="K132" s="76">
        <f t="shared" ref="K132:K195" si="18">H132/$B132</f>
        <v>7.7817531305903395E-2</v>
      </c>
      <c r="L132" s="76">
        <f t="shared" ref="L132:L195" si="19">I132/$B132</f>
        <v>8.9445438282647581E-3</v>
      </c>
      <c r="M132" s="76" t="e">
        <f t="shared" ref="M132:N195" si="20">IF($A132&gt;=DATE(2020,3,1),99999999,NA())</f>
        <v>#N/A</v>
      </c>
      <c r="N132" s="76" t="e">
        <f t="shared" ref="N132:N195" si="21">IF($A132&gt;=DATE(2020,3,1),-99999999,NA())</f>
        <v>#N/A</v>
      </c>
      <c r="P132" s="7">
        <f t="shared" ref="P132:P195" si="22">F132+G132+H132+I132</f>
        <v>111.80000000000001</v>
      </c>
      <c r="Q132" s="7">
        <f t="shared" ref="Q132:Q195" si="23">G132+F132</f>
        <v>102.10000000000001</v>
      </c>
      <c r="S132" s="9">
        <f t="shared" ref="S132:S195" si="24">(E132-C132)/C132</f>
        <v>0</v>
      </c>
    </row>
    <row r="133" spans="1:19" x14ac:dyDescent="0.25">
      <c r="A133" s="14">
        <v>41214</v>
      </c>
      <c r="B133" s="21">
        <v>104.8</v>
      </c>
      <c r="C133" s="7">
        <v>100.6</v>
      </c>
      <c r="E133" s="22">
        <v>100.6</v>
      </c>
      <c r="F133" s="21">
        <v>101.4</v>
      </c>
      <c r="G133" s="20">
        <v>-0.8</v>
      </c>
      <c r="H133">
        <v>3.6</v>
      </c>
      <c r="I133">
        <v>0.7</v>
      </c>
      <c r="J133" s="76">
        <f t="shared" si="17"/>
        <v>-7.6335877862595426E-3</v>
      </c>
      <c r="K133" s="76">
        <f t="shared" si="18"/>
        <v>3.4351145038167941E-2</v>
      </c>
      <c r="L133" s="76">
        <f t="shared" si="19"/>
        <v>6.6793893129770991E-3</v>
      </c>
      <c r="M133" s="76" t="e">
        <f t="shared" si="20"/>
        <v>#N/A</v>
      </c>
      <c r="N133" s="76" t="e">
        <f t="shared" si="21"/>
        <v>#N/A</v>
      </c>
      <c r="P133" s="7">
        <f t="shared" si="22"/>
        <v>104.9</v>
      </c>
      <c r="Q133" s="7">
        <f t="shared" si="23"/>
        <v>100.60000000000001</v>
      </c>
      <c r="S133" s="9">
        <f t="shared" si="24"/>
        <v>0</v>
      </c>
    </row>
    <row r="134" spans="1:19" x14ac:dyDescent="0.25">
      <c r="A134" s="14">
        <v>41244</v>
      </c>
      <c r="B134" s="21">
        <v>92.2</v>
      </c>
      <c r="C134" s="7">
        <v>101.3</v>
      </c>
      <c r="E134" s="22">
        <v>101.3</v>
      </c>
      <c r="F134" s="21">
        <v>101.4</v>
      </c>
      <c r="G134" s="20">
        <v>-0.1</v>
      </c>
      <c r="H134">
        <v>-7.9</v>
      </c>
      <c r="I134">
        <v>-1.3</v>
      </c>
      <c r="J134" s="76">
        <f t="shared" si="17"/>
        <v>-1.0845986984815619E-3</v>
      </c>
      <c r="K134" s="76">
        <f t="shared" si="18"/>
        <v>-8.5683297180043388E-2</v>
      </c>
      <c r="L134" s="76">
        <f t="shared" si="19"/>
        <v>-1.4099783080260303E-2</v>
      </c>
      <c r="M134" s="76" t="e">
        <f t="shared" si="20"/>
        <v>#N/A</v>
      </c>
      <c r="N134" s="76" t="e">
        <f t="shared" si="21"/>
        <v>#N/A</v>
      </c>
      <c r="P134" s="7">
        <f t="shared" si="22"/>
        <v>92.100000000000009</v>
      </c>
      <c r="Q134" s="7">
        <f t="shared" si="23"/>
        <v>101.30000000000001</v>
      </c>
      <c r="S134" s="9">
        <f t="shared" si="24"/>
        <v>0</v>
      </c>
    </row>
    <row r="135" spans="1:19" x14ac:dyDescent="0.25">
      <c r="A135" s="14">
        <v>41275</v>
      </c>
      <c r="B135" s="21">
        <v>94.5</v>
      </c>
      <c r="C135" s="7">
        <v>102.1</v>
      </c>
      <c r="E135" s="22">
        <v>102.1</v>
      </c>
      <c r="F135" s="21">
        <v>101.5</v>
      </c>
      <c r="G135" s="20">
        <v>0.6</v>
      </c>
      <c r="H135">
        <v>-8.9</v>
      </c>
      <c r="I135">
        <v>1.2</v>
      </c>
      <c r="J135" s="76">
        <f t="shared" si="17"/>
        <v>6.3492063492063492E-3</v>
      </c>
      <c r="K135" s="76">
        <f t="shared" si="18"/>
        <v>-9.4179894179894183E-2</v>
      </c>
      <c r="L135" s="76">
        <f t="shared" si="19"/>
        <v>1.2698412698412698E-2</v>
      </c>
      <c r="M135" s="76" t="e">
        <f t="shared" si="20"/>
        <v>#N/A</v>
      </c>
      <c r="N135" s="76" t="e">
        <f t="shared" si="21"/>
        <v>#N/A</v>
      </c>
      <c r="P135" s="7">
        <f t="shared" si="22"/>
        <v>94.399999999999991</v>
      </c>
      <c r="Q135" s="7">
        <f t="shared" si="23"/>
        <v>102.1</v>
      </c>
      <c r="S135" s="9">
        <f t="shared" si="24"/>
        <v>0</v>
      </c>
    </row>
    <row r="136" spans="1:19" x14ac:dyDescent="0.25">
      <c r="A136" s="14">
        <v>41306</v>
      </c>
      <c r="B136" s="21">
        <v>88.1</v>
      </c>
      <c r="C136" s="7">
        <v>99.7</v>
      </c>
      <c r="E136" s="22">
        <v>99.7</v>
      </c>
      <c r="F136" s="21">
        <v>101.7</v>
      </c>
      <c r="G136" s="20">
        <v>-2.1</v>
      </c>
      <c r="H136">
        <v>-10.5</v>
      </c>
      <c r="I136">
        <v>-1.1000000000000001</v>
      </c>
      <c r="J136" s="76">
        <f t="shared" si="17"/>
        <v>-2.3836549375709424E-2</v>
      </c>
      <c r="K136" s="76">
        <f t="shared" si="18"/>
        <v>-0.11918274687854712</v>
      </c>
      <c r="L136" s="76">
        <f t="shared" si="19"/>
        <v>-1.2485811577752555E-2</v>
      </c>
      <c r="M136" s="76" t="e">
        <f t="shared" si="20"/>
        <v>#N/A</v>
      </c>
      <c r="N136" s="76" t="e">
        <f t="shared" si="21"/>
        <v>#N/A</v>
      </c>
      <c r="P136" s="7">
        <f t="shared" si="22"/>
        <v>88.000000000000014</v>
      </c>
      <c r="Q136" s="7">
        <f t="shared" si="23"/>
        <v>99.600000000000009</v>
      </c>
      <c r="S136" s="9">
        <f t="shared" si="24"/>
        <v>0</v>
      </c>
    </row>
    <row r="137" spans="1:19" x14ac:dyDescent="0.25">
      <c r="A137" s="14">
        <v>41334</v>
      </c>
      <c r="B137" s="21">
        <v>97.7</v>
      </c>
      <c r="C137" s="7">
        <v>101.2</v>
      </c>
      <c r="E137" s="22">
        <v>101.2</v>
      </c>
      <c r="F137" s="21">
        <v>102</v>
      </c>
      <c r="G137" s="20">
        <v>-0.8</v>
      </c>
      <c r="H137">
        <v>-0.6</v>
      </c>
      <c r="I137">
        <v>-3</v>
      </c>
      <c r="J137" s="76">
        <f t="shared" si="17"/>
        <v>-8.1883316274309111E-3</v>
      </c>
      <c r="K137" s="76">
        <f t="shared" si="18"/>
        <v>-6.1412487205731829E-3</v>
      </c>
      <c r="L137" s="76">
        <f t="shared" si="19"/>
        <v>-3.0706243602865915E-2</v>
      </c>
      <c r="M137" s="76" t="e">
        <f t="shared" si="20"/>
        <v>#N/A</v>
      </c>
      <c r="N137" s="76" t="e">
        <f t="shared" si="21"/>
        <v>#N/A</v>
      </c>
      <c r="P137" s="7">
        <f t="shared" si="22"/>
        <v>97.600000000000009</v>
      </c>
      <c r="Q137" s="7">
        <f t="shared" si="23"/>
        <v>101.2</v>
      </c>
      <c r="S137" s="9">
        <f t="shared" si="24"/>
        <v>0</v>
      </c>
    </row>
    <row r="138" spans="1:19" x14ac:dyDescent="0.25">
      <c r="A138" s="14">
        <v>41365</v>
      </c>
      <c r="B138" s="21">
        <v>101.8</v>
      </c>
      <c r="C138" s="7">
        <v>103</v>
      </c>
      <c r="E138" s="22">
        <v>103</v>
      </c>
      <c r="F138" s="21">
        <v>102.3</v>
      </c>
      <c r="G138" s="20">
        <v>0.7</v>
      </c>
      <c r="H138">
        <v>-3.9</v>
      </c>
      <c r="I138">
        <v>2.8</v>
      </c>
      <c r="J138" s="76">
        <f t="shared" si="17"/>
        <v>6.8762278978389E-3</v>
      </c>
      <c r="K138" s="76">
        <f t="shared" si="18"/>
        <v>-3.8310412573673867E-2</v>
      </c>
      <c r="L138" s="76">
        <f t="shared" si="19"/>
        <v>2.75049115913556E-2</v>
      </c>
      <c r="M138" s="76" t="e">
        <f t="shared" si="20"/>
        <v>#N/A</v>
      </c>
      <c r="N138" s="76" t="e">
        <f t="shared" si="21"/>
        <v>#N/A</v>
      </c>
      <c r="P138" s="7">
        <f t="shared" si="22"/>
        <v>101.89999999999999</v>
      </c>
      <c r="Q138" s="7">
        <f t="shared" si="23"/>
        <v>103</v>
      </c>
      <c r="S138" s="9">
        <f t="shared" si="24"/>
        <v>0</v>
      </c>
    </row>
    <row r="139" spans="1:19" x14ac:dyDescent="0.25">
      <c r="A139" s="14">
        <v>41395</v>
      </c>
      <c r="B139" s="21">
        <v>105</v>
      </c>
      <c r="C139" s="7">
        <v>102.5</v>
      </c>
      <c r="E139" s="22">
        <v>102.5</v>
      </c>
      <c r="F139" s="21">
        <v>102.6</v>
      </c>
      <c r="G139" s="20">
        <v>-0.1</v>
      </c>
      <c r="H139">
        <v>2.1</v>
      </c>
      <c r="I139">
        <v>0.4</v>
      </c>
      <c r="J139" s="76">
        <f t="shared" si="17"/>
        <v>-9.5238095238095238E-4</v>
      </c>
      <c r="K139" s="76">
        <f t="shared" si="18"/>
        <v>0.02</v>
      </c>
      <c r="L139" s="76">
        <f t="shared" si="19"/>
        <v>3.8095238095238095E-3</v>
      </c>
      <c r="M139" s="76" t="e">
        <f t="shared" si="20"/>
        <v>#N/A</v>
      </c>
      <c r="N139" s="76" t="e">
        <f t="shared" si="21"/>
        <v>#N/A</v>
      </c>
      <c r="P139" s="7">
        <f t="shared" si="22"/>
        <v>105</v>
      </c>
      <c r="Q139" s="7">
        <f t="shared" si="23"/>
        <v>102.5</v>
      </c>
      <c r="S139" s="9">
        <f t="shared" si="24"/>
        <v>0</v>
      </c>
    </row>
    <row r="140" spans="1:19" x14ac:dyDescent="0.25">
      <c r="A140" s="14">
        <v>41426</v>
      </c>
      <c r="B140" s="21">
        <v>101.7</v>
      </c>
      <c r="C140" s="7">
        <v>103.2</v>
      </c>
      <c r="E140" s="22">
        <v>103.2</v>
      </c>
      <c r="F140" s="21">
        <v>102.8</v>
      </c>
      <c r="G140" s="20">
        <v>0.4</v>
      </c>
      <c r="H140">
        <v>-0.2</v>
      </c>
      <c r="I140">
        <v>-1.4</v>
      </c>
      <c r="J140" s="76">
        <f t="shared" si="17"/>
        <v>3.9331366764995086E-3</v>
      </c>
      <c r="K140" s="76">
        <f t="shared" si="18"/>
        <v>-1.9665683382497543E-3</v>
      </c>
      <c r="L140" s="76">
        <f t="shared" si="19"/>
        <v>-1.3765978367748278E-2</v>
      </c>
      <c r="M140" s="76" t="e">
        <f t="shared" si="20"/>
        <v>#N/A</v>
      </c>
      <c r="N140" s="76" t="e">
        <f t="shared" si="21"/>
        <v>#N/A</v>
      </c>
      <c r="P140" s="7">
        <f t="shared" si="22"/>
        <v>101.6</v>
      </c>
      <c r="Q140" s="7">
        <f t="shared" si="23"/>
        <v>103.2</v>
      </c>
      <c r="S140" s="9">
        <f t="shared" si="24"/>
        <v>0</v>
      </c>
    </row>
    <row r="141" spans="1:19" x14ac:dyDescent="0.25">
      <c r="A141" s="14">
        <v>41456</v>
      </c>
      <c r="B141" s="21">
        <v>108</v>
      </c>
      <c r="C141" s="7">
        <v>102.4</v>
      </c>
      <c r="E141" s="22">
        <v>102.4</v>
      </c>
      <c r="F141" s="21">
        <v>103</v>
      </c>
      <c r="G141" s="20">
        <v>-0.6</v>
      </c>
      <c r="H141">
        <v>4.7</v>
      </c>
      <c r="I141">
        <v>1</v>
      </c>
      <c r="J141" s="76">
        <f t="shared" si="17"/>
        <v>-5.5555555555555558E-3</v>
      </c>
      <c r="K141" s="76">
        <f t="shared" si="18"/>
        <v>4.3518518518518519E-2</v>
      </c>
      <c r="L141" s="76">
        <f t="shared" si="19"/>
        <v>9.2592592592592587E-3</v>
      </c>
      <c r="M141" s="76" t="e">
        <f t="shared" si="20"/>
        <v>#N/A</v>
      </c>
      <c r="N141" s="76" t="e">
        <f t="shared" si="21"/>
        <v>#N/A</v>
      </c>
      <c r="P141" s="7">
        <f t="shared" si="22"/>
        <v>108.10000000000001</v>
      </c>
      <c r="Q141" s="7">
        <f t="shared" si="23"/>
        <v>102.4</v>
      </c>
      <c r="S141" s="9">
        <f t="shared" si="24"/>
        <v>0</v>
      </c>
    </row>
    <row r="142" spans="1:19" x14ac:dyDescent="0.25">
      <c r="A142" s="14">
        <v>41487</v>
      </c>
      <c r="B142" s="21">
        <v>112</v>
      </c>
      <c r="C142" s="7">
        <v>102.9</v>
      </c>
      <c r="E142" s="22">
        <v>102.9</v>
      </c>
      <c r="F142" s="21">
        <v>103.1</v>
      </c>
      <c r="G142" s="20">
        <v>-0.1</v>
      </c>
      <c r="H142">
        <v>8.5</v>
      </c>
      <c r="I142">
        <v>0.5</v>
      </c>
      <c r="J142" s="76">
        <f t="shared" si="17"/>
        <v>-8.9285714285714294E-4</v>
      </c>
      <c r="K142" s="76">
        <f t="shared" si="18"/>
        <v>7.5892857142857137E-2</v>
      </c>
      <c r="L142" s="76">
        <f t="shared" si="19"/>
        <v>4.464285714285714E-3</v>
      </c>
      <c r="M142" s="76" t="e">
        <f t="shared" si="20"/>
        <v>#N/A</v>
      </c>
      <c r="N142" s="76" t="e">
        <f t="shared" si="21"/>
        <v>#N/A</v>
      </c>
      <c r="P142" s="7">
        <f t="shared" si="22"/>
        <v>112</v>
      </c>
      <c r="Q142" s="7">
        <f t="shared" si="23"/>
        <v>103</v>
      </c>
      <c r="S142" s="9">
        <f t="shared" si="24"/>
        <v>0</v>
      </c>
    </row>
    <row r="143" spans="1:19" x14ac:dyDescent="0.25">
      <c r="A143" s="14">
        <v>41518</v>
      </c>
      <c r="B143" s="21">
        <v>107.3</v>
      </c>
      <c r="C143" s="7">
        <v>103.5</v>
      </c>
      <c r="E143" s="22">
        <v>103.5</v>
      </c>
      <c r="F143" s="21">
        <v>103</v>
      </c>
      <c r="G143" s="20">
        <v>0.6</v>
      </c>
      <c r="H143">
        <v>4.9000000000000004</v>
      </c>
      <c r="I143">
        <v>-1.1000000000000001</v>
      </c>
      <c r="J143" s="76">
        <f t="shared" si="17"/>
        <v>5.5917986952469714E-3</v>
      </c>
      <c r="K143" s="76">
        <f t="shared" si="18"/>
        <v>4.5666356011183601E-2</v>
      </c>
      <c r="L143" s="76">
        <f t="shared" si="19"/>
        <v>-1.0251630941286114E-2</v>
      </c>
      <c r="M143" s="76" t="e">
        <f t="shared" si="20"/>
        <v>#N/A</v>
      </c>
      <c r="N143" s="76" t="e">
        <f t="shared" si="21"/>
        <v>#N/A</v>
      </c>
      <c r="P143" s="7">
        <f t="shared" si="22"/>
        <v>107.4</v>
      </c>
      <c r="Q143" s="7">
        <f t="shared" si="23"/>
        <v>103.6</v>
      </c>
      <c r="S143" s="9">
        <f t="shared" si="24"/>
        <v>0</v>
      </c>
    </row>
    <row r="144" spans="1:19" x14ac:dyDescent="0.25">
      <c r="A144" s="14">
        <v>41548</v>
      </c>
      <c r="B144" s="21">
        <v>112.6</v>
      </c>
      <c r="C144" s="7">
        <v>102.5</v>
      </c>
      <c r="E144" s="22">
        <v>102.5</v>
      </c>
      <c r="F144" s="21">
        <v>102.7</v>
      </c>
      <c r="G144" s="20">
        <v>-0.3</v>
      </c>
      <c r="H144">
        <v>8.9</v>
      </c>
      <c r="I144">
        <v>1.2</v>
      </c>
      <c r="J144" s="76">
        <f t="shared" si="17"/>
        <v>-2.6642984014209592E-3</v>
      </c>
      <c r="K144" s="76">
        <f t="shared" si="18"/>
        <v>7.9040852575488457E-2</v>
      </c>
      <c r="L144" s="76">
        <f t="shared" si="19"/>
        <v>1.0657193605683837E-2</v>
      </c>
      <c r="M144" s="76" t="e">
        <f t="shared" si="20"/>
        <v>#N/A</v>
      </c>
      <c r="N144" s="76" t="e">
        <f t="shared" si="21"/>
        <v>#N/A</v>
      </c>
      <c r="P144" s="7">
        <f t="shared" si="22"/>
        <v>112.50000000000001</v>
      </c>
      <c r="Q144" s="7">
        <f t="shared" si="23"/>
        <v>102.4</v>
      </c>
      <c r="S144" s="9">
        <f t="shared" si="24"/>
        <v>0</v>
      </c>
    </row>
    <row r="145" spans="1:19" x14ac:dyDescent="0.25">
      <c r="A145" s="14">
        <v>41579</v>
      </c>
      <c r="B145" s="21">
        <v>106.1</v>
      </c>
      <c r="C145" s="7">
        <v>103</v>
      </c>
      <c r="E145" s="22">
        <v>103</v>
      </c>
      <c r="F145" s="21">
        <v>102.4</v>
      </c>
      <c r="G145" s="20">
        <v>0.6</v>
      </c>
      <c r="H145">
        <v>3.2</v>
      </c>
      <c r="I145">
        <v>-0.1</v>
      </c>
      <c r="J145" s="76">
        <f t="shared" si="17"/>
        <v>5.6550424128180964E-3</v>
      </c>
      <c r="K145" s="76">
        <f t="shared" si="18"/>
        <v>3.0160226201696515E-2</v>
      </c>
      <c r="L145" s="76">
        <f t="shared" si="19"/>
        <v>-9.4250706880301611E-4</v>
      </c>
      <c r="M145" s="76" t="e">
        <f t="shared" si="20"/>
        <v>#N/A</v>
      </c>
      <c r="N145" s="76" t="e">
        <f t="shared" si="21"/>
        <v>#N/A</v>
      </c>
      <c r="P145" s="7">
        <f t="shared" si="22"/>
        <v>106.10000000000001</v>
      </c>
      <c r="Q145" s="7">
        <f t="shared" si="23"/>
        <v>103</v>
      </c>
      <c r="S145" s="9">
        <f t="shared" si="24"/>
        <v>0</v>
      </c>
    </row>
    <row r="146" spans="1:19" x14ac:dyDescent="0.25">
      <c r="A146" s="14">
        <v>41609</v>
      </c>
      <c r="B146" s="21">
        <v>90.1</v>
      </c>
      <c r="C146" s="7">
        <v>99</v>
      </c>
      <c r="E146" s="22">
        <v>99</v>
      </c>
      <c r="F146" s="21">
        <v>101.9</v>
      </c>
      <c r="G146" s="20">
        <v>-2.9</v>
      </c>
      <c r="H146">
        <v>-8.3000000000000007</v>
      </c>
      <c r="I146">
        <v>-0.6</v>
      </c>
      <c r="J146" s="76">
        <f t="shared" si="17"/>
        <v>-3.2186459489456164E-2</v>
      </c>
      <c r="K146" s="76">
        <f t="shared" si="18"/>
        <v>-9.2119866814650397E-2</v>
      </c>
      <c r="L146" s="76">
        <f t="shared" si="19"/>
        <v>-6.6592674805771371E-3</v>
      </c>
      <c r="M146" s="76" t="e">
        <f t="shared" si="20"/>
        <v>#N/A</v>
      </c>
      <c r="N146" s="76" t="e">
        <f t="shared" si="21"/>
        <v>#N/A</v>
      </c>
      <c r="P146" s="7">
        <f t="shared" si="22"/>
        <v>90.100000000000009</v>
      </c>
      <c r="Q146" s="7">
        <f t="shared" si="23"/>
        <v>99</v>
      </c>
      <c r="S146" s="9">
        <f t="shared" si="24"/>
        <v>0</v>
      </c>
    </row>
    <row r="147" spans="1:19" x14ac:dyDescent="0.25">
      <c r="A147" s="14">
        <v>41640</v>
      </c>
      <c r="B147" s="21">
        <v>92.6</v>
      </c>
      <c r="C147" s="7">
        <v>100.6</v>
      </c>
      <c r="E147" s="22">
        <v>100.6</v>
      </c>
      <c r="F147" s="21">
        <v>101.5</v>
      </c>
      <c r="G147" s="20">
        <v>-0.9</v>
      </c>
      <c r="H147">
        <v>-8.6999999999999993</v>
      </c>
      <c r="I147">
        <v>0.7</v>
      </c>
      <c r="J147" s="76">
        <f t="shared" si="17"/>
        <v>-9.7192224622030254E-3</v>
      </c>
      <c r="K147" s="76">
        <f t="shared" si="18"/>
        <v>-9.3952483801295894E-2</v>
      </c>
      <c r="L147" s="76">
        <f t="shared" si="19"/>
        <v>7.5593952483801298E-3</v>
      </c>
      <c r="M147" s="76" t="e">
        <f t="shared" si="20"/>
        <v>#N/A</v>
      </c>
      <c r="N147" s="76" t="e">
        <f t="shared" si="21"/>
        <v>#N/A</v>
      </c>
      <c r="P147" s="7">
        <f t="shared" si="22"/>
        <v>92.6</v>
      </c>
      <c r="Q147" s="7">
        <f t="shared" si="23"/>
        <v>100.6</v>
      </c>
      <c r="S147" s="9">
        <f t="shared" si="24"/>
        <v>0</v>
      </c>
    </row>
    <row r="148" spans="1:19" x14ac:dyDescent="0.25">
      <c r="A148" s="14">
        <v>41671</v>
      </c>
      <c r="B148" s="21">
        <v>92.3</v>
      </c>
      <c r="C148" s="7">
        <v>101.2</v>
      </c>
      <c r="E148" s="22">
        <v>101.2</v>
      </c>
      <c r="F148" s="21">
        <v>100.9</v>
      </c>
      <c r="G148" s="20">
        <v>0.3</v>
      </c>
      <c r="H148">
        <v>-10.6</v>
      </c>
      <c r="I148">
        <v>1.6</v>
      </c>
      <c r="J148" s="76">
        <f t="shared" si="17"/>
        <v>3.2502708559046588E-3</v>
      </c>
      <c r="K148" s="76">
        <f t="shared" si="18"/>
        <v>-0.11484290357529794</v>
      </c>
      <c r="L148" s="76">
        <f t="shared" si="19"/>
        <v>1.7334777898158182E-2</v>
      </c>
      <c r="M148" s="76" t="e">
        <f t="shared" si="20"/>
        <v>#N/A</v>
      </c>
      <c r="N148" s="76" t="e">
        <f t="shared" si="21"/>
        <v>#N/A</v>
      </c>
      <c r="P148" s="7">
        <f t="shared" si="22"/>
        <v>92.2</v>
      </c>
      <c r="Q148" s="7">
        <f t="shared" si="23"/>
        <v>101.2</v>
      </c>
      <c r="S148" s="9">
        <f t="shared" si="24"/>
        <v>0</v>
      </c>
    </row>
    <row r="149" spans="1:19" x14ac:dyDescent="0.25">
      <c r="A149" s="14">
        <v>41699</v>
      </c>
      <c r="B149" s="21">
        <v>97.3</v>
      </c>
      <c r="C149" s="7">
        <v>101</v>
      </c>
      <c r="E149" s="22">
        <v>101</v>
      </c>
      <c r="F149" s="21">
        <v>100.4</v>
      </c>
      <c r="G149" s="20">
        <v>0.6</v>
      </c>
      <c r="H149">
        <v>-0.9</v>
      </c>
      <c r="I149">
        <v>-2.8</v>
      </c>
      <c r="J149" s="76">
        <f t="shared" si="17"/>
        <v>6.1664953751284684E-3</v>
      </c>
      <c r="K149" s="76">
        <f t="shared" si="18"/>
        <v>-9.249743062692703E-3</v>
      </c>
      <c r="L149" s="76">
        <f t="shared" si="19"/>
        <v>-2.8776978417266185E-2</v>
      </c>
      <c r="M149" s="76" t="e">
        <f t="shared" si="20"/>
        <v>#N/A</v>
      </c>
      <c r="N149" s="76" t="e">
        <f t="shared" si="21"/>
        <v>#N/A</v>
      </c>
      <c r="P149" s="7">
        <f t="shared" si="22"/>
        <v>97.3</v>
      </c>
      <c r="Q149" s="7">
        <f t="shared" si="23"/>
        <v>101</v>
      </c>
      <c r="S149" s="9">
        <f t="shared" si="24"/>
        <v>0</v>
      </c>
    </row>
    <row r="150" spans="1:19" x14ac:dyDescent="0.25">
      <c r="A150" s="14">
        <v>41730</v>
      </c>
      <c r="B150" s="21">
        <v>96</v>
      </c>
      <c r="C150" s="7">
        <v>100.2</v>
      </c>
      <c r="E150" s="22">
        <v>100.2</v>
      </c>
      <c r="F150" s="21">
        <v>99.9</v>
      </c>
      <c r="G150" s="20">
        <v>0.3</v>
      </c>
      <c r="H150">
        <v>-4.0999999999999996</v>
      </c>
      <c r="I150">
        <v>-0.1</v>
      </c>
      <c r="J150" s="76">
        <f t="shared" si="17"/>
        <v>3.1249999999999997E-3</v>
      </c>
      <c r="K150" s="76">
        <f t="shared" si="18"/>
        <v>-4.2708333333333327E-2</v>
      </c>
      <c r="L150" s="76">
        <f t="shared" si="19"/>
        <v>-1.0416666666666667E-3</v>
      </c>
      <c r="M150" s="76" t="e">
        <f t="shared" si="20"/>
        <v>#N/A</v>
      </c>
      <c r="N150" s="76" t="e">
        <f t="shared" si="21"/>
        <v>#N/A</v>
      </c>
      <c r="P150" s="7">
        <f t="shared" si="22"/>
        <v>96.000000000000014</v>
      </c>
      <c r="Q150" s="7">
        <f t="shared" si="23"/>
        <v>100.2</v>
      </c>
      <c r="S150" s="9">
        <f t="shared" si="24"/>
        <v>0</v>
      </c>
    </row>
    <row r="151" spans="1:19" x14ac:dyDescent="0.25">
      <c r="A151" s="14">
        <v>41760</v>
      </c>
      <c r="B151" s="21">
        <v>101.7</v>
      </c>
      <c r="C151" s="7">
        <v>98.8</v>
      </c>
      <c r="E151" s="22">
        <v>98.8</v>
      </c>
      <c r="F151" s="21">
        <v>99.4</v>
      </c>
      <c r="G151" s="20">
        <v>-0.6</v>
      </c>
      <c r="H151">
        <v>2.1</v>
      </c>
      <c r="I151">
        <v>0.8</v>
      </c>
      <c r="J151" s="76">
        <f t="shared" si="17"/>
        <v>-5.8997050147492625E-3</v>
      </c>
      <c r="K151" s="76">
        <f t="shared" si="18"/>
        <v>2.0648967551622419E-2</v>
      </c>
      <c r="L151" s="76">
        <f t="shared" si="19"/>
        <v>7.8662733529990172E-3</v>
      </c>
      <c r="M151" s="76" t="e">
        <f t="shared" si="20"/>
        <v>#N/A</v>
      </c>
      <c r="N151" s="76" t="e">
        <f t="shared" si="21"/>
        <v>#N/A</v>
      </c>
      <c r="P151" s="7">
        <f t="shared" si="22"/>
        <v>101.7</v>
      </c>
      <c r="Q151" s="7">
        <f t="shared" si="23"/>
        <v>98.800000000000011</v>
      </c>
      <c r="S151" s="9">
        <f t="shared" si="24"/>
        <v>0</v>
      </c>
    </row>
    <row r="152" spans="1:19" x14ac:dyDescent="0.25">
      <c r="A152" s="14">
        <v>41791</v>
      </c>
      <c r="B152" s="21">
        <v>94.9</v>
      </c>
      <c r="C152" s="7">
        <v>96.1</v>
      </c>
      <c r="E152" s="22">
        <v>96.1</v>
      </c>
      <c r="F152" s="21">
        <v>99.1</v>
      </c>
      <c r="G152" s="20">
        <v>-3</v>
      </c>
      <c r="H152">
        <v>0.2</v>
      </c>
      <c r="I152">
        <v>-1.4</v>
      </c>
      <c r="J152" s="76">
        <f t="shared" si="17"/>
        <v>-3.1612223393045306E-2</v>
      </c>
      <c r="K152" s="76">
        <f t="shared" si="18"/>
        <v>2.1074815595363539E-3</v>
      </c>
      <c r="L152" s="76">
        <f t="shared" si="19"/>
        <v>-1.4752370916754477E-2</v>
      </c>
      <c r="M152" s="76" t="e">
        <f t="shared" si="20"/>
        <v>#N/A</v>
      </c>
      <c r="N152" s="76" t="e">
        <f t="shared" si="21"/>
        <v>#N/A</v>
      </c>
      <c r="P152" s="7">
        <f t="shared" si="22"/>
        <v>94.899999999999991</v>
      </c>
      <c r="Q152" s="7">
        <f t="shared" si="23"/>
        <v>96.1</v>
      </c>
      <c r="S152" s="9">
        <f t="shared" si="24"/>
        <v>0</v>
      </c>
    </row>
    <row r="153" spans="1:19" x14ac:dyDescent="0.25">
      <c r="A153" s="14">
        <v>41821</v>
      </c>
      <c r="B153" s="21">
        <v>104.4</v>
      </c>
      <c r="C153" s="7">
        <v>98.3</v>
      </c>
      <c r="E153" s="22">
        <v>98.3</v>
      </c>
      <c r="F153" s="21">
        <v>99.1</v>
      </c>
      <c r="G153" s="20">
        <v>-0.7</v>
      </c>
      <c r="H153">
        <v>4.9000000000000004</v>
      </c>
      <c r="I153">
        <v>1.2</v>
      </c>
      <c r="J153" s="76">
        <f t="shared" si="17"/>
        <v>-6.7049808429118767E-3</v>
      </c>
      <c r="K153" s="76">
        <f t="shared" si="18"/>
        <v>4.6934865900383142E-2</v>
      </c>
      <c r="L153" s="76">
        <f t="shared" si="19"/>
        <v>1.1494252873563216E-2</v>
      </c>
      <c r="M153" s="76" t="e">
        <f t="shared" si="20"/>
        <v>#N/A</v>
      </c>
      <c r="N153" s="76" t="e">
        <f t="shared" si="21"/>
        <v>#N/A</v>
      </c>
      <c r="P153" s="7">
        <f t="shared" si="22"/>
        <v>104.5</v>
      </c>
      <c r="Q153" s="7">
        <f t="shared" si="23"/>
        <v>98.399999999999991</v>
      </c>
      <c r="S153" s="9">
        <f t="shared" si="24"/>
        <v>0</v>
      </c>
    </row>
    <row r="154" spans="1:19" x14ac:dyDescent="0.25">
      <c r="A154" s="14">
        <v>41852</v>
      </c>
      <c r="B154" s="21">
        <v>106.3</v>
      </c>
      <c r="C154" s="7">
        <v>99.2</v>
      </c>
      <c r="E154" s="22">
        <v>99.2</v>
      </c>
      <c r="F154" s="21">
        <v>99.1</v>
      </c>
      <c r="G154" s="20">
        <v>0.1</v>
      </c>
      <c r="H154">
        <v>8.6999999999999993</v>
      </c>
      <c r="I154">
        <v>-1.6</v>
      </c>
      <c r="J154" s="76">
        <f t="shared" si="17"/>
        <v>9.4073377234242712E-4</v>
      </c>
      <c r="K154" s="76">
        <f t="shared" si="18"/>
        <v>8.1843838193791152E-2</v>
      </c>
      <c r="L154" s="76">
        <f t="shared" si="19"/>
        <v>-1.5051740357478834E-2</v>
      </c>
      <c r="M154" s="76" t="e">
        <f t="shared" si="20"/>
        <v>#N/A</v>
      </c>
      <c r="N154" s="76" t="e">
        <f t="shared" si="21"/>
        <v>#N/A</v>
      </c>
      <c r="P154" s="7">
        <f t="shared" si="22"/>
        <v>106.3</v>
      </c>
      <c r="Q154" s="7">
        <f t="shared" si="23"/>
        <v>99.199999999999989</v>
      </c>
      <c r="S154" s="9">
        <f t="shared" si="24"/>
        <v>0</v>
      </c>
    </row>
    <row r="155" spans="1:19" x14ac:dyDescent="0.25">
      <c r="A155" s="14">
        <v>41883</v>
      </c>
      <c r="B155" s="21">
        <v>105.6</v>
      </c>
      <c r="C155" s="7">
        <v>99.4</v>
      </c>
      <c r="E155" s="22">
        <v>99.4</v>
      </c>
      <c r="F155" s="21">
        <v>99.1</v>
      </c>
      <c r="G155" s="20">
        <v>0.3</v>
      </c>
      <c r="H155">
        <v>5.3</v>
      </c>
      <c r="I155">
        <v>0.9</v>
      </c>
      <c r="J155" s="76">
        <f t="shared" si="17"/>
        <v>2.840909090909091E-3</v>
      </c>
      <c r="K155" s="76">
        <f t="shared" si="18"/>
        <v>5.0189393939393943E-2</v>
      </c>
      <c r="L155" s="76">
        <f t="shared" si="19"/>
        <v>8.5227272727272738E-3</v>
      </c>
      <c r="M155" s="76" t="e">
        <f t="shared" si="20"/>
        <v>#N/A</v>
      </c>
      <c r="N155" s="76" t="e">
        <f t="shared" si="21"/>
        <v>#N/A</v>
      </c>
      <c r="P155" s="7">
        <f t="shared" si="22"/>
        <v>105.6</v>
      </c>
      <c r="Q155" s="7">
        <f t="shared" si="23"/>
        <v>99.399999999999991</v>
      </c>
      <c r="S155" s="9">
        <f t="shared" si="24"/>
        <v>0</v>
      </c>
    </row>
    <row r="156" spans="1:19" x14ac:dyDescent="0.25">
      <c r="A156" s="14">
        <v>41913</v>
      </c>
      <c r="B156" s="21">
        <v>109.3</v>
      </c>
      <c r="C156" s="7">
        <v>99.7</v>
      </c>
      <c r="E156" s="22">
        <v>99.7</v>
      </c>
      <c r="F156" s="21">
        <v>98.9</v>
      </c>
      <c r="G156" s="20">
        <v>0.8</v>
      </c>
      <c r="H156">
        <v>8.9</v>
      </c>
      <c r="I156">
        <v>0.7</v>
      </c>
      <c r="J156" s="76">
        <f t="shared" si="17"/>
        <v>7.319304666056725E-3</v>
      </c>
      <c r="K156" s="76">
        <f t="shared" si="18"/>
        <v>8.1427264409881073E-2</v>
      </c>
      <c r="L156" s="76">
        <f t="shared" si="19"/>
        <v>6.4043915827996338E-3</v>
      </c>
      <c r="M156" s="76" t="e">
        <f t="shared" si="20"/>
        <v>#N/A</v>
      </c>
      <c r="N156" s="76" t="e">
        <f t="shared" si="21"/>
        <v>#N/A</v>
      </c>
      <c r="P156" s="7">
        <f t="shared" si="22"/>
        <v>109.30000000000001</v>
      </c>
      <c r="Q156" s="7">
        <f t="shared" si="23"/>
        <v>99.7</v>
      </c>
      <c r="S156" s="9">
        <f t="shared" si="24"/>
        <v>0</v>
      </c>
    </row>
    <row r="157" spans="1:19" x14ac:dyDescent="0.25">
      <c r="A157" s="14">
        <v>41944</v>
      </c>
      <c r="B157" s="21">
        <v>99.8</v>
      </c>
      <c r="C157" s="7">
        <v>98.6</v>
      </c>
      <c r="E157" s="22">
        <v>98.6</v>
      </c>
      <c r="F157" s="21">
        <v>98.4</v>
      </c>
      <c r="G157" s="20">
        <v>0.2</v>
      </c>
      <c r="H157">
        <v>2.8</v>
      </c>
      <c r="I157">
        <v>-1.6</v>
      </c>
      <c r="J157" s="76">
        <f t="shared" si="17"/>
        <v>2.0040080160320644E-3</v>
      </c>
      <c r="K157" s="76">
        <f t="shared" si="18"/>
        <v>2.8056112224448898E-2</v>
      </c>
      <c r="L157" s="76">
        <f t="shared" si="19"/>
        <v>-1.6032064128256515E-2</v>
      </c>
      <c r="M157" s="76" t="e">
        <f t="shared" si="20"/>
        <v>#N/A</v>
      </c>
      <c r="N157" s="76" t="e">
        <f t="shared" si="21"/>
        <v>#N/A</v>
      </c>
      <c r="P157" s="7">
        <f t="shared" si="22"/>
        <v>99.800000000000011</v>
      </c>
      <c r="Q157" s="7">
        <f t="shared" si="23"/>
        <v>98.600000000000009</v>
      </c>
      <c r="S157" s="9">
        <f t="shared" si="24"/>
        <v>0</v>
      </c>
    </row>
    <row r="158" spans="1:19" x14ac:dyDescent="0.25">
      <c r="A158" s="14">
        <v>41974</v>
      </c>
      <c r="B158" s="21">
        <v>87.7</v>
      </c>
      <c r="C158" s="7">
        <v>95.4</v>
      </c>
      <c r="E158" s="22">
        <v>95.4</v>
      </c>
      <c r="F158" s="21">
        <v>97.6</v>
      </c>
      <c r="G158" s="20">
        <v>-2.2000000000000002</v>
      </c>
      <c r="H158">
        <v>-8.6999999999999993</v>
      </c>
      <c r="I158">
        <v>1</v>
      </c>
      <c r="J158" s="76">
        <f t="shared" si="17"/>
        <v>-2.5085518814139111E-2</v>
      </c>
      <c r="K158" s="76">
        <f t="shared" si="18"/>
        <v>-9.9201824401368294E-2</v>
      </c>
      <c r="L158" s="76">
        <f t="shared" si="19"/>
        <v>1.1402508551881414E-2</v>
      </c>
      <c r="M158" s="76" t="e">
        <f t="shared" si="20"/>
        <v>#N/A</v>
      </c>
      <c r="N158" s="76" t="e">
        <f t="shared" si="21"/>
        <v>#N/A</v>
      </c>
      <c r="P158" s="7">
        <f t="shared" si="22"/>
        <v>87.699999999999989</v>
      </c>
      <c r="Q158" s="7">
        <f t="shared" si="23"/>
        <v>95.399999999999991</v>
      </c>
      <c r="S158" s="9">
        <f t="shared" si="24"/>
        <v>0</v>
      </c>
    </row>
    <row r="159" spans="1:19" x14ac:dyDescent="0.25">
      <c r="A159" s="14">
        <v>42005</v>
      </c>
      <c r="B159" s="21">
        <v>88.1</v>
      </c>
      <c r="C159" s="7">
        <v>96</v>
      </c>
      <c r="E159" s="22">
        <v>96</v>
      </c>
      <c r="F159" s="21">
        <v>96.6</v>
      </c>
      <c r="G159" s="20">
        <v>-0.5</v>
      </c>
      <c r="H159">
        <v>-8.5</v>
      </c>
      <c r="I159">
        <v>0.5</v>
      </c>
      <c r="J159" s="76">
        <f t="shared" si="17"/>
        <v>-5.6753688989784343E-3</v>
      </c>
      <c r="K159" s="76">
        <f t="shared" si="18"/>
        <v>-9.6481271282633382E-2</v>
      </c>
      <c r="L159" s="76">
        <f t="shared" si="19"/>
        <v>5.6753688989784343E-3</v>
      </c>
      <c r="M159" s="76" t="e">
        <f t="shared" si="20"/>
        <v>#N/A</v>
      </c>
      <c r="N159" s="76" t="e">
        <f t="shared" si="21"/>
        <v>#N/A</v>
      </c>
      <c r="P159" s="7">
        <f t="shared" si="22"/>
        <v>88.1</v>
      </c>
      <c r="Q159" s="7">
        <f t="shared" si="23"/>
        <v>96.1</v>
      </c>
      <c r="S159" s="9">
        <f t="shared" si="24"/>
        <v>0</v>
      </c>
    </row>
    <row r="160" spans="1:19" x14ac:dyDescent="0.25">
      <c r="A160" s="14">
        <v>42036</v>
      </c>
      <c r="B160" s="21">
        <v>83.7</v>
      </c>
      <c r="C160" s="7">
        <v>95.4</v>
      </c>
      <c r="E160" s="22">
        <v>95.4</v>
      </c>
      <c r="F160" s="21">
        <v>95.5</v>
      </c>
      <c r="G160" s="20">
        <v>-0.1</v>
      </c>
      <c r="H160">
        <v>-10.6</v>
      </c>
      <c r="I160">
        <v>-1.1000000000000001</v>
      </c>
      <c r="J160" s="76">
        <f t="shared" si="17"/>
        <v>-1.1947431302270011E-3</v>
      </c>
      <c r="K160" s="76">
        <f t="shared" si="18"/>
        <v>-0.12664277180406211</v>
      </c>
      <c r="L160" s="76">
        <f t="shared" si="19"/>
        <v>-1.3142174432497013E-2</v>
      </c>
      <c r="M160" s="76" t="e">
        <f t="shared" si="20"/>
        <v>#N/A</v>
      </c>
      <c r="N160" s="76" t="e">
        <f t="shared" si="21"/>
        <v>#N/A</v>
      </c>
      <c r="P160" s="7">
        <f t="shared" si="22"/>
        <v>83.700000000000017</v>
      </c>
      <c r="Q160" s="7">
        <f t="shared" si="23"/>
        <v>95.4</v>
      </c>
      <c r="S160" s="9">
        <f t="shared" si="24"/>
        <v>0</v>
      </c>
    </row>
    <row r="161" spans="1:19" x14ac:dyDescent="0.25">
      <c r="A161" s="14">
        <v>42064</v>
      </c>
      <c r="B161" s="21">
        <v>94.3</v>
      </c>
      <c r="C161" s="7">
        <v>95</v>
      </c>
      <c r="E161" s="22">
        <v>95</v>
      </c>
      <c r="F161" s="21">
        <v>94.4</v>
      </c>
      <c r="G161" s="20">
        <v>0.7</v>
      </c>
      <c r="H161">
        <v>-1.3</v>
      </c>
      <c r="I161">
        <v>0.6</v>
      </c>
      <c r="J161" s="76">
        <f t="shared" si="17"/>
        <v>7.423117709437964E-3</v>
      </c>
      <c r="K161" s="76">
        <f t="shared" si="18"/>
        <v>-1.3785790031813362E-2</v>
      </c>
      <c r="L161" s="76">
        <f t="shared" si="19"/>
        <v>6.3626723223753979E-3</v>
      </c>
      <c r="M161" s="76" t="e">
        <f t="shared" si="20"/>
        <v>#N/A</v>
      </c>
      <c r="N161" s="76" t="e">
        <f t="shared" si="21"/>
        <v>#N/A</v>
      </c>
      <c r="P161" s="7">
        <f t="shared" si="22"/>
        <v>94.4</v>
      </c>
      <c r="Q161" s="7">
        <f t="shared" si="23"/>
        <v>95.100000000000009</v>
      </c>
      <c r="S161" s="9">
        <f t="shared" si="24"/>
        <v>0</v>
      </c>
    </row>
    <row r="162" spans="1:19" x14ac:dyDescent="0.25">
      <c r="A162" s="14">
        <v>42095</v>
      </c>
      <c r="B162" s="21">
        <v>88.8</v>
      </c>
      <c r="C162" s="7">
        <v>93</v>
      </c>
      <c r="E162" s="22">
        <v>93</v>
      </c>
      <c r="F162" s="21">
        <v>93.3</v>
      </c>
      <c r="G162" s="20">
        <v>-0.3</v>
      </c>
      <c r="H162">
        <v>-4.2</v>
      </c>
      <c r="I162">
        <v>0</v>
      </c>
      <c r="J162" s="76">
        <f t="shared" si="17"/>
        <v>-3.3783783783783786E-3</v>
      </c>
      <c r="K162" s="76">
        <f t="shared" si="18"/>
        <v>-4.72972972972973E-2</v>
      </c>
      <c r="L162" s="76">
        <f t="shared" si="19"/>
        <v>0</v>
      </c>
      <c r="M162" s="76" t="e">
        <f t="shared" si="20"/>
        <v>#N/A</v>
      </c>
      <c r="N162" s="76" t="e">
        <f t="shared" si="21"/>
        <v>#N/A</v>
      </c>
      <c r="P162" s="7">
        <f t="shared" si="22"/>
        <v>88.8</v>
      </c>
      <c r="Q162" s="7">
        <f t="shared" si="23"/>
        <v>93</v>
      </c>
      <c r="S162" s="9">
        <f t="shared" si="24"/>
        <v>0</v>
      </c>
    </row>
    <row r="163" spans="1:19" x14ac:dyDescent="0.25">
      <c r="A163" s="14">
        <v>42125</v>
      </c>
      <c r="B163" s="21">
        <v>93.1</v>
      </c>
      <c r="C163" s="7">
        <v>92.2</v>
      </c>
      <c r="E163" s="22">
        <v>92.2</v>
      </c>
      <c r="F163" s="21">
        <v>92.2</v>
      </c>
      <c r="G163" s="20">
        <v>0</v>
      </c>
      <c r="H163">
        <v>2.2000000000000002</v>
      </c>
      <c r="I163">
        <v>-1.3</v>
      </c>
      <c r="J163" s="76">
        <f t="shared" si="17"/>
        <v>0</v>
      </c>
      <c r="K163" s="76">
        <f t="shared" si="18"/>
        <v>2.3630504833512356E-2</v>
      </c>
      <c r="L163" s="76">
        <f t="shared" si="19"/>
        <v>-1.3963480128893663E-2</v>
      </c>
      <c r="M163" s="76" t="e">
        <f t="shared" si="20"/>
        <v>#N/A</v>
      </c>
      <c r="N163" s="76" t="e">
        <f t="shared" si="21"/>
        <v>#N/A</v>
      </c>
      <c r="P163" s="7">
        <f t="shared" si="22"/>
        <v>93.100000000000009</v>
      </c>
      <c r="Q163" s="7">
        <f t="shared" si="23"/>
        <v>92.2</v>
      </c>
      <c r="S163" s="9">
        <f t="shared" si="24"/>
        <v>0</v>
      </c>
    </row>
    <row r="164" spans="1:19" x14ac:dyDescent="0.25">
      <c r="A164" s="14">
        <v>42156</v>
      </c>
      <c r="B164" s="21">
        <v>92.5</v>
      </c>
      <c r="C164" s="7">
        <v>91.3</v>
      </c>
      <c r="E164" s="22">
        <v>91.3</v>
      </c>
      <c r="F164" s="21">
        <v>91.3</v>
      </c>
      <c r="G164" s="20">
        <v>0</v>
      </c>
      <c r="H164">
        <v>0.5</v>
      </c>
      <c r="I164">
        <v>0.7</v>
      </c>
      <c r="J164" s="76">
        <f t="shared" si="17"/>
        <v>0</v>
      </c>
      <c r="K164" s="76">
        <f t="shared" si="18"/>
        <v>5.4054054054054057E-3</v>
      </c>
      <c r="L164" s="76">
        <f t="shared" si="19"/>
        <v>7.5675675675675675E-3</v>
      </c>
      <c r="M164" s="76" t="e">
        <f t="shared" si="20"/>
        <v>#N/A</v>
      </c>
      <c r="N164" s="76" t="e">
        <f t="shared" si="21"/>
        <v>#N/A</v>
      </c>
      <c r="P164" s="7">
        <f t="shared" si="22"/>
        <v>92.5</v>
      </c>
      <c r="Q164" s="7">
        <f t="shared" si="23"/>
        <v>91.3</v>
      </c>
      <c r="S164" s="9">
        <f t="shared" si="24"/>
        <v>0</v>
      </c>
    </row>
    <row r="165" spans="1:19" x14ac:dyDescent="0.25">
      <c r="A165" s="14">
        <v>42186</v>
      </c>
      <c r="B165" s="21">
        <v>95.5</v>
      </c>
      <c r="C165" s="7">
        <v>89.5</v>
      </c>
      <c r="E165" s="22">
        <v>89.5</v>
      </c>
      <c r="F165" s="21">
        <v>90.3</v>
      </c>
      <c r="G165" s="20">
        <v>-0.8</v>
      </c>
      <c r="H165">
        <v>5.3</v>
      </c>
      <c r="I165">
        <v>0.7</v>
      </c>
      <c r="J165" s="76">
        <f t="shared" si="17"/>
        <v>-8.3769633507853412E-3</v>
      </c>
      <c r="K165" s="76">
        <f t="shared" si="18"/>
        <v>5.549738219895288E-2</v>
      </c>
      <c r="L165" s="76">
        <f t="shared" si="19"/>
        <v>7.329842931937172E-3</v>
      </c>
      <c r="M165" s="76" t="e">
        <f t="shared" si="20"/>
        <v>#N/A</v>
      </c>
      <c r="N165" s="76" t="e">
        <f t="shared" si="21"/>
        <v>#N/A</v>
      </c>
      <c r="P165" s="7">
        <f t="shared" si="22"/>
        <v>95.5</v>
      </c>
      <c r="Q165" s="7">
        <f t="shared" si="23"/>
        <v>89.5</v>
      </c>
      <c r="S165" s="9">
        <f t="shared" si="24"/>
        <v>0</v>
      </c>
    </row>
    <row r="166" spans="1:19" x14ac:dyDescent="0.25">
      <c r="A166" s="14">
        <v>42217</v>
      </c>
      <c r="B166" s="21">
        <v>97.6</v>
      </c>
      <c r="C166" s="7">
        <v>90.3</v>
      </c>
      <c r="E166" s="22">
        <v>90.3</v>
      </c>
      <c r="F166" s="21">
        <v>89.4</v>
      </c>
      <c r="G166" s="20">
        <v>0.9</v>
      </c>
      <c r="H166">
        <v>8.6</v>
      </c>
      <c r="I166">
        <v>-1.3</v>
      </c>
      <c r="J166" s="76">
        <f t="shared" si="17"/>
        <v>9.2213114754098376E-3</v>
      </c>
      <c r="K166" s="76">
        <f t="shared" si="18"/>
        <v>8.8114754098360656E-2</v>
      </c>
      <c r="L166" s="76">
        <f t="shared" si="19"/>
        <v>-1.3319672131147542E-2</v>
      </c>
      <c r="M166" s="76" t="e">
        <f t="shared" si="20"/>
        <v>#N/A</v>
      </c>
      <c r="N166" s="76" t="e">
        <f t="shared" si="21"/>
        <v>#N/A</v>
      </c>
      <c r="P166" s="7">
        <f t="shared" si="22"/>
        <v>97.600000000000009</v>
      </c>
      <c r="Q166" s="7">
        <f t="shared" si="23"/>
        <v>90.300000000000011</v>
      </c>
      <c r="S166" s="9">
        <f t="shared" si="24"/>
        <v>0</v>
      </c>
    </row>
    <row r="167" spans="1:19" x14ac:dyDescent="0.25">
      <c r="A167" s="14">
        <v>42248</v>
      </c>
      <c r="B167" s="21">
        <v>94.3</v>
      </c>
      <c r="C167" s="7">
        <v>88.2</v>
      </c>
      <c r="E167" s="22">
        <v>88.2</v>
      </c>
      <c r="F167" s="21">
        <v>88.4</v>
      </c>
      <c r="G167" s="20">
        <v>-0.2</v>
      </c>
      <c r="H167">
        <v>5.5</v>
      </c>
      <c r="I167">
        <v>0.6</v>
      </c>
      <c r="J167" s="76">
        <f t="shared" si="17"/>
        <v>-2.1208907741251328E-3</v>
      </c>
      <c r="K167" s="76">
        <f t="shared" si="18"/>
        <v>5.8324496288441149E-2</v>
      </c>
      <c r="L167" s="76">
        <f t="shared" si="19"/>
        <v>6.3626723223753979E-3</v>
      </c>
      <c r="M167" s="76" t="e">
        <f t="shared" si="20"/>
        <v>#N/A</v>
      </c>
      <c r="N167" s="76" t="e">
        <f t="shared" si="21"/>
        <v>#N/A</v>
      </c>
      <c r="P167" s="7">
        <f t="shared" si="22"/>
        <v>94.3</v>
      </c>
      <c r="Q167" s="7">
        <f t="shared" si="23"/>
        <v>88.2</v>
      </c>
      <c r="S167" s="9">
        <f t="shared" si="24"/>
        <v>0</v>
      </c>
    </row>
    <row r="168" spans="1:19" x14ac:dyDescent="0.25">
      <c r="A168" s="14">
        <v>42278</v>
      </c>
      <c r="B168" s="21">
        <v>97.2</v>
      </c>
      <c r="C168" s="7">
        <v>88.1</v>
      </c>
      <c r="E168" s="22">
        <v>88.1</v>
      </c>
      <c r="F168" s="21">
        <v>87.5</v>
      </c>
      <c r="G168" s="20">
        <v>0.6</v>
      </c>
      <c r="H168">
        <v>8.6</v>
      </c>
      <c r="I168">
        <v>0.5</v>
      </c>
      <c r="J168" s="76">
        <f t="shared" si="17"/>
        <v>6.1728395061728392E-3</v>
      </c>
      <c r="K168" s="76">
        <f t="shared" si="18"/>
        <v>8.8477366255144033E-2</v>
      </c>
      <c r="L168" s="76">
        <f t="shared" si="19"/>
        <v>5.1440329218106996E-3</v>
      </c>
      <c r="M168" s="76" t="e">
        <f t="shared" si="20"/>
        <v>#N/A</v>
      </c>
      <c r="N168" s="76" t="e">
        <f t="shared" si="21"/>
        <v>#N/A</v>
      </c>
      <c r="P168" s="7">
        <f t="shared" si="22"/>
        <v>97.199999999999989</v>
      </c>
      <c r="Q168" s="7">
        <f t="shared" si="23"/>
        <v>88.1</v>
      </c>
      <c r="S168" s="9">
        <f t="shared" si="24"/>
        <v>0</v>
      </c>
    </row>
    <row r="169" spans="1:19" x14ac:dyDescent="0.25">
      <c r="A169" s="14">
        <v>42309</v>
      </c>
      <c r="B169" s="21">
        <v>87.6</v>
      </c>
      <c r="C169" s="7">
        <v>86.4</v>
      </c>
      <c r="E169" s="22">
        <v>86.4</v>
      </c>
      <c r="F169" s="21">
        <v>86.6</v>
      </c>
      <c r="G169" s="20">
        <v>-0.2</v>
      </c>
      <c r="H169">
        <v>2.2999999999999998</v>
      </c>
      <c r="I169">
        <v>-1.1000000000000001</v>
      </c>
      <c r="J169" s="76">
        <f t="shared" si="17"/>
        <v>-2.2831050228310505E-3</v>
      </c>
      <c r="K169" s="76">
        <f t="shared" si="18"/>
        <v>2.6255707762557076E-2</v>
      </c>
      <c r="L169" s="76">
        <f t="shared" si="19"/>
        <v>-1.2557077625570777E-2</v>
      </c>
      <c r="M169" s="76" t="e">
        <f t="shared" si="20"/>
        <v>#N/A</v>
      </c>
      <c r="N169" s="76" t="e">
        <f t="shared" si="21"/>
        <v>#N/A</v>
      </c>
      <c r="P169" s="7">
        <f t="shared" si="22"/>
        <v>87.6</v>
      </c>
      <c r="Q169" s="7">
        <f t="shared" si="23"/>
        <v>86.399999999999991</v>
      </c>
      <c r="S169" s="9">
        <f t="shared" si="24"/>
        <v>0</v>
      </c>
    </row>
    <row r="170" spans="1:19" x14ac:dyDescent="0.25">
      <c r="A170" s="14">
        <v>42339</v>
      </c>
      <c r="B170" s="21">
        <v>77.2</v>
      </c>
      <c r="C170" s="7">
        <v>84.8</v>
      </c>
      <c r="E170" s="22">
        <v>84.8</v>
      </c>
      <c r="F170" s="21">
        <v>85.9</v>
      </c>
      <c r="G170" s="20">
        <v>-1.1000000000000001</v>
      </c>
      <c r="H170">
        <v>-8.8000000000000007</v>
      </c>
      <c r="I170">
        <v>1.2</v>
      </c>
      <c r="J170" s="76">
        <f t="shared" si="17"/>
        <v>-1.4248704663212436E-2</v>
      </c>
      <c r="K170" s="76">
        <f t="shared" si="18"/>
        <v>-0.11398963730569948</v>
      </c>
      <c r="L170" s="76">
        <f t="shared" si="19"/>
        <v>1.5544041450777202E-2</v>
      </c>
      <c r="M170" s="76" t="e">
        <f t="shared" si="20"/>
        <v>#N/A</v>
      </c>
      <c r="N170" s="76" t="e">
        <f t="shared" si="21"/>
        <v>#N/A</v>
      </c>
      <c r="P170" s="7">
        <f t="shared" si="22"/>
        <v>77.200000000000017</v>
      </c>
      <c r="Q170" s="7">
        <f t="shared" si="23"/>
        <v>84.800000000000011</v>
      </c>
      <c r="S170" s="9">
        <f t="shared" si="24"/>
        <v>0</v>
      </c>
    </row>
    <row r="171" spans="1:19" x14ac:dyDescent="0.25">
      <c r="A171" s="14">
        <v>42370</v>
      </c>
      <c r="B171" s="21">
        <v>76.3</v>
      </c>
      <c r="C171" s="7">
        <v>86.1</v>
      </c>
      <c r="E171" s="22">
        <v>86.1</v>
      </c>
      <c r="F171" s="21">
        <v>85.5</v>
      </c>
      <c r="G171" s="20">
        <v>0.6</v>
      </c>
      <c r="H171">
        <v>-8.1999999999999993</v>
      </c>
      <c r="I171">
        <v>-1.6</v>
      </c>
      <c r="J171" s="76">
        <f t="shared" si="17"/>
        <v>7.8636959370904317E-3</v>
      </c>
      <c r="K171" s="76">
        <f t="shared" si="18"/>
        <v>-0.10747051114023591</v>
      </c>
      <c r="L171" s="76">
        <f t="shared" si="19"/>
        <v>-2.0969855832241157E-2</v>
      </c>
      <c r="M171" s="76" t="e">
        <f t="shared" si="20"/>
        <v>#N/A</v>
      </c>
      <c r="N171" s="76" t="e">
        <f t="shared" si="21"/>
        <v>#N/A</v>
      </c>
      <c r="P171" s="7">
        <f t="shared" si="22"/>
        <v>76.3</v>
      </c>
      <c r="Q171" s="7">
        <f t="shared" si="23"/>
        <v>86.1</v>
      </c>
      <c r="S171" s="9">
        <f t="shared" si="24"/>
        <v>0</v>
      </c>
    </row>
    <row r="172" spans="1:19" x14ac:dyDescent="0.25">
      <c r="A172" s="14">
        <v>42401</v>
      </c>
      <c r="B172" s="21">
        <v>75.8</v>
      </c>
      <c r="C172" s="7">
        <v>84.8</v>
      </c>
      <c r="E172" s="22">
        <v>84.8</v>
      </c>
      <c r="F172" s="21">
        <v>85.3</v>
      </c>
      <c r="G172" s="20">
        <v>-0.5</v>
      </c>
      <c r="H172">
        <v>-10.6</v>
      </c>
      <c r="I172">
        <v>1.6</v>
      </c>
      <c r="J172" s="76">
        <f t="shared" si="17"/>
        <v>-6.5963060686015833E-3</v>
      </c>
      <c r="K172" s="76">
        <f t="shared" si="18"/>
        <v>-0.13984168865435356</v>
      </c>
      <c r="L172" s="76">
        <f t="shared" si="19"/>
        <v>2.1108179419525069E-2</v>
      </c>
      <c r="M172" s="76" t="e">
        <f t="shared" si="20"/>
        <v>#N/A</v>
      </c>
      <c r="N172" s="76" t="e">
        <f t="shared" si="21"/>
        <v>#N/A</v>
      </c>
      <c r="P172" s="7">
        <f t="shared" si="22"/>
        <v>75.8</v>
      </c>
      <c r="Q172" s="7">
        <f t="shared" si="23"/>
        <v>84.8</v>
      </c>
      <c r="S172" s="9">
        <f t="shared" si="24"/>
        <v>0</v>
      </c>
    </row>
    <row r="173" spans="1:19" x14ac:dyDescent="0.25">
      <c r="A173" s="14">
        <v>42430</v>
      </c>
      <c r="B173" s="21">
        <v>83.7</v>
      </c>
      <c r="C173" s="7">
        <v>85.6</v>
      </c>
      <c r="E173" s="22">
        <v>85.6</v>
      </c>
      <c r="F173" s="21">
        <v>85.3</v>
      </c>
      <c r="G173" s="20">
        <v>0.2</v>
      </c>
      <c r="H173">
        <v>-1.7</v>
      </c>
      <c r="I173">
        <v>-0.2</v>
      </c>
      <c r="J173" s="76">
        <f t="shared" si="17"/>
        <v>2.3894862604540022E-3</v>
      </c>
      <c r="K173" s="76">
        <f t="shared" si="18"/>
        <v>-2.0310633213859019E-2</v>
      </c>
      <c r="L173" s="76">
        <f t="shared" si="19"/>
        <v>-2.3894862604540022E-3</v>
      </c>
      <c r="M173" s="76" t="e">
        <f t="shared" si="20"/>
        <v>#N/A</v>
      </c>
      <c r="N173" s="76" t="e">
        <f t="shared" si="21"/>
        <v>#N/A</v>
      </c>
      <c r="P173" s="7">
        <f t="shared" si="22"/>
        <v>83.6</v>
      </c>
      <c r="Q173" s="7">
        <f t="shared" si="23"/>
        <v>85.5</v>
      </c>
      <c r="S173" s="9">
        <f t="shared" si="24"/>
        <v>0</v>
      </c>
    </row>
    <row r="174" spans="1:19" x14ac:dyDescent="0.25">
      <c r="A174" s="14">
        <v>42461</v>
      </c>
      <c r="B174" s="21">
        <v>83</v>
      </c>
      <c r="C174" s="7">
        <v>85.4</v>
      </c>
      <c r="E174" s="22">
        <v>85.4</v>
      </c>
      <c r="F174" s="21">
        <v>85.4</v>
      </c>
      <c r="G174" s="20">
        <v>0</v>
      </c>
      <c r="H174">
        <v>-4.2</v>
      </c>
      <c r="I174">
        <v>1.8</v>
      </c>
      <c r="J174" s="76">
        <f t="shared" si="17"/>
        <v>0</v>
      </c>
      <c r="K174" s="76">
        <f t="shared" si="18"/>
        <v>-5.0602409638554217E-2</v>
      </c>
      <c r="L174" s="76">
        <f t="shared" si="19"/>
        <v>2.1686746987951807E-2</v>
      </c>
      <c r="M174" s="76" t="e">
        <f t="shared" si="20"/>
        <v>#N/A</v>
      </c>
      <c r="N174" s="76" t="e">
        <f t="shared" si="21"/>
        <v>#N/A</v>
      </c>
      <c r="P174" s="7">
        <f t="shared" si="22"/>
        <v>83</v>
      </c>
      <c r="Q174" s="7">
        <f t="shared" si="23"/>
        <v>85.4</v>
      </c>
      <c r="S174" s="9">
        <f t="shared" si="24"/>
        <v>0</v>
      </c>
    </row>
    <row r="175" spans="1:19" x14ac:dyDescent="0.25">
      <c r="A175" s="14">
        <v>42491</v>
      </c>
      <c r="B175" s="21">
        <v>86.3</v>
      </c>
      <c r="C175" s="7">
        <v>85.8</v>
      </c>
      <c r="E175" s="22">
        <v>85.8</v>
      </c>
      <c r="F175" s="21">
        <v>85.3</v>
      </c>
      <c r="G175" s="20">
        <v>0.5</v>
      </c>
      <c r="H175">
        <v>2.4</v>
      </c>
      <c r="I175">
        <v>-1.9</v>
      </c>
      <c r="J175" s="76">
        <f t="shared" si="17"/>
        <v>5.7937427578215531E-3</v>
      </c>
      <c r="K175" s="76">
        <f t="shared" si="18"/>
        <v>2.7809965237543453E-2</v>
      </c>
      <c r="L175" s="76">
        <f t="shared" si="19"/>
        <v>-2.20162224797219E-2</v>
      </c>
      <c r="M175" s="76" t="e">
        <f t="shared" si="20"/>
        <v>#N/A</v>
      </c>
      <c r="N175" s="76" t="e">
        <f t="shared" si="21"/>
        <v>#N/A</v>
      </c>
      <c r="P175" s="7">
        <f t="shared" si="22"/>
        <v>86.3</v>
      </c>
      <c r="Q175" s="7">
        <f t="shared" si="23"/>
        <v>85.8</v>
      </c>
      <c r="S175" s="9">
        <f t="shared" si="24"/>
        <v>0</v>
      </c>
    </row>
    <row r="176" spans="1:19" x14ac:dyDescent="0.25">
      <c r="A176" s="14">
        <v>42522</v>
      </c>
      <c r="B176" s="21">
        <v>87.7</v>
      </c>
      <c r="C176" s="7">
        <v>84.8</v>
      </c>
      <c r="E176" s="22">
        <v>84.8</v>
      </c>
      <c r="F176" s="21">
        <v>85.1</v>
      </c>
      <c r="G176" s="20">
        <v>-0.3</v>
      </c>
      <c r="H176">
        <v>0.9</v>
      </c>
      <c r="I176">
        <v>2</v>
      </c>
      <c r="J176" s="76">
        <f t="shared" si="17"/>
        <v>-3.4207525655644238E-3</v>
      </c>
      <c r="K176" s="76">
        <f t="shared" si="18"/>
        <v>1.0262257696693273E-2</v>
      </c>
      <c r="L176" s="76">
        <f t="shared" si="19"/>
        <v>2.2805017103762829E-2</v>
      </c>
      <c r="M176" s="76" t="e">
        <f t="shared" si="20"/>
        <v>#N/A</v>
      </c>
      <c r="N176" s="76" t="e">
        <f t="shared" si="21"/>
        <v>#N/A</v>
      </c>
      <c r="P176" s="7">
        <f t="shared" si="22"/>
        <v>87.7</v>
      </c>
      <c r="Q176" s="7">
        <f t="shared" si="23"/>
        <v>84.8</v>
      </c>
      <c r="S176" s="9">
        <f t="shared" si="24"/>
        <v>0</v>
      </c>
    </row>
    <row r="177" spans="1:19" x14ac:dyDescent="0.25">
      <c r="A177" s="14">
        <v>42552</v>
      </c>
      <c r="B177" s="21">
        <v>89.6</v>
      </c>
      <c r="C177" s="7">
        <v>85.5</v>
      </c>
      <c r="E177" s="22">
        <v>85.5</v>
      </c>
      <c r="F177" s="21">
        <v>84.7</v>
      </c>
      <c r="G177" s="20">
        <v>0.9</v>
      </c>
      <c r="H177">
        <v>5.6</v>
      </c>
      <c r="I177">
        <v>-1.6</v>
      </c>
      <c r="J177" s="76">
        <f t="shared" si="17"/>
        <v>1.0044642857142858E-2</v>
      </c>
      <c r="K177" s="76">
        <f t="shared" si="18"/>
        <v>6.25E-2</v>
      </c>
      <c r="L177" s="76">
        <f t="shared" si="19"/>
        <v>-1.785714285714286E-2</v>
      </c>
      <c r="M177" s="76" t="e">
        <f t="shared" si="20"/>
        <v>#N/A</v>
      </c>
      <c r="N177" s="76" t="e">
        <f t="shared" si="21"/>
        <v>#N/A</v>
      </c>
      <c r="P177" s="7">
        <f t="shared" si="22"/>
        <v>89.600000000000009</v>
      </c>
      <c r="Q177" s="7">
        <f t="shared" si="23"/>
        <v>85.600000000000009</v>
      </c>
      <c r="S177" s="9">
        <f t="shared" si="24"/>
        <v>0</v>
      </c>
    </row>
    <row r="178" spans="1:19" x14ac:dyDescent="0.25">
      <c r="A178" s="14">
        <v>42583</v>
      </c>
      <c r="B178" s="21">
        <v>93</v>
      </c>
      <c r="C178" s="7">
        <v>83.5</v>
      </c>
      <c r="E178" s="22">
        <v>83.5</v>
      </c>
      <c r="F178" s="21">
        <v>84.3</v>
      </c>
      <c r="G178" s="20">
        <v>-0.8</v>
      </c>
      <c r="H178">
        <v>8.6</v>
      </c>
      <c r="I178">
        <v>1</v>
      </c>
      <c r="J178" s="76">
        <f t="shared" si="17"/>
        <v>-8.6021505376344086E-3</v>
      </c>
      <c r="K178" s="76">
        <f t="shared" si="18"/>
        <v>9.2473118279569888E-2</v>
      </c>
      <c r="L178" s="76">
        <f t="shared" si="19"/>
        <v>1.0752688172043012E-2</v>
      </c>
      <c r="M178" s="76" t="e">
        <f t="shared" si="20"/>
        <v>#N/A</v>
      </c>
      <c r="N178" s="76" t="e">
        <f t="shared" si="21"/>
        <v>#N/A</v>
      </c>
      <c r="P178" s="7">
        <f t="shared" si="22"/>
        <v>93.1</v>
      </c>
      <c r="Q178" s="7">
        <f t="shared" si="23"/>
        <v>83.5</v>
      </c>
      <c r="S178" s="9">
        <f t="shared" si="24"/>
        <v>0</v>
      </c>
    </row>
    <row r="179" spans="1:19" x14ac:dyDescent="0.25">
      <c r="A179" s="14">
        <v>42614</v>
      </c>
      <c r="B179" s="21">
        <v>90.7</v>
      </c>
      <c r="C179" s="7">
        <v>84.4</v>
      </c>
      <c r="E179" s="22">
        <v>84.4</v>
      </c>
      <c r="F179" s="21">
        <v>84.1</v>
      </c>
      <c r="G179" s="20">
        <v>0.3</v>
      </c>
      <c r="H179">
        <v>5.6</v>
      </c>
      <c r="I179">
        <v>0.7</v>
      </c>
      <c r="J179" s="76">
        <f t="shared" si="17"/>
        <v>3.30760749724366E-3</v>
      </c>
      <c r="K179" s="76">
        <f t="shared" si="18"/>
        <v>6.1742006615214985E-2</v>
      </c>
      <c r="L179" s="76">
        <f t="shared" si="19"/>
        <v>7.7177508269018731E-3</v>
      </c>
      <c r="M179" s="76" t="e">
        <f t="shared" si="20"/>
        <v>#N/A</v>
      </c>
      <c r="N179" s="76" t="e">
        <f t="shared" si="21"/>
        <v>#N/A</v>
      </c>
      <c r="P179" s="7">
        <f t="shared" si="22"/>
        <v>90.699999999999989</v>
      </c>
      <c r="Q179" s="7">
        <f t="shared" si="23"/>
        <v>84.399999999999991</v>
      </c>
      <c r="S179" s="9">
        <f t="shared" si="24"/>
        <v>0</v>
      </c>
    </row>
    <row r="180" spans="1:19" x14ac:dyDescent="0.25">
      <c r="A180" s="14">
        <v>42644</v>
      </c>
      <c r="B180" s="21">
        <v>90.2</v>
      </c>
      <c r="C180" s="7">
        <v>83.4</v>
      </c>
      <c r="E180" s="22">
        <v>83.4</v>
      </c>
      <c r="F180" s="21">
        <v>84.2</v>
      </c>
      <c r="G180" s="20">
        <v>-0.8</v>
      </c>
      <c r="H180">
        <v>8.1</v>
      </c>
      <c r="I180">
        <v>-1.3</v>
      </c>
      <c r="J180" s="76">
        <f t="shared" si="17"/>
        <v>-8.869179600886918E-3</v>
      </c>
      <c r="K180" s="76">
        <f t="shared" si="18"/>
        <v>8.9800443458980042E-2</v>
      </c>
      <c r="L180" s="76">
        <f t="shared" si="19"/>
        <v>-1.4412416851441241E-2</v>
      </c>
      <c r="M180" s="76" t="e">
        <f t="shared" si="20"/>
        <v>#N/A</v>
      </c>
      <c r="N180" s="76" t="e">
        <f t="shared" si="21"/>
        <v>#N/A</v>
      </c>
      <c r="P180" s="7">
        <f t="shared" si="22"/>
        <v>90.2</v>
      </c>
      <c r="Q180" s="7">
        <f t="shared" si="23"/>
        <v>83.4</v>
      </c>
      <c r="S180" s="9">
        <f t="shared" si="24"/>
        <v>0</v>
      </c>
    </row>
    <row r="181" spans="1:19" x14ac:dyDescent="0.25">
      <c r="A181" s="14">
        <v>42675</v>
      </c>
      <c r="B181" s="21">
        <v>86.5</v>
      </c>
      <c r="C181" s="7">
        <v>84</v>
      </c>
      <c r="E181" s="22">
        <v>84</v>
      </c>
      <c r="F181" s="21">
        <v>84.6</v>
      </c>
      <c r="G181" s="20">
        <v>-0.6</v>
      </c>
      <c r="H181">
        <v>1.9</v>
      </c>
      <c r="I181">
        <v>0.6</v>
      </c>
      <c r="J181" s="76">
        <f t="shared" si="17"/>
        <v>-6.9364161849710983E-3</v>
      </c>
      <c r="K181" s="76">
        <f t="shared" si="18"/>
        <v>2.1965317919075144E-2</v>
      </c>
      <c r="L181" s="76">
        <f t="shared" si="19"/>
        <v>6.9364161849710983E-3</v>
      </c>
      <c r="M181" s="76" t="e">
        <f t="shared" si="20"/>
        <v>#N/A</v>
      </c>
      <c r="N181" s="76" t="e">
        <f t="shared" si="21"/>
        <v>#N/A</v>
      </c>
      <c r="P181" s="7">
        <f t="shared" si="22"/>
        <v>86.5</v>
      </c>
      <c r="Q181" s="7">
        <f t="shared" si="23"/>
        <v>84</v>
      </c>
      <c r="S181" s="9">
        <f t="shared" si="24"/>
        <v>0</v>
      </c>
    </row>
    <row r="182" spans="1:19" x14ac:dyDescent="0.25">
      <c r="A182" s="14">
        <v>42705</v>
      </c>
      <c r="B182" s="21">
        <v>77.2</v>
      </c>
      <c r="C182" s="7">
        <v>85.5</v>
      </c>
      <c r="E182" s="22">
        <v>85.5</v>
      </c>
      <c r="F182" s="21">
        <v>85.1</v>
      </c>
      <c r="G182" s="20">
        <v>0.4</v>
      </c>
      <c r="H182">
        <v>-8.8000000000000007</v>
      </c>
      <c r="I182">
        <v>0.5</v>
      </c>
      <c r="J182" s="76">
        <f t="shared" si="17"/>
        <v>5.1813471502590676E-3</v>
      </c>
      <c r="K182" s="76">
        <f t="shared" si="18"/>
        <v>-0.11398963730569948</v>
      </c>
      <c r="L182" s="76">
        <f t="shared" si="19"/>
        <v>6.4766839378238338E-3</v>
      </c>
      <c r="M182" s="76" t="e">
        <f t="shared" si="20"/>
        <v>#N/A</v>
      </c>
      <c r="N182" s="76" t="e">
        <f t="shared" si="21"/>
        <v>#N/A</v>
      </c>
      <c r="P182" s="7">
        <f t="shared" si="22"/>
        <v>77.2</v>
      </c>
      <c r="Q182" s="7">
        <f t="shared" si="23"/>
        <v>85.5</v>
      </c>
      <c r="S182" s="9">
        <f t="shared" si="24"/>
        <v>0</v>
      </c>
    </row>
    <row r="183" spans="1:19" x14ac:dyDescent="0.25">
      <c r="A183" s="14">
        <v>42736</v>
      </c>
      <c r="B183" s="21">
        <v>77.900000000000006</v>
      </c>
      <c r="C183" s="7">
        <v>86.4</v>
      </c>
      <c r="E183" s="22">
        <v>86.4</v>
      </c>
      <c r="F183" s="21">
        <v>85.6</v>
      </c>
      <c r="G183" s="20">
        <v>0.8</v>
      </c>
      <c r="H183">
        <v>-7.9</v>
      </c>
      <c r="I183">
        <v>-0.6</v>
      </c>
      <c r="J183" s="76">
        <f t="shared" si="17"/>
        <v>1.0269576379974325E-2</v>
      </c>
      <c r="K183" s="76">
        <f t="shared" si="18"/>
        <v>-0.10141206675224647</v>
      </c>
      <c r="L183" s="76">
        <f t="shared" si="19"/>
        <v>-7.702182284980744E-3</v>
      </c>
      <c r="M183" s="76" t="e">
        <f t="shared" si="20"/>
        <v>#N/A</v>
      </c>
      <c r="N183" s="76" t="e">
        <f t="shared" si="21"/>
        <v>#N/A</v>
      </c>
      <c r="P183" s="7">
        <f t="shared" si="22"/>
        <v>77.899999999999991</v>
      </c>
      <c r="Q183" s="7">
        <f t="shared" si="23"/>
        <v>86.399999999999991</v>
      </c>
      <c r="S183" s="9">
        <f t="shared" si="24"/>
        <v>0</v>
      </c>
    </row>
    <row r="184" spans="1:19" x14ac:dyDescent="0.25">
      <c r="A184" s="14">
        <v>42767</v>
      </c>
      <c r="B184" s="21">
        <v>75.900000000000006</v>
      </c>
      <c r="C184" s="7">
        <v>87.4</v>
      </c>
      <c r="E184" s="22">
        <v>87.4</v>
      </c>
      <c r="F184" s="21">
        <v>86</v>
      </c>
      <c r="G184" s="20">
        <v>1.4</v>
      </c>
      <c r="H184">
        <v>-10.5</v>
      </c>
      <c r="I184">
        <v>-1.1000000000000001</v>
      </c>
      <c r="J184" s="76">
        <f t="shared" si="17"/>
        <v>1.8445322793148877E-2</v>
      </c>
      <c r="K184" s="76">
        <f t="shared" si="18"/>
        <v>-0.13833992094861658</v>
      </c>
      <c r="L184" s="76">
        <f t="shared" si="19"/>
        <v>-1.4492753623188406E-2</v>
      </c>
      <c r="M184" s="76" t="e">
        <f t="shared" si="20"/>
        <v>#N/A</v>
      </c>
      <c r="N184" s="76" t="e">
        <f t="shared" si="21"/>
        <v>#N/A</v>
      </c>
      <c r="P184" s="7">
        <f t="shared" si="22"/>
        <v>75.800000000000011</v>
      </c>
      <c r="Q184" s="7">
        <f t="shared" si="23"/>
        <v>87.4</v>
      </c>
      <c r="S184" s="9">
        <f t="shared" si="24"/>
        <v>0</v>
      </c>
    </row>
    <row r="185" spans="1:19" x14ac:dyDescent="0.25">
      <c r="A185" s="14">
        <v>42795</v>
      </c>
      <c r="B185" s="21">
        <v>85.4</v>
      </c>
      <c r="C185" s="7">
        <v>85.6</v>
      </c>
      <c r="E185" s="22">
        <v>85.6</v>
      </c>
      <c r="F185" s="21">
        <v>86.2</v>
      </c>
      <c r="G185" s="20">
        <v>-0.6</v>
      </c>
      <c r="H185">
        <v>-2.1</v>
      </c>
      <c r="I185">
        <v>1.9</v>
      </c>
      <c r="J185" s="76">
        <f t="shared" si="17"/>
        <v>-7.025761124121779E-3</v>
      </c>
      <c r="K185" s="76">
        <f t="shared" si="18"/>
        <v>-2.4590163934426229E-2</v>
      </c>
      <c r="L185" s="76">
        <f t="shared" si="19"/>
        <v>2.2248243559718966E-2</v>
      </c>
      <c r="M185" s="76" t="e">
        <f t="shared" si="20"/>
        <v>#N/A</v>
      </c>
      <c r="N185" s="76" t="e">
        <f t="shared" si="21"/>
        <v>#N/A</v>
      </c>
      <c r="P185" s="7">
        <f t="shared" si="22"/>
        <v>85.40000000000002</v>
      </c>
      <c r="Q185" s="7">
        <f t="shared" si="23"/>
        <v>85.600000000000009</v>
      </c>
      <c r="S185" s="9">
        <f t="shared" si="24"/>
        <v>0</v>
      </c>
    </row>
    <row r="186" spans="1:19" x14ac:dyDescent="0.25">
      <c r="A186" s="14">
        <v>42826</v>
      </c>
      <c r="B186" s="21">
        <v>79.3</v>
      </c>
      <c r="C186" s="7">
        <v>85.9</v>
      </c>
      <c r="E186" s="22">
        <v>85.9</v>
      </c>
      <c r="F186" s="21">
        <v>86.3</v>
      </c>
      <c r="G186" s="20">
        <v>-0.4</v>
      </c>
      <c r="H186">
        <v>-4.3</v>
      </c>
      <c r="I186">
        <v>-2.2999999999999998</v>
      </c>
      <c r="J186" s="76">
        <f t="shared" si="17"/>
        <v>-5.0441361916771761E-3</v>
      </c>
      <c r="K186" s="76">
        <f t="shared" si="18"/>
        <v>-5.4224464060529637E-2</v>
      </c>
      <c r="L186" s="76">
        <f t="shared" si="19"/>
        <v>-2.9003783102143757E-2</v>
      </c>
      <c r="M186" s="76" t="e">
        <f t="shared" si="20"/>
        <v>#N/A</v>
      </c>
      <c r="N186" s="76" t="e">
        <f t="shared" si="21"/>
        <v>#N/A</v>
      </c>
      <c r="P186" s="7">
        <f t="shared" si="22"/>
        <v>79.3</v>
      </c>
      <c r="Q186" s="7">
        <f t="shared" si="23"/>
        <v>85.899999999999991</v>
      </c>
      <c r="S186" s="9">
        <f t="shared" si="24"/>
        <v>0</v>
      </c>
    </row>
    <row r="187" spans="1:19" x14ac:dyDescent="0.25">
      <c r="A187" s="14">
        <v>42856</v>
      </c>
      <c r="B187" s="21">
        <v>90.1</v>
      </c>
      <c r="C187" s="7">
        <v>86.2</v>
      </c>
      <c r="E187" s="22">
        <v>86.2</v>
      </c>
      <c r="F187" s="21">
        <v>86.4</v>
      </c>
      <c r="G187" s="20">
        <v>-0.2</v>
      </c>
      <c r="H187">
        <v>2.6</v>
      </c>
      <c r="I187">
        <v>1.2</v>
      </c>
      <c r="J187" s="76">
        <f t="shared" si="17"/>
        <v>-2.219755826859046E-3</v>
      </c>
      <c r="K187" s="76">
        <f t="shared" si="18"/>
        <v>2.8856825749167595E-2</v>
      </c>
      <c r="L187" s="76">
        <f t="shared" si="19"/>
        <v>1.3318534961154274E-2</v>
      </c>
      <c r="M187" s="76" t="e">
        <f t="shared" si="20"/>
        <v>#N/A</v>
      </c>
      <c r="N187" s="76" t="e">
        <f t="shared" si="21"/>
        <v>#N/A</v>
      </c>
      <c r="P187" s="7">
        <f t="shared" si="22"/>
        <v>90</v>
      </c>
      <c r="Q187" s="7">
        <f t="shared" si="23"/>
        <v>86.2</v>
      </c>
      <c r="S187" s="9">
        <f t="shared" si="24"/>
        <v>0</v>
      </c>
    </row>
    <row r="188" spans="1:19" x14ac:dyDescent="0.25">
      <c r="A188" s="14">
        <v>42887</v>
      </c>
      <c r="B188" s="21">
        <v>88.4</v>
      </c>
      <c r="C188" s="7">
        <v>87</v>
      </c>
      <c r="E188" s="22">
        <v>87</v>
      </c>
      <c r="F188" s="21">
        <v>86.6</v>
      </c>
      <c r="G188" s="20">
        <v>0.3</v>
      </c>
      <c r="H188">
        <v>1</v>
      </c>
      <c r="I188">
        <v>0.4</v>
      </c>
      <c r="J188" s="76">
        <f t="shared" si="17"/>
        <v>3.3936651583710404E-3</v>
      </c>
      <c r="K188" s="76">
        <f t="shared" si="18"/>
        <v>1.1312217194570135E-2</v>
      </c>
      <c r="L188" s="76">
        <f t="shared" si="19"/>
        <v>4.5248868778280538E-3</v>
      </c>
      <c r="M188" s="76" t="e">
        <f t="shared" si="20"/>
        <v>#N/A</v>
      </c>
      <c r="N188" s="76" t="e">
        <f t="shared" si="21"/>
        <v>#N/A</v>
      </c>
      <c r="P188" s="7">
        <f t="shared" si="22"/>
        <v>88.3</v>
      </c>
      <c r="Q188" s="7">
        <f t="shared" si="23"/>
        <v>86.899999999999991</v>
      </c>
      <c r="S188" s="9">
        <f t="shared" si="24"/>
        <v>0</v>
      </c>
    </row>
    <row r="189" spans="1:19" x14ac:dyDescent="0.25">
      <c r="A189" s="14">
        <v>42917</v>
      </c>
      <c r="B189" s="21">
        <v>92.1</v>
      </c>
      <c r="C189" s="7">
        <v>87.3</v>
      </c>
      <c r="E189" s="22">
        <v>87.3</v>
      </c>
      <c r="F189" s="21">
        <v>86.9</v>
      </c>
      <c r="G189" s="20">
        <v>0.3</v>
      </c>
      <c r="H189">
        <v>6.1</v>
      </c>
      <c r="I189">
        <v>-1.3</v>
      </c>
      <c r="J189" s="76">
        <f t="shared" si="17"/>
        <v>3.2573289902280132E-3</v>
      </c>
      <c r="K189" s="76">
        <f t="shared" si="18"/>
        <v>6.6232356134636267E-2</v>
      </c>
      <c r="L189" s="76">
        <f t="shared" si="19"/>
        <v>-1.4115092290988058E-2</v>
      </c>
      <c r="M189" s="76" t="e">
        <f t="shared" si="20"/>
        <v>#N/A</v>
      </c>
      <c r="N189" s="76" t="e">
        <f t="shared" si="21"/>
        <v>#N/A</v>
      </c>
      <c r="P189" s="7">
        <f t="shared" si="22"/>
        <v>92</v>
      </c>
      <c r="Q189" s="7">
        <f t="shared" si="23"/>
        <v>87.2</v>
      </c>
      <c r="S189" s="9">
        <f t="shared" si="24"/>
        <v>0</v>
      </c>
    </row>
    <row r="190" spans="1:19" x14ac:dyDescent="0.25">
      <c r="A190" s="14">
        <v>42948</v>
      </c>
      <c r="B190" s="21">
        <v>96.7</v>
      </c>
      <c r="C190" s="7">
        <v>87</v>
      </c>
      <c r="E190" s="22">
        <v>87</v>
      </c>
      <c r="F190" s="21">
        <v>87.3</v>
      </c>
      <c r="G190" s="20">
        <v>-0.3</v>
      </c>
      <c r="H190">
        <v>8.5</v>
      </c>
      <c r="I190">
        <v>1.2</v>
      </c>
      <c r="J190" s="76">
        <f t="shared" si="17"/>
        <v>-3.1023784901758012E-3</v>
      </c>
      <c r="K190" s="76">
        <f t="shared" si="18"/>
        <v>8.7900723888314367E-2</v>
      </c>
      <c r="L190" s="76">
        <f t="shared" si="19"/>
        <v>1.2409513960703205E-2</v>
      </c>
      <c r="M190" s="76" t="e">
        <f t="shared" si="20"/>
        <v>#N/A</v>
      </c>
      <c r="N190" s="76" t="e">
        <f t="shared" si="21"/>
        <v>#N/A</v>
      </c>
      <c r="P190" s="7">
        <f t="shared" si="22"/>
        <v>96.7</v>
      </c>
      <c r="Q190" s="7">
        <f t="shared" si="23"/>
        <v>87</v>
      </c>
      <c r="S190" s="9">
        <f t="shared" si="24"/>
        <v>0</v>
      </c>
    </row>
    <row r="191" spans="1:19" x14ac:dyDescent="0.25">
      <c r="A191" s="14">
        <v>42979</v>
      </c>
      <c r="B191" s="21">
        <v>93</v>
      </c>
      <c r="C191" s="7">
        <v>87.4</v>
      </c>
      <c r="E191" s="22">
        <v>87.4</v>
      </c>
      <c r="F191" s="21">
        <v>87.6</v>
      </c>
      <c r="G191" s="20">
        <v>-0.3</v>
      </c>
      <c r="H191">
        <v>5.7</v>
      </c>
      <c r="I191">
        <v>-0.1</v>
      </c>
      <c r="J191" s="76">
        <f t="shared" si="17"/>
        <v>-3.2258064516129032E-3</v>
      </c>
      <c r="K191" s="76">
        <f t="shared" si="18"/>
        <v>6.1290322580645165E-2</v>
      </c>
      <c r="L191" s="76">
        <f t="shared" si="19"/>
        <v>-1.0752688172043011E-3</v>
      </c>
      <c r="M191" s="76" t="e">
        <f t="shared" si="20"/>
        <v>#N/A</v>
      </c>
      <c r="N191" s="76" t="e">
        <f t="shared" si="21"/>
        <v>#N/A</v>
      </c>
      <c r="P191" s="7">
        <f t="shared" si="22"/>
        <v>92.9</v>
      </c>
      <c r="Q191" s="7">
        <f t="shared" si="23"/>
        <v>87.3</v>
      </c>
      <c r="S191" s="9">
        <f t="shared" si="24"/>
        <v>0</v>
      </c>
    </row>
    <row r="192" spans="1:19" x14ac:dyDescent="0.25">
      <c r="A192" s="14">
        <v>43009</v>
      </c>
      <c r="B192" s="21">
        <v>95.1</v>
      </c>
      <c r="C192" s="7">
        <v>88.1</v>
      </c>
      <c r="E192" s="22">
        <v>88.1</v>
      </c>
      <c r="F192" s="21">
        <v>88</v>
      </c>
      <c r="G192" s="20">
        <v>0.1</v>
      </c>
      <c r="H192">
        <v>7.6</v>
      </c>
      <c r="I192">
        <v>-0.6</v>
      </c>
      <c r="J192" s="76">
        <f t="shared" si="17"/>
        <v>1.0515247108307047E-3</v>
      </c>
      <c r="K192" s="76">
        <f t="shared" si="18"/>
        <v>7.9915878023133546E-2</v>
      </c>
      <c r="L192" s="76">
        <f t="shared" si="19"/>
        <v>-6.3091482649842269E-3</v>
      </c>
      <c r="M192" s="76" t="e">
        <f t="shared" si="20"/>
        <v>#N/A</v>
      </c>
      <c r="N192" s="76" t="e">
        <f t="shared" si="21"/>
        <v>#N/A</v>
      </c>
      <c r="P192" s="7">
        <f t="shared" si="22"/>
        <v>95.1</v>
      </c>
      <c r="Q192" s="7">
        <f t="shared" si="23"/>
        <v>88.1</v>
      </c>
      <c r="S192" s="9">
        <f t="shared" si="24"/>
        <v>0</v>
      </c>
    </row>
    <row r="193" spans="1:19" x14ac:dyDescent="0.25">
      <c r="A193" s="14">
        <v>43040</v>
      </c>
      <c r="B193" s="21">
        <v>90.6</v>
      </c>
      <c r="C193" s="7">
        <v>88.4</v>
      </c>
      <c r="E193" s="22">
        <v>88.4</v>
      </c>
      <c r="F193" s="21">
        <v>88.3</v>
      </c>
      <c r="G193" s="20">
        <v>0.1</v>
      </c>
      <c r="H193">
        <v>1.5</v>
      </c>
      <c r="I193">
        <v>0.7</v>
      </c>
      <c r="J193" s="76">
        <f t="shared" si="17"/>
        <v>1.1037527593818987E-3</v>
      </c>
      <c r="K193" s="76">
        <f t="shared" si="18"/>
        <v>1.6556291390728478E-2</v>
      </c>
      <c r="L193" s="76">
        <f t="shared" si="19"/>
        <v>7.7262693156732896E-3</v>
      </c>
      <c r="M193" s="76" t="e">
        <f t="shared" si="20"/>
        <v>#N/A</v>
      </c>
      <c r="N193" s="76" t="e">
        <f t="shared" si="21"/>
        <v>#N/A</v>
      </c>
      <c r="P193" s="7">
        <f t="shared" si="22"/>
        <v>90.6</v>
      </c>
      <c r="Q193" s="7">
        <f t="shared" si="23"/>
        <v>88.399999999999991</v>
      </c>
      <c r="S193" s="9">
        <f t="shared" si="24"/>
        <v>0</v>
      </c>
    </row>
    <row r="194" spans="1:19" x14ac:dyDescent="0.25">
      <c r="A194" s="14">
        <v>43070</v>
      </c>
      <c r="B194" s="21">
        <v>81</v>
      </c>
      <c r="C194" s="7">
        <v>91.3</v>
      </c>
      <c r="E194" s="22">
        <v>91.3</v>
      </c>
      <c r="F194" s="21">
        <v>88.6</v>
      </c>
      <c r="G194" s="20">
        <v>2.7</v>
      </c>
      <c r="H194">
        <v>-8.6999999999999993</v>
      </c>
      <c r="I194">
        <v>-1.6</v>
      </c>
      <c r="J194" s="76">
        <f t="shared" si="17"/>
        <v>3.3333333333333333E-2</v>
      </c>
      <c r="K194" s="76">
        <f t="shared" si="18"/>
        <v>-0.1074074074074074</v>
      </c>
      <c r="L194" s="76">
        <f t="shared" si="19"/>
        <v>-1.9753086419753086E-2</v>
      </c>
      <c r="M194" s="76" t="e">
        <f t="shared" si="20"/>
        <v>#N/A</v>
      </c>
      <c r="N194" s="76" t="e">
        <f t="shared" si="21"/>
        <v>#N/A</v>
      </c>
      <c r="P194" s="7">
        <f t="shared" si="22"/>
        <v>81</v>
      </c>
      <c r="Q194" s="7">
        <f t="shared" si="23"/>
        <v>91.3</v>
      </c>
      <c r="S194" s="9">
        <f t="shared" si="24"/>
        <v>0</v>
      </c>
    </row>
    <row r="195" spans="1:19" x14ac:dyDescent="0.25">
      <c r="A195" s="14">
        <v>43101</v>
      </c>
      <c r="B195" s="21">
        <v>82.3</v>
      </c>
      <c r="C195" s="7">
        <v>88.9</v>
      </c>
      <c r="E195" s="22">
        <v>88.9</v>
      </c>
      <c r="F195" s="21">
        <v>88.9</v>
      </c>
      <c r="G195" s="20">
        <v>0</v>
      </c>
      <c r="H195">
        <v>-7.6</v>
      </c>
      <c r="I195">
        <v>1</v>
      </c>
      <c r="J195" s="76">
        <f t="shared" si="17"/>
        <v>0</v>
      </c>
      <c r="K195" s="76">
        <f t="shared" si="18"/>
        <v>-9.2345078979343867E-2</v>
      </c>
      <c r="L195" s="76">
        <f t="shared" si="19"/>
        <v>1.2150668286755772E-2</v>
      </c>
      <c r="M195" s="76" t="e">
        <f t="shared" si="20"/>
        <v>#N/A</v>
      </c>
      <c r="N195" s="76" t="e">
        <f t="shared" si="21"/>
        <v>#N/A</v>
      </c>
      <c r="P195" s="7">
        <f t="shared" si="22"/>
        <v>82.300000000000011</v>
      </c>
      <c r="Q195" s="7">
        <f t="shared" si="23"/>
        <v>88.9</v>
      </c>
      <c r="S195" s="9">
        <f t="shared" si="24"/>
        <v>0</v>
      </c>
    </row>
    <row r="196" spans="1:19" x14ac:dyDescent="0.25">
      <c r="A196" s="14">
        <v>43132</v>
      </c>
      <c r="B196" s="21">
        <v>77.3</v>
      </c>
      <c r="C196" s="7">
        <v>88.5</v>
      </c>
      <c r="E196" s="22">
        <v>88.5</v>
      </c>
      <c r="F196" s="21">
        <v>89.2</v>
      </c>
      <c r="G196" s="20">
        <v>-0.7</v>
      </c>
      <c r="H196">
        <v>-10.199999999999999</v>
      </c>
      <c r="I196">
        <v>-1.1000000000000001</v>
      </c>
      <c r="J196" s="76">
        <f t="shared" ref="J196:J242" si="25">G196/$B196</f>
        <v>-9.0556274256144882E-3</v>
      </c>
      <c r="K196" s="76">
        <f t="shared" ref="K196:K242" si="26">H196/$B196</f>
        <v>-0.13195342820181113</v>
      </c>
      <c r="L196" s="76">
        <f t="shared" ref="L196:L242" si="27">I196/$B196</f>
        <v>-1.4230271668822771E-2</v>
      </c>
      <c r="M196" s="76" t="e">
        <f t="shared" ref="M196:N242" si="28">IF($A196&gt;=DATE(2020,3,1),99999999,NA())</f>
        <v>#N/A</v>
      </c>
      <c r="N196" s="76" t="e">
        <f t="shared" ref="N196:N242" si="29">IF($A196&gt;=DATE(2020,3,1),-99999999,NA())</f>
        <v>#N/A</v>
      </c>
      <c r="P196" s="7">
        <f t="shared" ref="P196:P242" si="30">F196+G196+H196+I196</f>
        <v>77.2</v>
      </c>
      <c r="Q196" s="7">
        <f t="shared" ref="Q196:Q242" si="31">G196+F196</f>
        <v>88.5</v>
      </c>
      <c r="S196" s="9">
        <f t="shared" ref="S196:S242" si="32">(E196-C196)/C196</f>
        <v>0</v>
      </c>
    </row>
    <row r="197" spans="1:19" x14ac:dyDescent="0.25">
      <c r="A197" s="14">
        <v>43160</v>
      </c>
      <c r="B197" s="21">
        <v>86.2</v>
      </c>
      <c r="C197" s="7">
        <v>89.7</v>
      </c>
      <c r="E197" s="22">
        <v>89.7</v>
      </c>
      <c r="F197" s="21">
        <v>89.6</v>
      </c>
      <c r="G197" s="20">
        <v>0.1</v>
      </c>
      <c r="H197">
        <v>-2.6</v>
      </c>
      <c r="I197">
        <v>-0.9</v>
      </c>
      <c r="J197" s="76">
        <f t="shared" si="25"/>
        <v>1.1600928074245939E-3</v>
      </c>
      <c r="K197" s="76">
        <f t="shared" si="26"/>
        <v>-3.0162412993039442E-2</v>
      </c>
      <c r="L197" s="76">
        <f t="shared" si="27"/>
        <v>-1.0440835266821345E-2</v>
      </c>
      <c r="M197" s="76" t="e">
        <f t="shared" si="28"/>
        <v>#N/A</v>
      </c>
      <c r="N197" s="76" t="e">
        <f t="shared" si="29"/>
        <v>#N/A</v>
      </c>
      <c r="P197" s="7">
        <f t="shared" si="30"/>
        <v>86.199999999999989</v>
      </c>
      <c r="Q197" s="7">
        <f t="shared" si="31"/>
        <v>89.699999999999989</v>
      </c>
      <c r="S197" s="9">
        <f t="shared" si="32"/>
        <v>0</v>
      </c>
    </row>
    <row r="198" spans="1:19" x14ac:dyDescent="0.25">
      <c r="A198" s="14">
        <v>43191</v>
      </c>
      <c r="B198" s="21">
        <v>86.5</v>
      </c>
      <c r="C198" s="7">
        <v>90.1</v>
      </c>
      <c r="E198" s="22">
        <v>90.1</v>
      </c>
      <c r="F198" s="21">
        <v>89.9</v>
      </c>
      <c r="G198" s="20">
        <v>0.2</v>
      </c>
      <c r="H198">
        <v>-4.3</v>
      </c>
      <c r="I198">
        <v>0.7</v>
      </c>
      <c r="J198" s="76">
        <f t="shared" si="25"/>
        <v>2.3121387283236996E-3</v>
      </c>
      <c r="K198" s="76">
        <f t="shared" si="26"/>
        <v>-4.9710982658959534E-2</v>
      </c>
      <c r="L198" s="76">
        <f t="shared" si="27"/>
        <v>8.0924855491329474E-3</v>
      </c>
      <c r="M198" s="76" t="e">
        <f t="shared" si="28"/>
        <v>#N/A</v>
      </c>
      <c r="N198" s="76" t="e">
        <f t="shared" si="29"/>
        <v>#N/A</v>
      </c>
      <c r="P198" s="7">
        <f t="shared" si="30"/>
        <v>86.500000000000014</v>
      </c>
      <c r="Q198" s="7">
        <f t="shared" si="31"/>
        <v>90.100000000000009</v>
      </c>
      <c r="S198" s="9">
        <f t="shared" si="32"/>
        <v>0</v>
      </c>
    </row>
    <row r="199" spans="1:19" x14ac:dyDescent="0.25">
      <c r="A199" s="14">
        <v>43221</v>
      </c>
      <c r="B199" s="21">
        <v>84.4</v>
      </c>
      <c r="C199" s="7">
        <v>80.2</v>
      </c>
      <c r="E199" s="22">
        <v>80.2</v>
      </c>
      <c r="F199" s="21">
        <v>90</v>
      </c>
      <c r="G199" s="20">
        <v>-9.8000000000000007</v>
      </c>
      <c r="H199">
        <v>2.7</v>
      </c>
      <c r="I199">
        <v>1.5</v>
      </c>
      <c r="J199" s="76">
        <f t="shared" si="25"/>
        <v>-0.11611374407582939</v>
      </c>
      <c r="K199" s="76">
        <f t="shared" si="26"/>
        <v>3.1990521327014215E-2</v>
      </c>
      <c r="L199" s="76">
        <f t="shared" si="27"/>
        <v>1.7772511848341232E-2</v>
      </c>
      <c r="M199" s="76" t="e">
        <f t="shared" si="28"/>
        <v>#N/A</v>
      </c>
      <c r="N199" s="76" t="e">
        <f t="shared" si="29"/>
        <v>#N/A</v>
      </c>
      <c r="P199" s="7">
        <f t="shared" si="30"/>
        <v>84.4</v>
      </c>
      <c r="Q199" s="7">
        <f t="shared" si="31"/>
        <v>80.2</v>
      </c>
      <c r="S199" s="9">
        <f t="shared" si="32"/>
        <v>0</v>
      </c>
    </row>
    <row r="200" spans="1:19" x14ac:dyDescent="0.25">
      <c r="A200" s="14">
        <v>43252</v>
      </c>
      <c r="B200" s="21">
        <v>91.1</v>
      </c>
      <c r="C200" s="7">
        <v>90.3</v>
      </c>
      <c r="E200" s="22">
        <v>90.3</v>
      </c>
      <c r="F200" s="21">
        <v>90</v>
      </c>
      <c r="G200" s="20">
        <v>0.4</v>
      </c>
      <c r="H200">
        <v>1.1000000000000001</v>
      </c>
      <c r="I200">
        <v>-0.3</v>
      </c>
      <c r="J200" s="76">
        <f t="shared" si="25"/>
        <v>4.3907793633369925E-3</v>
      </c>
      <c r="K200" s="76">
        <f t="shared" si="26"/>
        <v>1.2074643249176731E-2</v>
      </c>
      <c r="L200" s="76">
        <f t="shared" si="27"/>
        <v>-3.2930845225027441E-3</v>
      </c>
      <c r="M200" s="76" t="e">
        <f t="shared" si="28"/>
        <v>#N/A</v>
      </c>
      <c r="N200" s="76" t="e">
        <f t="shared" si="29"/>
        <v>#N/A</v>
      </c>
      <c r="P200" s="7">
        <f t="shared" si="30"/>
        <v>91.2</v>
      </c>
      <c r="Q200" s="7">
        <f t="shared" si="31"/>
        <v>90.4</v>
      </c>
      <c r="S200" s="9">
        <f t="shared" si="32"/>
        <v>0</v>
      </c>
    </row>
    <row r="201" spans="1:19" x14ac:dyDescent="0.25">
      <c r="A201" s="14">
        <v>43282</v>
      </c>
      <c r="B201" s="21">
        <v>95.8</v>
      </c>
      <c r="C201" s="7">
        <v>90.1</v>
      </c>
      <c r="E201" s="22">
        <v>90.1</v>
      </c>
      <c r="F201" s="21">
        <v>89.6</v>
      </c>
      <c r="G201" s="20">
        <v>0.4</v>
      </c>
      <c r="H201">
        <v>6.3</v>
      </c>
      <c r="I201">
        <v>-0.6</v>
      </c>
      <c r="J201" s="76">
        <f t="shared" si="25"/>
        <v>4.1753653444676414E-3</v>
      </c>
      <c r="K201" s="76">
        <f t="shared" si="26"/>
        <v>6.5762004175365346E-2</v>
      </c>
      <c r="L201" s="76">
        <f t="shared" si="27"/>
        <v>-6.2630480167014616E-3</v>
      </c>
      <c r="M201" s="76" t="e">
        <f t="shared" si="28"/>
        <v>#N/A</v>
      </c>
      <c r="N201" s="76" t="e">
        <f t="shared" si="29"/>
        <v>#N/A</v>
      </c>
      <c r="P201" s="7">
        <f t="shared" si="30"/>
        <v>95.7</v>
      </c>
      <c r="Q201" s="7">
        <f t="shared" si="31"/>
        <v>90</v>
      </c>
      <c r="S201" s="9">
        <f t="shared" si="32"/>
        <v>0</v>
      </c>
    </row>
    <row r="202" spans="1:19" x14ac:dyDescent="0.25">
      <c r="A202" s="14">
        <v>43313</v>
      </c>
      <c r="B202" s="21">
        <v>98.2</v>
      </c>
      <c r="C202" s="7">
        <v>88.9</v>
      </c>
      <c r="E202" s="22">
        <v>88.9</v>
      </c>
      <c r="F202" s="21">
        <v>89.1</v>
      </c>
      <c r="G202" s="20">
        <v>-0.2</v>
      </c>
      <c r="H202">
        <v>8.6</v>
      </c>
      <c r="I202">
        <v>0.7</v>
      </c>
      <c r="J202" s="76">
        <f t="shared" si="25"/>
        <v>-2.0366598778004076E-3</v>
      </c>
      <c r="K202" s="76">
        <f t="shared" si="26"/>
        <v>8.7576374745417504E-2</v>
      </c>
      <c r="L202" s="76">
        <f t="shared" si="27"/>
        <v>7.1283095723014252E-3</v>
      </c>
      <c r="M202" s="76" t="e">
        <f t="shared" si="28"/>
        <v>#N/A</v>
      </c>
      <c r="N202" s="76" t="e">
        <f t="shared" si="29"/>
        <v>#N/A</v>
      </c>
      <c r="P202" s="7">
        <f t="shared" si="30"/>
        <v>98.199999999999989</v>
      </c>
      <c r="Q202" s="7">
        <f t="shared" si="31"/>
        <v>88.899999999999991</v>
      </c>
      <c r="S202" s="9">
        <f t="shared" si="32"/>
        <v>0</v>
      </c>
    </row>
    <row r="203" spans="1:19" x14ac:dyDescent="0.25">
      <c r="A203" s="14">
        <v>43344</v>
      </c>
      <c r="B203" s="21">
        <v>90.7</v>
      </c>
      <c r="C203" s="7">
        <v>86.5</v>
      </c>
      <c r="E203" s="22">
        <v>86.5</v>
      </c>
      <c r="F203" s="21">
        <v>88.5</v>
      </c>
      <c r="G203" s="20">
        <v>-2</v>
      </c>
      <c r="H203">
        <v>5.8</v>
      </c>
      <c r="I203">
        <v>-1.6</v>
      </c>
      <c r="J203" s="76">
        <f t="shared" si="25"/>
        <v>-2.2050716648291068E-2</v>
      </c>
      <c r="K203" s="76">
        <f t="shared" si="26"/>
        <v>6.3947078280044103E-2</v>
      </c>
      <c r="L203" s="76">
        <f t="shared" si="27"/>
        <v>-1.7640573318632856E-2</v>
      </c>
      <c r="M203" s="76" t="e">
        <f t="shared" si="28"/>
        <v>#N/A</v>
      </c>
      <c r="N203" s="76" t="e">
        <f t="shared" si="29"/>
        <v>#N/A</v>
      </c>
      <c r="P203" s="7">
        <f t="shared" si="30"/>
        <v>90.7</v>
      </c>
      <c r="Q203" s="7">
        <f t="shared" si="31"/>
        <v>86.5</v>
      </c>
      <c r="S203" s="9">
        <f t="shared" si="32"/>
        <v>0</v>
      </c>
    </row>
    <row r="204" spans="1:19" x14ac:dyDescent="0.25">
      <c r="A204" s="14">
        <v>43374</v>
      </c>
      <c r="B204" s="21">
        <v>95.8</v>
      </c>
      <c r="C204" s="7">
        <v>87.5</v>
      </c>
      <c r="E204" s="22">
        <v>87.5</v>
      </c>
      <c r="F204" s="21">
        <v>87.9</v>
      </c>
      <c r="G204" s="20">
        <v>-0.4</v>
      </c>
      <c r="H204">
        <v>7.3</v>
      </c>
      <c r="I204">
        <v>1</v>
      </c>
      <c r="J204" s="76">
        <f t="shared" si="25"/>
        <v>-4.1753653444676414E-3</v>
      </c>
      <c r="K204" s="76">
        <f t="shared" si="26"/>
        <v>7.6200417536534448E-2</v>
      </c>
      <c r="L204" s="76">
        <f t="shared" si="27"/>
        <v>1.0438413361169102E-2</v>
      </c>
      <c r="M204" s="76" t="e">
        <f t="shared" si="28"/>
        <v>#N/A</v>
      </c>
      <c r="N204" s="76" t="e">
        <f t="shared" si="29"/>
        <v>#N/A</v>
      </c>
      <c r="P204" s="7">
        <f t="shared" si="30"/>
        <v>95.8</v>
      </c>
      <c r="Q204" s="7">
        <f t="shared" si="31"/>
        <v>87.5</v>
      </c>
      <c r="S204" s="9">
        <f t="shared" si="32"/>
        <v>0</v>
      </c>
    </row>
    <row r="205" spans="1:19" x14ac:dyDescent="0.25">
      <c r="A205" s="14">
        <v>43405</v>
      </c>
      <c r="B205" s="21">
        <v>89.5</v>
      </c>
      <c r="C205" s="7">
        <v>87.5</v>
      </c>
      <c r="E205" s="22">
        <v>87.5</v>
      </c>
      <c r="F205" s="21">
        <v>87.5</v>
      </c>
      <c r="G205" s="20">
        <v>0</v>
      </c>
      <c r="H205">
        <v>1.3</v>
      </c>
      <c r="I205">
        <v>0.7</v>
      </c>
      <c r="J205" s="76">
        <f t="shared" si="25"/>
        <v>0</v>
      </c>
      <c r="K205" s="76">
        <f t="shared" si="26"/>
        <v>1.452513966480447E-2</v>
      </c>
      <c r="L205" s="76">
        <f t="shared" si="27"/>
        <v>7.8212290502793283E-3</v>
      </c>
      <c r="M205" s="76" t="e">
        <f t="shared" si="28"/>
        <v>#N/A</v>
      </c>
      <c r="N205" s="76" t="e">
        <f t="shared" si="29"/>
        <v>#N/A</v>
      </c>
      <c r="P205" s="7">
        <f t="shared" si="30"/>
        <v>89.5</v>
      </c>
      <c r="Q205" s="7">
        <f t="shared" si="31"/>
        <v>87.5</v>
      </c>
      <c r="S205" s="9">
        <f t="shared" si="32"/>
        <v>0</v>
      </c>
    </row>
    <row r="206" spans="1:19" x14ac:dyDescent="0.25">
      <c r="A206" s="14">
        <v>43435</v>
      </c>
      <c r="B206" s="21">
        <v>78</v>
      </c>
      <c r="C206" s="7">
        <v>87.8</v>
      </c>
      <c r="E206" s="22">
        <v>87.8</v>
      </c>
      <c r="F206" s="21">
        <v>87.3</v>
      </c>
      <c r="G206" s="20">
        <v>0.5</v>
      </c>
      <c r="H206">
        <v>-8.6</v>
      </c>
      <c r="I206">
        <v>-1.3</v>
      </c>
      <c r="J206" s="76">
        <f t="shared" si="25"/>
        <v>6.41025641025641E-3</v>
      </c>
      <c r="K206" s="76">
        <f t="shared" si="26"/>
        <v>-0.11025641025641025</v>
      </c>
      <c r="L206" s="76">
        <f t="shared" si="27"/>
        <v>-1.6666666666666666E-2</v>
      </c>
      <c r="M206" s="76" t="e">
        <f t="shared" si="28"/>
        <v>#N/A</v>
      </c>
      <c r="N206" s="76" t="e">
        <f t="shared" si="29"/>
        <v>#N/A</v>
      </c>
      <c r="P206" s="7">
        <f t="shared" si="30"/>
        <v>77.900000000000006</v>
      </c>
      <c r="Q206" s="7">
        <f t="shared" si="31"/>
        <v>87.8</v>
      </c>
      <c r="S206" s="9">
        <f t="shared" si="32"/>
        <v>0</v>
      </c>
    </row>
    <row r="207" spans="1:19" x14ac:dyDescent="0.25">
      <c r="A207" s="14">
        <v>43466</v>
      </c>
      <c r="B207" s="21">
        <v>80.7</v>
      </c>
      <c r="C207" s="7">
        <v>86.8</v>
      </c>
      <c r="E207" s="22">
        <v>86.8</v>
      </c>
      <c r="F207" s="21">
        <v>87.3</v>
      </c>
      <c r="G207" s="20">
        <v>-0.5</v>
      </c>
      <c r="H207">
        <v>-7.3</v>
      </c>
      <c r="I207">
        <v>1.2</v>
      </c>
      <c r="J207" s="76">
        <f t="shared" si="25"/>
        <v>-6.1957868649318458E-3</v>
      </c>
      <c r="K207" s="76">
        <f t="shared" si="26"/>
        <v>-9.0458488228004952E-2</v>
      </c>
      <c r="L207" s="76">
        <f t="shared" si="27"/>
        <v>1.4869888475836431E-2</v>
      </c>
      <c r="M207" s="76" t="e">
        <f t="shared" si="28"/>
        <v>#N/A</v>
      </c>
      <c r="N207" s="76" t="e">
        <f t="shared" si="29"/>
        <v>#N/A</v>
      </c>
      <c r="P207" s="7">
        <f t="shared" si="30"/>
        <v>80.7</v>
      </c>
      <c r="Q207" s="7">
        <f t="shared" si="31"/>
        <v>86.8</v>
      </c>
      <c r="S207" s="9">
        <f t="shared" si="32"/>
        <v>0</v>
      </c>
    </row>
    <row r="208" spans="1:19" x14ac:dyDescent="0.25">
      <c r="A208" s="14">
        <v>43497</v>
      </c>
      <c r="B208" s="21">
        <v>79.099999999999994</v>
      </c>
      <c r="C208" s="7">
        <v>87.3</v>
      </c>
      <c r="E208" s="22">
        <v>87.3</v>
      </c>
      <c r="F208" s="21">
        <v>87.3</v>
      </c>
      <c r="G208" s="20">
        <v>0.1</v>
      </c>
      <c r="H208">
        <v>-9.9</v>
      </c>
      <c r="I208">
        <v>1.6</v>
      </c>
      <c r="J208" s="76">
        <f t="shared" si="25"/>
        <v>1.2642225031605564E-3</v>
      </c>
      <c r="K208" s="76">
        <f t="shared" si="26"/>
        <v>-0.12515802781289509</v>
      </c>
      <c r="L208" s="76">
        <f t="shared" si="27"/>
        <v>2.0227560050568902E-2</v>
      </c>
      <c r="M208" s="76" t="e">
        <f t="shared" si="28"/>
        <v>#N/A</v>
      </c>
      <c r="N208" s="76" t="e">
        <f t="shared" si="29"/>
        <v>#N/A</v>
      </c>
      <c r="P208" s="7">
        <f t="shared" si="30"/>
        <v>79.09999999999998</v>
      </c>
      <c r="Q208" s="7">
        <f t="shared" si="31"/>
        <v>87.399999999999991</v>
      </c>
      <c r="S208" s="9">
        <f t="shared" si="32"/>
        <v>0</v>
      </c>
    </row>
    <row r="209" spans="1:19" x14ac:dyDescent="0.25">
      <c r="A209" s="14">
        <v>43525</v>
      </c>
      <c r="B209" s="21">
        <v>81</v>
      </c>
      <c r="C209" s="7">
        <v>87.1</v>
      </c>
      <c r="E209" s="22">
        <v>87.1</v>
      </c>
      <c r="F209" s="21">
        <v>87.2</v>
      </c>
      <c r="G209" s="20">
        <v>-0.1</v>
      </c>
      <c r="H209">
        <v>-3</v>
      </c>
      <c r="I209">
        <v>-3.1</v>
      </c>
      <c r="J209" s="76">
        <f t="shared" si="25"/>
        <v>-1.2345679012345679E-3</v>
      </c>
      <c r="K209" s="76">
        <f t="shared" si="26"/>
        <v>-3.7037037037037035E-2</v>
      </c>
      <c r="L209" s="76">
        <f t="shared" si="27"/>
        <v>-3.8271604938271607E-2</v>
      </c>
      <c r="M209" s="76" t="e">
        <f t="shared" si="28"/>
        <v>#N/A</v>
      </c>
      <c r="N209" s="76" t="e">
        <f t="shared" si="29"/>
        <v>#N/A</v>
      </c>
      <c r="P209" s="7">
        <f t="shared" si="30"/>
        <v>81.000000000000014</v>
      </c>
      <c r="Q209" s="7">
        <f t="shared" si="31"/>
        <v>87.100000000000009</v>
      </c>
      <c r="S209" s="9">
        <f t="shared" si="32"/>
        <v>0</v>
      </c>
    </row>
    <row r="210" spans="1:19" x14ac:dyDescent="0.25">
      <c r="A210" s="14">
        <v>43556</v>
      </c>
      <c r="B210" s="21">
        <v>83.3</v>
      </c>
      <c r="C210" s="7">
        <v>87.5</v>
      </c>
      <c r="E210" s="22">
        <v>87.5</v>
      </c>
      <c r="F210" s="21">
        <v>87.1</v>
      </c>
      <c r="G210" s="20">
        <v>0.4</v>
      </c>
      <c r="H210">
        <v>-4.5</v>
      </c>
      <c r="I210">
        <v>0.2</v>
      </c>
      <c r="J210" s="76">
        <f t="shared" si="25"/>
        <v>4.8019207683073235E-3</v>
      </c>
      <c r="K210" s="76">
        <f t="shared" si="26"/>
        <v>-5.4021608643457383E-2</v>
      </c>
      <c r="L210" s="76">
        <f t="shared" si="27"/>
        <v>2.4009603841536617E-3</v>
      </c>
      <c r="M210" s="76" t="e">
        <f t="shared" si="28"/>
        <v>#N/A</v>
      </c>
      <c r="N210" s="76" t="e">
        <f t="shared" si="29"/>
        <v>#N/A</v>
      </c>
      <c r="P210" s="7">
        <f t="shared" si="30"/>
        <v>83.2</v>
      </c>
      <c r="Q210" s="7">
        <f t="shared" si="31"/>
        <v>87.5</v>
      </c>
      <c r="S210" s="9">
        <f t="shared" si="32"/>
        <v>0</v>
      </c>
    </row>
    <row r="211" spans="1:19" x14ac:dyDescent="0.25">
      <c r="A211" s="14">
        <v>43586</v>
      </c>
      <c r="B211" s="21">
        <v>91</v>
      </c>
      <c r="C211" s="7">
        <v>87.4</v>
      </c>
      <c r="E211" s="22">
        <v>87.4</v>
      </c>
      <c r="F211" s="21">
        <v>87</v>
      </c>
      <c r="G211" s="20">
        <v>0.4</v>
      </c>
      <c r="H211">
        <v>2.6</v>
      </c>
      <c r="I211">
        <v>1</v>
      </c>
      <c r="J211" s="76">
        <f t="shared" si="25"/>
        <v>4.3956043956043956E-3</v>
      </c>
      <c r="K211" s="76">
        <f t="shared" si="26"/>
        <v>2.8571428571428574E-2</v>
      </c>
      <c r="L211" s="76">
        <f t="shared" si="27"/>
        <v>1.098901098901099E-2</v>
      </c>
      <c r="M211" s="76" t="e">
        <f t="shared" si="28"/>
        <v>#N/A</v>
      </c>
      <c r="N211" s="76" t="e">
        <f t="shared" si="29"/>
        <v>#N/A</v>
      </c>
      <c r="P211" s="7">
        <f t="shared" si="30"/>
        <v>91</v>
      </c>
      <c r="Q211" s="7">
        <f t="shared" si="31"/>
        <v>87.4</v>
      </c>
      <c r="S211" s="9">
        <f t="shared" si="32"/>
        <v>0</v>
      </c>
    </row>
    <row r="212" spans="1:19" x14ac:dyDescent="0.25">
      <c r="A212" s="14">
        <v>43617</v>
      </c>
      <c r="B212" s="21">
        <v>85.8</v>
      </c>
      <c r="C212" s="7">
        <v>86.6</v>
      </c>
      <c r="E212" s="22">
        <v>86.6</v>
      </c>
      <c r="F212" s="21">
        <v>86.9</v>
      </c>
      <c r="G212" s="20">
        <v>-0.3</v>
      </c>
      <c r="H212">
        <v>1.1000000000000001</v>
      </c>
      <c r="I212">
        <v>-1.9</v>
      </c>
      <c r="J212" s="76">
        <f t="shared" si="25"/>
        <v>-3.4965034965034965E-3</v>
      </c>
      <c r="K212" s="76">
        <f t="shared" si="26"/>
        <v>1.2820512820512822E-2</v>
      </c>
      <c r="L212" s="76">
        <f t="shared" si="27"/>
        <v>-2.2144522144522144E-2</v>
      </c>
      <c r="M212" s="76" t="e">
        <f t="shared" si="28"/>
        <v>#N/A</v>
      </c>
      <c r="N212" s="76" t="e">
        <f t="shared" si="29"/>
        <v>#N/A</v>
      </c>
      <c r="P212" s="7">
        <f t="shared" si="30"/>
        <v>85.8</v>
      </c>
      <c r="Q212" s="7">
        <f t="shared" si="31"/>
        <v>86.600000000000009</v>
      </c>
      <c r="S212" s="9">
        <f t="shared" si="32"/>
        <v>0</v>
      </c>
    </row>
    <row r="213" spans="1:19" x14ac:dyDescent="0.25">
      <c r="A213" s="14">
        <v>43647</v>
      </c>
      <c r="B213" s="21">
        <v>93.4</v>
      </c>
      <c r="C213" s="7">
        <v>86</v>
      </c>
      <c r="E213" s="22">
        <v>86</v>
      </c>
      <c r="F213" s="21">
        <v>86.8</v>
      </c>
      <c r="G213" s="20">
        <v>-0.8</v>
      </c>
      <c r="H213">
        <v>6.4</v>
      </c>
      <c r="I213">
        <v>1</v>
      </c>
      <c r="J213" s="76">
        <f t="shared" si="25"/>
        <v>-8.5653104925053538E-3</v>
      </c>
      <c r="K213" s="76">
        <f t="shared" si="26"/>
        <v>6.852248394004283E-2</v>
      </c>
      <c r="L213" s="76">
        <f t="shared" si="27"/>
        <v>1.0706638115631691E-2</v>
      </c>
      <c r="M213" s="76" t="e">
        <f t="shared" si="28"/>
        <v>#N/A</v>
      </c>
      <c r="N213" s="76" t="e">
        <f t="shared" si="29"/>
        <v>#N/A</v>
      </c>
      <c r="P213" s="7">
        <f t="shared" si="30"/>
        <v>93.4</v>
      </c>
      <c r="Q213" s="7">
        <f t="shared" si="31"/>
        <v>86</v>
      </c>
      <c r="S213" s="9">
        <f t="shared" si="32"/>
        <v>0</v>
      </c>
    </row>
    <row r="214" spans="1:19" x14ac:dyDescent="0.25">
      <c r="A214" s="14">
        <v>43678</v>
      </c>
      <c r="B214" s="21">
        <v>96.2</v>
      </c>
      <c r="C214" s="7">
        <v>87</v>
      </c>
      <c r="E214" s="22">
        <v>87</v>
      </c>
      <c r="F214" s="21">
        <v>86.7</v>
      </c>
      <c r="G214" s="20">
        <v>0.3</v>
      </c>
      <c r="H214">
        <v>8.6999999999999993</v>
      </c>
      <c r="I214">
        <v>0.5</v>
      </c>
      <c r="J214" s="76">
        <f t="shared" si="25"/>
        <v>3.1185031185031182E-3</v>
      </c>
      <c r="K214" s="76">
        <f t="shared" si="26"/>
        <v>9.0436590436590428E-2</v>
      </c>
      <c r="L214" s="76">
        <f t="shared" si="27"/>
        <v>5.1975051975051969E-3</v>
      </c>
      <c r="M214" s="76" t="e">
        <f t="shared" si="28"/>
        <v>#N/A</v>
      </c>
      <c r="N214" s="76" t="e">
        <f t="shared" si="29"/>
        <v>#N/A</v>
      </c>
      <c r="P214" s="7">
        <f t="shared" si="30"/>
        <v>96.2</v>
      </c>
      <c r="Q214" s="7">
        <f t="shared" si="31"/>
        <v>87</v>
      </c>
      <c r="S214" s="9">
        <f t="shared" si="32"/>
        <v>0</v>
      </c>
    </row>
    <row r="215" spans="1:19" x14ac:dyDescent="0.25">
      <c r="A215" s="14">
        <v>43709</v>
      </c>
      <c r="B215" s="21">
        <v>91.8</v>
      </c>
      <c r="C215" s="7">
        <v>86.9</v>
      </c>
      <c r="E215" s="22">
        <v>86.9</v>
      </c>
      <c r="F215" s="21">
        <v>86.6</v>
      </c>
      <c r="G215" s="20">
        <v>0.3</v>
      </c>
      <c r="H215">
        <v>6</v>
      </c>
      <c r="I215">
        <v>-1.1000000000000001</v>
      </c>
      <c r="J215" s="76">
        <f t="shared" si="25"/>
        <v>3.2679738562091504E-3</v>
      </c>
      <c r="K215" s="76">
        <f t="shared" si="26"/>
        <v>6.535947712418301E-2</v>
      </c>
      <c r="L215" s="76">
        <f t="shared" si="27"/>
        <v>-1.1982570806100219E-2</v>
      </c>
      <c r="M215" s="76" t="e">
        <f t="shared" si="28"/>
        <v>#N/A</v>
      </c>
      <c r="N215" s="76" t="e">
        <f t="shared" si="29"/>
        <v>#N/A</v>
      </c>
      <c r="P215" s="7">
        <f t="shared" si="30"/>
        <v>91.8</v>
      </c>
      <c r="Q215" s="7">
        <f t="shared" si="31"/>
        <v>86.899999999999991</v>
      </c>
      <c r="S215" s="9">
        <f t="shared" si="32"/>
        <v>0</v>
      </c>
    </row>
    <row r="216" spans="1:19" x14ac:dyDescent="0.25">
      <c r="A216" s="14">
        <v>43739</v>
      </c>
      <c r="B216" s="21">
        <v>97</v>
      </c>
      <c r="C216" s="7">
        <v>88.7</v>
      </c>
      <c r="E216" s="22">
        <v>88.7</v>
      </c>
      <c r="F216" s="21">
        <v>86.5</v>
      </c>
      <c r="G216" s="20">
        <v>2.2000000000000002</v>
      </c>
      <c r="H216">
        <v>7.1</v>
      </c>
      <c r="I216">
        <v>1.2</v>
      </c>
      <c r="J216" s="76">
        <f t="shared" si="25"/>
        <v>2.2680412371134023E-2</v>
      </c>
      <c r="K216" s="76">
        <f t="shared" si="26"/>
        <v>7.3195876288659784E-2</v>
      </c>
      <c r="L216" s="76">
        <f t="shared" si="27"/>
        <v>1.2371134020618556E-2</v>
      </c>
      <c r="M216" s="76" t="e">
        <f t="shared" si="28"/>
        <v>#N/A</v>
      </c>
      <c r="N216" s="76" t="e">
        <f t="shared" si="29"/>
        <v>#N/A</v>
      </c>
      <c r="P216" s="7">
        <f t="shared" si="30"/>
        <v>97</v>
      </c>
      <c r="Q216" s="7">
        <f t="shared" si="31"/>
        <v>88.7</v>
      </c>
      <c r="S216" s="9">
        <f t="shared" si="32"/>
        <v>0</v>
      </c>
    </row>
    <row r="217" spans="1:19" x14ac:dyDescent="0.25">
      <c r="A217" s="14">
        <v>43770</v>
      </c>
      <c r="B217" s="21">
        <v>88</v>
      </c>
      <c r="C217" s="7">
        <v>86.9</v>
      </c>
      <c r="E217" s="22">
        <v>86.9</v>
      </c>
      <c r="F217" s="21">
        <v>86.5</v>
      </c>
      <c r="G217" s="20">
        <v>0.4</v>
      </c>
      <c r="H217">
        <v>1.2</v>
      </c>
      <c r="I217">
        <v>-0.1</v>
      </c>
      <c r="J217" s="76">
        <f t="shared" si="25"/>
        <v>4.5454545454545461E-3</v>
      </c>
      <c r="K217" s="76">
        <f t="shared" si="26"/>
        <v>1.3636363636363636E-2</v>
      </c>
      <c r="L217" s="76">
        <f t="shared" si="27"/>
        <v>-1.1363636363636365E-3</v>
      </c>
      <c r="M217" s="76" t="e">
        <f t="shared" si="28"/>
        <v>#N/A</v>
      </c>
      <c r="N217" s="76" t="e">
        <f t="shared" si="29"/>
        <v>#N/A</v>
      </c>
      <c r="P217" s="7">
        <f t="shared" si="30"/>
        <v>88.000000000000014</v>
      </c>
      <c r="Q217" s="7">
        <f t="shared" si="31"/>
        <v>86.9</v>
      </c>
      <c r="S217" s="9">
        <f t="shared" si="32"/>
        <v>0</v>
      </c>
    </row>
    <row r="218" spans="1:19" x14ac:dyDescent="0.25">
      <c r="A218" s="14">
        <v>43800</v>
      </c>
      <c r="B218" s="21">
        <v>76.900000000000006</v>
      </c>
      <c r="C218" s="7">
        <v>85.8</v>
      </c>
      <c r="E218" s="22">
        <v>85.8</v>
      </c>
      <c r="F218" s="21">
        <v>86.6</v>
      </c>
      <c r="G218" s="20">
        <v>-0.7</v>
      </c>
      <c r="H218">
        <v>-8.3000000000000007</v>
      </c>
      <c r="I218">
        <v>-0.6</v>
      </c>
      <c r="J218" s="76">
        <f t="shared" si="25"/>
        <v>-9.1027308192457718E-3</v>
      </c>
      <c r="K218" s="76">
        <f t="shared" si="26"/>
        <v>-0.10793237971391417</v>
      </c>
      <c r="L218" s="76">
        <f t="shared" si="27"/>
        <v>-7.8023407022106625E-3</v>
      </c>
      <c r="M218" s="76" t="e">
        <f t="shared" si="28"/>
        <v>#N/A</v>
      </c>
      <c r="N218" s="76" t="e">
        <f t="shared" si="29"/>
        <v>#N/A</v>
      </c>
      <c r="P218" s="7">
        <f t="shared" si="30"/>
        <v>77</v>
      </c>
      <c r="Q218" s="7">
        <f t="shared" si="31"/>
        <v>85.899999999999991</v>
      </c>
      <c r="S218" s="9">
        <f t="shared" si="32"/>
        <v>0</v>
      </c>
    </row>
    <row r="219" spans="1:19" x14ac:dyDescent="0.25">
      <c r="A219" s="14">
        <v>43831</v>
      </c>
      <c r="B219" s="21">
        <v>80</v>
      </c>
      <c r="C219" s="7">
        <v>86.4</v>
      </c>
      <c r="E219" s="22">
        <v>86.4</v>
      </c>
      <c r="F219" s="21">
        <v>86.7</v>
      </c>
      <c r="G219" s="20">
        <v>-0.3</v>
      </c>
      <c r="H219">
        <v>-7.1</v>
      </c>
      <c r="I219">
        <v>0.7</v>
      </c>
      <c r="J219" s="76">
        <f t="shared" si="25"/>
        <v>-3.7499999999999999E-3</v>
      </c>
      <c r="K219" s="76">
        <f t="shared" si="26"/>
        <v>-8.8749999999999996E-2</v>
      </c>
      <c r="L219" s="76">
        <f t="shared" si="27"/>
        <v>8.7499999999999991E-3</v>
      </c>
      <c r="M219" s="76" t="e">
        <f t="shared" si="28"/>
        <v>#N/A</v>
      </c>
      <c r="N219" s="76" t="e">
        <f t="shared" si="29"/>
        <v>#N/A</v>
      </c>
      <c r="P219" s="7">
        <f t="shared" si="30"/>
        <v>80.000000000000014</v>
      </c>
      <c r="Q219" s="7">
        <f t="shared" si="31"/>
        <v>86.4</v>
      </c>
      <c r="S219" s="9">
        <f t="shared" si="32"/>
        <v>0</v>
      </c>
    </row>
    <row r="220" spans="1:19" x14ac:dyDescent="0.25">
      <c r="A220" s="14">
        <v>43862</v>
      </c>
      <c r="B220" s="21">
        <v>78.900000000000006</v>
      </c>
      <c r="C220" s="7">
        <v>87.4</v>
      </c>
      <c r="E220" s="22">
        <v>87.4</v>
      </c>
      <c r="F220" s="21">
        <v>87.1</v>
      </c>
      <c r="G220" s="20">
        <v>0.4</v>
      </c>
      <c r="H220">
        <v>-9.6</v>
      </c>
      <c r="I220">
        <v>1.1000000000000001</v>
      </c>
      <c r="J220" s="76">
        <f t="shared" si="25"/>
        <v>5.0697084917617234E-3</v>
      </c>
      <c r="K220" s="76">
        <f t="shared" si="26"/>
        <v>-0.12167300380228135</v>
      </c>
      <c r="L220" s="76">
        <f t="shared" si="27"/>
        <v>1.3941698352344741E-2</v>
      </c>
      <c r="M220" s="76" t="e">
        <f t="shared" si="28"/>
        <v>#N/A</v>
      </c>
      <c r="N220" s="76" t="e">
        <f t="shared" si="29"/>
        <v>#N/A</v>
      </c>
      <c r="P220" s="7">
        <f t="shared" si="30"/>
        <v>79</v>
      </c>
      <c r="Q220" s="7">
        <f t="shared" si="31"/>
        <v>87.5</v>
      </c>
      <c r="S220" s="9">
        <f t="shared" si="32"/>
        <v>0</v>
      </c>
    </row>
    <row r="221" spans="1:19" x14ac:dyDescent="0.25">
      <c r="A221" s="14">
        <v>43891</v>
      </c>
      <c r="B221" s="21">
        <v>77.900000000000006</v>
      </c>
      <c r="C221" s="7">
        <v>80.7</v>
      </c>
      <c r="E221" s="22">
        <v>80.7</v>
      </c>
      <c r="F221" s="21">
        <v>87.6</v>
      </c>
      <c r="G221" s="20">
        <v>-6.9</v>
      </c>
      <c r="H221">
        <v>-3.4</v>
      </c>
      <c r="I221">
        <v>0.6</v>
      </c>
      <c r="J221" s="76">
        <f t="shared" si="25"/>
        <v>-8.8575096277278567E-2</v>
      </c>
      <c r="K221" s="76">
        <f t="shared" si="26"/>
        <v>-4.3645699614890884E-2</v>
      </c>
      <c r="L221" s="76">
        <f t="shared" si="27"/>
        <v>7.702182284980744E-3</v>
      </c>
      <c r="M221" s="76">
        <f t="shared" si="28"/>
        <v>99999999</v>
      </c>
      <c r="N221" s="76">
        <f t="shared" si="29"/>
        <v>-99999999</v>
      </c>
      <c r="P221" s="7">
        <f t="shared" si="30"/>
        <v>77.899999999999977</v>
      </c>
      <c r="Q221" s="7">
        <f t="shared" si="31"/>
        <v>80.699999999999989</v>
      </c>
      <c r="S221" s="9">
        <f t="shared" si="32"/>
        <v>0</v>
      </c>
    </row>
    <row r="222" spans="1:19" x14ac:dyDescent="0.25">
      <c r="A222" s="14">
        <v>43922</v>
      </c>
      <c r="B222" s="21">
        <v>60.3</v>
      </c>
      <c r="C222" s="7">
        <v>64.900000000000006</v>
      </c>
      <c r="E222" s="22">
        <v>64.900000000000006</v>
      </c>
      <c r="F222" s="21">
        <v>88.4</v>
      </c>
      <c r="G222" s="20">
        <v>-23.4</v>
      </c>
      <c r="H222">
        <v>-4.5999999999999996</v>
      </c>
      <c r="I222">
        <v>0</v>
      </c>
      <c r="J222" s="76">
        <f t="shared" si="25"/>
        <v>-0.38805970149253732</v>
      </c>
      <c r="K222" s="76">
        <f t="shared" si="26"/>
        <v>-7.6285240464344942E-2</v>
      </c>
      <c r="L222" s="76">
        <f t="shared" si="27"/>
        <v>0</v>
      </c>
      <c r="M222" s="76">
        <f t="shared" si="28"/>
        <v>99999999</v>
      </c>
      <c r="N222" s="76">
        <f t="shared" si="29"/>
        <v>-99999999</v>
      </c>
      <c r="P222" s="7">
        <f t="shared" si="30"/>
        <v>60.4</v>
      </c>
      <c r="Q222" s="7">
        <f t="shared" si="31"/>
        <v>65</v>
      </c>
      <c r="S222" s="9">
        <f t="shared" si="32"/>
        <v>0</v>
      </c>
    </row>
    <row r="223" spans="1:19" x14ac:dyDescent="0.25">
      <c r="A223" s="14">
        <v>43952</v>
      </c>
      <c r="B223" s="21">
        <v>71.2</v>
      </c>
      <c r="C223" s="7">
        <v>70.099999999999994</v>
      </c>
      <c r="E223" s="22">
        <v>70.099999999999994</v>
      </c>
      <c r="F223" s="21">
        <v>89.2</v>
      </c>
      <c r="G223" s="20">
        <v>-19.2</v>
      </c>
      <c r="H223">
        <v>2.4</v>
      </c>
      <c r="I223">
        <v>-1.3</v>
      </c>
      <c r="J223" s="76">
        <f t="shared" si="25"/>
        <v>-0.2696629213483146</v>
      </c>
      <c r="K223" s="76">
        <f t="shared" si="26"/>
        <v>3.3707865168539325E-2</v>
      </c>
      <c r="L223" s="76">
        <f t="shared" si="27"/>
        <v>-1.8258426966292134E-2</v>
      </c>
      <c r="M223" s="76">
        <f t="shared" si="28"/>
        <v>99999999</v>
      </c>
      <c r="N223" s="76">
        <f t="shared" si="29"/>
        <v>-99999999</v>
      </c>
      <c r="P223" s="7">
        <f t="shared" si="30"/>
        <v>71.100000000000009</v>
      </c>
      <c r="Q223" s="7">
        <f t="shared" si="31"/>
        <v>70</v>
      </c>
      <c r="S223" s="9">
        <f t="shared" si="32"/>
        <v>0</v>
      </c>
    </row>
    <row r="224" spans="1:19" x14ac:dyDescent="0.25">
      <c r="A224" s="14">
        <v>43983</v>
      </c>
      <c r="B224" s="21">
        <v>78.400000000000006</v>
      </c>
      <c r="C224" s="7">
        <v>76.8</v>
      </c>
      <c r="E224" s="22">
        <v>76.8</v>
      </c>
      <c r="F224" s="21">
        <v>90.2</v>
      </c>
      <c r="G224" s="20">
        <v>-13.4</v>
      </c>
      <c r="H224">
        <v>1</v>
      </c>
      <c r="I224">
        <v>0.7</v>
      </c>
      <c r="J224" s="76">
        <f t="shared" si="25"/>
        <v>-0.17091836734693877</v>
      </c>
      <c r="K224" s="76">
        <f t="shared" si="26"/>
        <v>1.2755102040816325E-2</v>
      </c>
      <c r="L224" s="76">
        <f t="shared" si="27"/>
        <v>8.9285714285714281E-3</v>
      </c>
      <c r="M224" s="76">
        <f t="shared" si="28"/>
        <v>99999999</v>
      </c>
      <c r="N224" s="76">
        <f t="shared" si="29"/>
        <v>-99999999</v>
      </c>
      <c r="P224" s="7">
        <f t="shared" si="30"/>
        <v>78.5</v>
      </c>
      <c r="Q224" s="7">
        <f t="shared" si="31"/>
        <v>76.8</v>
      </c>
      <c r="S224" s="9">
        <f t="shared" si="32"/>
        <v>0</v>
      </c>
    </row>
    <row r="225" spans="1:19" x14ac:dyDescent="0.25">
      <c r="A225" s="14">
        <v>44013</v>
      </c>
      <c r="B225" s="21">
        <v>91</v>
      </c>
      <c r="C225" s="7">
        <v>83.9</v>
      </c>
      <c r="E225" s="22">
        <v>83.9</v>
      </c>
      <c r="F225" s="21">
        <v>91.1</v>
      </c>
      <c r="G225" s="20">
        <v>-7.1</v>
      </c>
      <c r="H225">
        <v>6.3</v>
      </c>
      <c r="I225">
        <v>0.7</v>
      </c>
      <c r="J225" s="76">
        <f t="shared" si="25"/>
        <v>-7.8021978021978022E-2</v>
      </c>
      <c r="K225" s="76">
        <f t="shared" si="26"/>
        <v>6.9230769230769235E-2</v>
      </c>
      <c r="L225" s="76">
        <f t="shared" si="27"/>
        <v>7.6923076923076919E-3</v>
      </c>
      <c r="M225" s="76">
        <f t="shared" si="28"/>
        <v>99999999</v>
      </c>
      <c r="N225" s="76">
        <f t="shared" si="29"/>
        <v>-99999999</v>
      </c>
      <c r="P225" s="7">
        <f t="shared" si="30"/>
        <v>91</v>
      </c>
      <c r="Q225" s="7">
        <f t="shared" si="31"/>
        <v>84</v>
      </c>
      <c r="S225" s="9">
        <f t="shared" si="32"/>
        <v>0</v>
      </c>
    </row>
    <row r="226" spans="1:19" x14ac:dyDescent="0.25">
      <c r="A226" s="14">
        <v>44044</v>
      </c>
      <c r="B226" s="21">
        <v>93.9</v>
      </c>
      <c r="C226" s="7">
        <v>86.3</v>
      </c>
      <c r="E226" s="22">
        <v>86.3</v>
      </c>
      <c r="F226" s="21">
        <v>91.8</v>
      </c>
      <c r="G226" s="20">
        <v>-5.5</v>
      </c>
      <c r="H226">
        <v>8.8000000000000007</v>
      </c>
      <c r="I226">
        <v>-1.3</v>
      </c>
      <c r="J226" s="76">
        <f t="shared" si="25"/>
        <v>-5.8572949946751864E-2</v>
      </c>
      <c r="K226" s="76">
        <f t="shared" si="26"/>
        <v>9.3716719914802987E-2</v>
      </c>
      <c r="L226" s="76">
        <f t="shared" si="27"/>
        <v>-1.3844515441959531E-2</v>
      </c>
      <c r="M226" s="76">
        <f t="shared" si="28"/>
        <v>99999999</v>
      </c>
      <c r="N226" s="76">
        <f t="shared" si="29"/>
        <v>-99999999</v>
      </c>
      <c r="P226" s="7">
        <f t="shared" si="30"/>
        <v>93.8</v>
      </c>
      <c r="Q226" s="7">
        <f t="shared" si="31"/>
        <v>86.3</v>
      </c>
      <c r="S226" s="9">
        <f t="shared" si="32"/>
        <v>0</v>
      </c>
    </row>
    <row r="227" spans="1:19" x14ac:dyDescent="0.25">
      <c r="A227" s="14">
        <v>44075</v>
      </c>
      <c r="B227" s="21">
        <v>95.4</v>
      </c>
      <c r="C227" s="7">
        <v>88.7</v>
      </c>
      <c r="E227" s="22">
        <v>88.7</v>
      </c>
      <c r="F227" s="21">
        <v>92.3</v>
      </c>
      <c r="G227" s="20">
        <v>-3.6</v>
      </c>
      <c r="H227">
        <v>6.1</v>
      </c>
      <c r="I227">
        <v>0.6</v>
      </c>
      <c r="J227" s="76">
        <f t="shared" si="25"/>
        <v>-3.7735849056603772E-2</v>
      </c>
      <c r="K227" s="76">
        <f t="shared" si="26"/>
        <v>6.3941299790356385E-2</v>
      </c>
      <c r="L227" s="76">
        <f t="shared" si="27"/>
        <v>6.2893081761006284E-3</v>
      </c>
      <c r="M227" s="76">
        <f t="shared" si="28"/>
        <v>99999999</v>
      </c>
      <c r="N227" s="76">
        <f t="shared" si="29"/>
        <v>-99999999</v>
      </c>
      <c r="P227" s="7">
        <f t="shared" si="30"/>
        <v>95.399999999999991</v>
      </c>
      <c r="Q227" s="7">
        <f t="shared" si="31"/>
        <v>88.7</v>
      </c>
      <c r="S227" s="9">
        <f t="shared" si="32"/>
        <v>0</v>
      </c>
    </row>
    <row r="228" spans="1:19" x14ac:dyDescent="0.25">
      <c r="A228" s="14">
        <v>44105</v>
      </c>
      <c r="B228" s="21">
        <v>97.3</v>
      </c>
      <c r="C228" s="7">
        <v>89.7</v>
      </c>
      <c r="E228" s="22">
        <v>89.7</v>
      </c>
      <c r="F228" s="21">
        <v>92.5</v>
      </c>
      <c r="G228" s="20">
        <v>-2.8</v>
      </c>
      <c r="H228">
        <v>7.1</v>
      </c>
      <c r="I228">
        <v>0.5</v>
      </c>
      <c r="J228" s="76">
        <f t="shared" si="25"/>
        <v>-2.8776978417266185E-2</v>
      </c>
      <c r="K228" s="76">
        <f t="shared" si="26"/>
        <v>7.2970195272353544E-2</v>
      </c>
      <c r="L228" s="76">
        <f t="shared" si="27"/>
        <v>5.1387461459403904E-3</v>
      </c>
      <c r="M228" s="76">
        <f t="shared" si="28"/>
        <v>99999999</v>
      </c>
      <c r="N228" s="76">
        <f t="shared" si="29"/>
        <v>-99999999</v>
      </c>
      <c r="P228" s="7">
        <f t="shared" si="30"/>
        <v>97.3</v>
      </c>
      <c r="Q228" s="7">
        <f t="shared" si="31"/>
        <v>89.7</v>
      </c>
      <c r="S228" s="9">
        <f t="shared" si="32"/>
        <v>0</v>
      </c>
    </row>
    <row r="229" spans="1:19" x14ac:dyDescent="0.25">
      <c r="A229" s="14">
        <v>44136</v>
      </c>
      <c r="B229" s="21">
        <v>90.2</v>
      </c>
      <c r="C229" s="7">
        <v>90.2</v>
      </c>
      <c r="E229" s="22">
        <v>90.2</v>
      </c>
      <c r="F229" s="21">
        <v>92.2</v>
      </c>
      <c r="G229" s="20">
        <v>-2</v>
      </c>
      <c r="H229">
        <v>1.1000000000000001</v>
      </c>
      <c r="I229">
        <v>-1.1000000000000001</v>
      </c>
      <c r="J229" s="76">
        <f t="shared" si="25"/>
        <v>-2.2172949002217293E-2</v>
      </c>
      <c r="K229" s="76">
        <f t="shared" si="26"/>
        <v>1.2195121951219513E-2</v>
      </c>
      <c r="L229" s="76">
        <f t="shared" si="27"/>
        <v>-1.2195121951219513E-2</v>
      </c>
      <c r="M229" s="76">
        <f t="shared" si="28"/>
        <v>99999999</v>
      </c>
      <c r="N229" s="76">
        <f t="shared" si="29"/>
        <v>-99999999</v>
      </c>
      <c r="P229" s="7">
        <f t="shared" si="30"/>
        <v>90.2</v>
      </c>
      <c r="Q229" s="7">
        <f t="shared" si="31"/>
        <v>90.2</v>
      </c>
      <c r="S229" s="9">
        <f t="shared" si="32"/>
        <v>0</v>
      </c>
    </row>
    <row r="230" spans="1:19" x14ac:dyDescent="0.25">
      <c r="A230" s="14">
        <v>44166</v>
      </c>
      <c r="B230">
        <v>83.3</v>
      </c>
      <c r="C230" s="7">
        <v>90.3</v>
      </c>
      <c r="E230" s="22">
        <v>90.3</v>
      </c>
      <c r="F230" s="21">
        <v>91.7</v>
      </c>
      <c r="G230" s="20">
        <v>-1.4</v>
      </c>
      <c r="H230">
        <v>-8.1999999999999993</v>
      </c>
      <c r="I230">
        <v>1.2</v>
      </c>
      <c r="J230" s="76">
        <f t="shared" si="25"/>
        <v>-1.680672268907563E-2</v>
      </c>
      <c r="K230" s="76">
        <f t="shared" si="26"/>
        <v>-9.8439375750300109E-2</v>
      </c>
      <c r="L230" s="76">
        <f t="shared" si="27"/>
        <v>1.4405762304921969E-2</v>
      </c>
      <c r="M230" s="76">
        <f t="shared" si="28"/>
        <v>99999999</v>
      </c>
      <c r="N230" s="76">
        <f t="shared" si="29"/>
        <v>-99999999</v>
      </c>
      <c r="P230" s="7">
        <f t="shared" si="30"/>
        <v>83.3</v>
      </c>
      <c r="Q230" s="7">
        <f t="shared" si="31"/>
        <v>90.3</v>
      </c>
      <c r="S230" s="9">
        <f t="shared" si="32"/>
        <v>0</v>
      </c>
    </row>
    <row r="231" spans="1:19" x14ac:dyDescent="0.25">
      <c r="A231" s="14">
        <v>44197</v>
      </c>
      <c r="B231">
        <v>81.900000000000006</v>
      </c>
      <c r="C231" s="7">
        <v>90.5</v>
      </c>
      <c r="E231" s="22">
        <v>90.5</v>
      </c>
      <c r="F231" s="21">
        <v>90.9</v>
      </c>
      <c r="G231" s="20">
        <v>-0.4</v>
      </c>
      <c r="H231">
        <v>-7</v>
      </c>
      <c r="I231">
        <v>-1.6</v>
      </c>
      <c r="J231" s="76">
        <f t="shared" si="25"/>
        <v>-4.884004884004884E-3</v>
      </c>
      <c r="K231" s="76">
        <f t="shared" si="26"/>
        <v>-8.5470085470085458E-2</v>
      </c>
      <c r="L231" s="76">
        <f t="shared" si="27"/>
        <v>-1.9536019536019536E-2</v>
      </c>
      <c r="M231" s="76">
        <f t="shared" si="28"/>
        <v>99999999</v>
      </c>
      <c r="N231" s="76">
        <f t="shared" si="29"/>
        <v>-99999999</v>
      </c>
      <c r="P231" s="7">
        <f t="shared" si="30"/>
        <v>81.900000000000006</v>
      </c>
      <c r="Q231" s="7">
        <f t="shared" si="31"/>
        <v>90.5</v>
      </c>
      <c r="S231" s="9">
        <f t="shared" si="32"/>
        <v>0</v>
      </c>
    </row>
    <row r="232" spans="1:19" x14ac:dyDescent="0.25">
      <c r="A232" s="14">
        <v>44228</v>
      </c>
      <c r="B232">
        <v>79.099999999999994</v>
      </c>
      <c r="C232" s="7">
        <v>89.6</v>
      </c>
      <c r="E232" s="22">
        <v>89.6</v>
      </c>
      <c r="F232" s="21">
        <v>90</v>
      </c>
      <c r="G232" s="20">
        <v>-0.4</v>
      </c>
      <c r="H232">
        <v>-9.4</v>
      </c>
      <c r="I232">
        <v>-1.1000000000000001</v>
      </c>
      <c r="J232" s="76">
        <f t="shared" si="25"/>
        <v>-5.0568900126422255E-3</v>
      </c>
      <c r="K232" s="76">
        <f t="shared" si="26"/>
        <v>-0.1188369152970923</v>
      </c>
      <c r="L232" s="76">
        <f t="shared" si="27"/>
        <v>-1.3906447534766121E-2</v>
      </c>
      <c r="M232" s="76">
        <f t="shared" si="28"/>
        <v>99999999</v>
      </c>
      <c r="N232" s="76">
        <f t="shared" si="29"/>
        <v>-99999999</v>
      </c>
      <c r="P232" s="7">
        <f t="shared" si="30"/>
        <v>79.099999999999994</v>
      </c>
      <c r="Q232" s="7">
        <f t="shared" si="31"/>
        <v>89.6</v>
      </c>
      <c r="S232" s="9">
        <f t="shared" si="32"/>
        <v>0</v>
      </c>
    </row>
    <row r="233" spans="1:19" x14ac:dyDescent="0.25">
      <c r="A233" s="14">
        <v>44256</v>
      </c>
      <c r="B233">
        <v>86.1</v>
      </c>
      <c r="C233" s="7">
        <v>87.5</v>
      </c>
      <c r="E233" s="22">
        <v>87.5</v>
      </c>
      <c r="F233" s="21">
        <v>89</v>
      </c>
      <c r="G233" s="20">
        <v>-1.6</v>
      </c>
      <c r="H233">
        <v>-3.5</v>
      </c>
      <c r="I233">
        <v>2.1</v>
      </c>
      <c r="J233" s="76">
        <f t="shared" si="25"/>
        <v>-1.8583042973286879E-2</v>
      </c>
      <c r="K233" s="76">
        <f t="shared" si="26"/>
        <v>-4.0650406504065047E-2</v>
      </c>
      <c r="L233" s="76">
        <f t="shared" si="27"/>
        <v>2.4390243902439029E-2</v>
      </c>
      <c r="M233" s="76">
        <f t="shared" si="28"/>
        <v>99999999</v>
      </c>
      <c r="N233" s="76">
        <f t="shared" si="29"/>
        <v>-99999999</v>
      </c>
      <c r="P233" s="7">
        <f t="shared" si="30"/>
        <v>86</v>
      </c>
      <c r="Q233" s="7">
        <f t="shared" si="31"/>
        <v>87.4</v>
      </c>
      <c r="S233" s="9">
        <f t="shared" si="32"/>
        <v>0</v>
      </c>
    </row>
    <row r="234" spans="1:19" x14ac:dyDescent="0.25">
      <c r="A234" s="14">
        <v>44287</v>
      </c>
      <c r="B234">
        <v>81.3</v>
      </c>
      <c r="C234" s="7">
        <v>86.1</v>
      </c>
      <c r="E234" s="22">
        <v>86.1</v>
      </c>
      <c r="F234" s="21">
        <v>88.1</v>
      </c>
      <c r="G234" s="20">
        <v>-2</v>
      </c>
      <c r="H234">
        <v>-4.8</v>
      </c>
      <c r="I234">
        <v>0</v>
      </c>
      <c r="J234" s="76">
        <f t="shared" si="25"/>
        <v>-2.4600246002460024E-2</v>
      </c>
      <c r="K234" s="76">
        <f t="shared" si="26"/>
        <v>-5.9040590405904057E-2</v>
      </c>
      <c r="L234" s="76">
        <f t="shared" si="27"/>
        <v>0</v>
      </c>
      <c r="M234" s="76">
        <f t="shared" si="28"/>
        <v>99999999</v>
      </c>
      <c r="N234" s="76">
        <f t="shared" si="29"/>
        <v>-99999999</v>
      </c>
      <c r="P234" s="7">
        <f t="shared" si="30"/>
        <v>81.3</v>
      </c>
      <c r="Q234" s="7">
        <f t="shared" si="31"/>
        <v>86.1</v>
      </c>
      <c r="S234" s="9">
        <f t="shared" si="32"/>
        <v>0</v>
      </c>
    </row>
    <row r="235" spans="1:19" x14ac:dyDescent="0.25">
      <c r="A235" s="14">
        <v>44317</v>
      </c>
      <c r="B235">
        <v>88.4</v>
      </c>
      <c r="C235" s="7">
        <v>87.1</v>
      </c>
      <c r="E235" s="22">
        <v>87.1</v>
      </c>
      <c r="F235" s="21">
        <v>87.2</v>
      </c>
      <c r="G235" s="20">
        <v>-0.1</v>
      </c>
      <c r="H235">
        <v>2.2999999999999998</v>
      </c>
      <c r="I235">
        <v>-1</v>
      </c>
      <c r="J235" s="76">
        <f t="shared" si="25"/>
        <v>-1.1312217194570135E-3</v>
      </c>
      <c r="K235" s="76">
        <f t="shared" si="26"/>
        <v>2.601809954751131E-2</v>
      </c>
      <c r="L235" s="76">
        <f t="shared" si="27"/>
        <v>-1.1312217194570135E-2</v>
      </c>
      <c r="M235" s="76">
        <f t="shared" si="28"/>
        <v>99999999</v>
      </c>
      <c r="N235" s="76">
        <f t="shared" si="29"/>
        <v>-99999999</v>
      </c>
      <c r="P235" s="7">
        <f t="shared" si="30"/>
        <v>88.4</v>
      </c>
      <c r="Q235" s="7">
        <f t="shared" si="31"/>
        <v>87.100000000000009</v>
      </c>
      <c r="S235" s="9">
        <f t="shared" si="32"/>
        <v>0</v>
      </c>
    </row>
    <row r="236" spans="1:19" x14ac:dyDescent="0.25">
      <c r="A236" s="14">
        <v>44348</v>
      </c>
      <c r="B236">
        <v>87.9</v>
      </c>
      <c r="C236" s="7">
        <v>86.7</v>
      </c>
      <c r="E236" s="22">
        <v>86.7</v>
      </c>
      <c r="F236" s="21">
        <v>86.4</v>
      </c>
      <c r="G236" s="20">
        <v>0.3</v>
      </c>
      <c r="H236">
        <v>0.9</v>
      </c>
      <c r="I236">
        <v>0.3</v>
      </c>
      <c r="J236" s="76">
        <f t="shared" si="25"/>
        <v>3.4129692832764501E-3</v>
      </c>
      <c r="K236" s="76">
        <f t="shared" si="26"/>
        <v>1.0238907849829351E-2</v>
      </c>
      <c r="L236" s="76">
        <f t="shared" si="27"/>
        <v>3.4129692832764501E-3</v>
      </c>
      <c r="M236" s="76">
        <f t="shared" si="28"/>
        <v>99999999</v>
      </c>
      <c r="N236" s="76">
        <f t="shared" si="29"/>
        <v>-99999999</v>
      </c>
      <c r="P236" s="7">
        <f t="shared" si="30"/>
        <v>87.9</v>
      </c>
      <c r="Q236" s="7">
        <f t="shared" si="31"/>
        <v>86.7</v>
      </c>
      <c r="S236" s="9">
        <f t="shared" si="32"/>
        <v>0</v>
      </c>
    </row>
    <row r="237" spans="1:19" x14ac:dyDescent="0.25">
      <c r="A237" s="14">
        <v>44378</v>
      </c>
      <c r="B237">
        <v>92.2</v>
      </c>
      <c r="C237" s="7">
        <v>85.3</v>
      </c>
      <c r="E237" s="22">
        <v>85.3</v>
      </c>
      <c r="F237" s="21">
        <v>85.7</v>
      </c>
      <c r="G237" s="20">
        <v>-0.4</v>
      </c>
      <c r="H237">
        <v>6.3</v>
      </c>
      <c r="I237">
        <v>0.5</v>
      </c>
      <c r="J237" s="76">
        <f t="shared" si="25"/>
        <v>-4.3383947939262474E-3</v>
      </c>
      <c r="K237" s="76">
        <f t="shared" si="26"/>
        <v>6.8329718004338388E-2</v>
      </c>
      <c r="L237" s="76">
        <f t="shared" si="27"/>
        <v>5.4229934924078091E-3</v>
      </c>
      <c r="M237" s="76">
        <f t="shared" si="28"/>
        <v>99999999</v>
      </c>
      <c r="N237" s="76">
        <f t="shared" si="29"/>
        <v>-99999999</v>
      </c>
      <c r="P237" s="7">
        <f t="shared" si="30"/>
        <v>92.1</v>
      </c>
      <c r="Q237" s="7">
        <f t="shared" si="31"/>
        <v>85.3</v>
      </c>
      <c r="S237" s="9">
        <f t="shared" si="32"/>
        <v>0</v>
      </c>
    </row>
    <row r="238" spans="1:19" x14ac:dyDescent="0.25">
      <c r="A238" s="14">
        <v>44409</v>
      </c>
      <c r="B238">
        <v>93.4</v>
      </c>
      <c r="C238" s="7">
        <v>85.1</v>
      </c>
      <c r="E238" s="22">
        <v>85.1</v>
      </c>
      <c r="F238" s="21">
        <v>85.1</v>
      </c>
      <c r="G238" s="20">
        <v>0</v>
      </c>
      <c r="H238">
        <v>8.9</v>
      </c>
      <c r="I238">
        <v>-0.6</v>
      </c>
      <c r="J238" s="76">
        <f t="shared" si="25"/>
        <v>0</v>
      </c>
      <c r="K238" s="76">
        <f t="shared" si="26"/>
        <v>9.5289079229122053E-2</v>
      </c>
      <c r="L238" s="76">
        <f t="shared" si="27"/>
        <v>-6.423982869379014E-3</v>
      </c>
      <c r="M238" s="76">
        <f t="shared" si="28"/>
        <v>99999999</v>
      </c>
      <c r="N238" s="76">
        <f t="shared" si="29"/>
        <v>-99999999</v>
      </c>
      <c r="P238" s="7">
        <f t="shared" si="30"/>
        <v>93.4</v>
      </c>
      <c r="Q238" s="7">
        <f t="shared" si="31"/>
        <v>85.1</v>
      </c>
      <c r="S238" s="9">
        <f t="shared" si="32"/>
        <v>0</v>
      </c>
    </row>
    <row r="239" spans="1:19" x14ac:dyDescent="0.25">
      <c r="A239" s="14">
        <v>44440</v>
      </c>
      <c r="B239">
        <v>91.5</v>
      </c>
      <c r="C239" s="7">
        <v>84.6</v>
      </c>
      <c r="E239" s="22">
        <v>84.6</v>
      </c>
      <c r="F239" s="21">
        <v>84.7</v>
      </c>
      <c r="G239" s="20">
        <v>-0.1</v>
      </c>
      <c r="H239">
        <v>6.2</v>
      </c>
      <c r="I239">
        <v>0.7</v>
      </c>
      <c r="J239" s="76">
        <f t="shared" si="25"/>
        <v>-1.092896174863388E-3</v>
      </c>
      <c r="K239" s="76">
        <f t="shared" si="26"/>
        <v>6.7759562841530063E-2</v>
      </c>
      <c r="L239" s="76">
        <f t="shared" si="27"/>
        <v>7.650273224043715E-3</v>
      </c>
      <c r="M239" s="76">
        <f t="shared" si="28"/>
        <v>99999999</v>
      </c>
      <c r="N239" s="76">
        <f t="shared" si="29"/>
        <v>-99999999</v>
      </c>
      <c r="P239" s="7">
        <f t="shared" si="30"/>
        <v>91.500000000000014</v>
      </c>
      <c r="Q239" s="7">
        <f t="shared" si="31"/>
        <v>84.600000000000009</v>
      </c>
      <c r="S239" s="9">
        <f t="shared" si="32"/>
        <v>0</v>
      </c>
    </row>
    <row r="240" spans="1:19" x14ac:dyDescent="0.25">
      <c r="A240" s="14">
        <v>44470</v>
      </c>
      <c r="B240">
        <v>89.7</v>
      </c>
      <c r="C240" s="7">
        <v>84.2</v>
      </c>
      <c r="E240" s="22">
        <v>84.2</v>
      </c>
      <c r="F240" s="21">
        <v>84.6</v>
      </c>
      <c r="G240" s="20">
        <v>-0.4</v>
      </c>
      <c r="H240">
        <v>7.1</v>
      </c>
      <c r="I240">
        <v>-1.6</v>
      </c>
      <c r="J240" s="76">
        <f t="shared" si="25"/>
        <v>-4.459308807134894E-3</v>
      </c>
      <c r="K240" s="76">
        <f t="shared" si="26"/>
        <v>7.9152731326644368E-2</v>
      </c>
      <c r="L240" s="76">
        <f t="shared" si="27"/>
        <v>-1.7837235228539576E-2</v>
      </c>
      <c r="M240" s="76">
        <f t="shared" si="28"/>
        <v>99999999</v>
      </c>
      <c r="N240" s="76">
        <f t="shared" si="29"/>
        <v>-99999999</v>
      </c>
      <c r="P240" s="7">
        <f t="shared" si="30"/>
        <v>89.699999999999989</v>
      </c>
      <c r="Q240" s="7">
        <f t="shared" si="31"/>
        <v>84.199999999999989</v>
      </c>
      <c r="S240" s="9">
        <f t="shared" si="32"/>
        <v>0</v>
      </c>
    </row>
    <row r="241" spans="1:19" x14ac:dyDescent="0.25">
      <c r="A241" s="14">
        <v>44501</v>
      </c>
      <c r="B241">
        <v>86.2</v>
      </c>
      <c r="C241" s="7">
        <v>84.2</v>
      </c>
      <c r="E241" s="22">
        <v>84.2</v>
      </c>
      <c r="F241" s="21">
        <v>84.7</v>
      </c>
      <c r="G241" s="20">
        <v>-0.5</v>
      </c>
      <c r="H241">
        <v>1.1000000000000001</v>
      </c>
      <c r="I241">
        <v>0.9</v>
      </c>
      <c r="J241" s="76">
        <f t="shared" si="25"/>
        <v>-5.8004640371229696E-3</v>
      </c>
      <c r="K241" s="76">
        <f t="shared" si="26"/>
        <v>1.2761020881670535E-2</v>
      </c>
      <c r="L241" s="76">
        <f t="shared" si="27"/>
        <v>1.0440835266821345E-2</v>
      </c>
      <c r="M241" s="76">
        <f t="shared" si="28"/>
        <v>99999999</v>
      </c>
      <c r="N241" s="76">
        <f t="shared" si="29"/>
        <v>-99999999</v>
      </c>
      <c r="P241" s="7">
        <f t="shared" si="30"/>
        <v>86.2</v>
      </c>
      <c r="Q241" s="7">
        <f t="shared" si="31"/>
        <v>84.2</v>
      </c>
      <c r="S241" s="9">
        <f t="shared" si="32"/>
        <v>0</v>
      </c>
    </row>
    <row r="242" spans="1:19" x14ac:dyDescent="0.25">
      <c r="A242" s="14">
        <v>44531</v>
      </c>
      <c r="B242">
        <v>79.2</v>
      </c>
      <c r="C242" s="7">
        <v>86.6</v>
      </c>
      <c r="E242" s="22">
        <v>86.6</v>
      </c>
      <c r="F242" s="21">
        <v>85</v>
      </c>
      <c r="G242" s="20">
        <v>1.5</v>
      </c>
      <c r="H242">
        <v>-8.1</v>
      </c>
      <c r="I242">
        <v>0.7</v>
      </c>
      <c r="J242" s="76">
        <f t="shared" si="25"/>
        <v>1.893939393939394E-2</v>
      </c>
      <c r="K242" s="76">
        <f t="shared" si="26"/>
        <v>-0.10227272727272727</v>
      </c>
      <c r="L242" s="76">
        <f t="shared" si="27"/>
        <v>8.8383838383838381E-3</v>
      </c>
      <c r="M242" s="76">
        <f t="shared" si="28"/>
        <v>99999999</v>
      </c>
      <c r="N242" s="76">
        <f t="shared" si="29"/>
        <v>-99999999</v>
      </c>
      <c r="P242" s="7">
        <f t="shared" si="30"/>
        <v>79.100000000000009</v>
      </c>
      <c r="Q242" s="7">
        <f t="shared" si="31"/>
        <v>86.5</v>
      </c>
      <c r="S242" s="9">
        <f t="shared" si="32"/>
        <v>0</v>
      </c>
    </row>
    <row r="243" spans="1:19" x14ac:dyDescent="0.25">
      <c r="A243" s="1"/>
    </row>
    <row r="244" spans="1:19" x14ac:dyDescent="0.25">
      <c r="A244" s="1"/>
    </row>
    <row r="245" spans="1:19" x14ac:dyDescent="0.25">
      <c r="A245" s="1"/>
    </row>
    <row r="246" spans="1:19" x14ac:dyDescent="0.25">
      <c r="A246" s="1"/>
    </row>
  </sheetData>
  <pageMargins left="0.511811024" right="0.511811024" top="0.78740157499999996" bottom="0.78740157499999996" header="0.31496062000000002" footer="0.31496062000000002"/>
  <drawing r:id="rId1"/>
  <legacy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3C7B296-BA8B-496B-9E84-1FE170AD2882}">
  <sheetPr codeName="Planilha2">
    <tabColor theme="4" tint="0.59999389629810485"/>
  </sheetPr>
  <dimension ref="A1:H7"/>
  <sheetViews>
    <sheetView showGridLines="0" zoomScale="115" zoomScaleNormal="115" workbookViewId="0">
      <selection sqref="A1:F1"/>
    </sheetView>
  </sheetViews>
  <sheetFormatPr defaultColWidth="0" defaultRowHeight="15" x14ac:dyDescent="0.25"/>
  <cols>
    <col min="1" max="1" width="12.140625" customWidth="1"/>
    <col min="2" max="2" width="68.28515625" customWidth="1"/>
    <col min="3" max="3" width="12.140625" customWidth="1"/>
    <col min="4" max="4" width="52" customWidth="1"/>
    <col min="5" max="5" width="12.140625" customWidth="1"/>
    <col min="6" max="6" width="52" customWidth="1"/>
    <col min="7" max="7" width="2.42578125" customWidth="1"/>
    <col min="8" max="8" width="0" hidden="1" customWidth="1"/>
    <col min="9" max="16384" width="9.140625" hidden="1"/>
  </cols>
  <sheetData>
    <row r="1" spans="1:7" ht="48.75" customHeight="1" x14ac:dyDescent="0.35">
      <c r="A1" s="74" t="s">
        <v>131</v>
      </c>
      <c r="B1" s="74"/>
      <c r="C1" s="74"/>
      <c r="D1" s="74"/>
      <c r="E1" s="74"/>
      <c r="F1" s="74"/>
    </row>
    <row r="2" spans="1:7" x14ac:dyDescent="0.25">
      <c r="A2" s="2" t="s">
        <v>10</v>
      </c>
      <c r="B2" s="2" t="s">
        <v>0</v>
      </c>
      <c r="C2" s="2" t="s">
        <v>10</v>
      </c>
      <c r="D2" s="2" t="s">
        <v>0</v>
      </c>
      <c r="E2" s="2" t="s">
        <v>10</v>
      </c>
      <c r="F2" s="2" t="s">
        <v>0</v>
      </c>
    </row>
    <row r="3" spans="1:7" ht="405" x14ac:dyDescent="0.25">
      <c r="A3" s="23" t="s">
        <v>1</v>
      </c>
      <c r="B3" s="3" t="s">
        <v>130</v>
      </c>
      <c r="C3" s="23" t="s">
        <v>2</v>
      </c>
      <c r="D3" s="3" t="s">
        <v>132</v>
      </c>
      <c r="E3" s="23" t="s">
        <v>29</v>
      </c>
      <c r="F3" s="3" t="s">
        <v>3</v>
      </c>
    </row>
    <row r="4" spans="1:7" s="10" customFormat="1" x14ac:dyDescent="0.25">
      <c r="A4" s="10" t="s">
        <v>10</v>
      </c>
      <c r="B4" s="10" t="s">
        <v>0</v>
      </c>
      <c r="C4" s="10" t="s">
        <v>0</v>
      </c>
      <c r="D4" s="10" t="s">
        <v>0</v>
      </c>
      <c r="E4" s="10" t="s">
        <v>0</v>
      </c>
      <c r="F4" s="10" t="s">
        <v>0</v>
      </c>
      <c r="G4" s="10" t="s">
        <v>0</v>
      </c>
    </row>
    <row r="5" spans="1:7" ht="330" x14ac:dyDescent="0.25">
      <c r="A5" s="23" t="s">
        <v>101</v>
      </c>
      <c r="B5" s="25" t="s">
        <v>133</v>
      </c>
      <c r="C5" s="23" t="s">
        <v>102</v>
      </c>
      <c r="D5" s="25" t="s">
        <v>134</v>
      </c>
      <c r="E5" s="23" t="s">
        <v>100</v>
      </c>
      <c r="F5" s="25" t="s">
        <v>135</v>
      </c>
    </row>
    <row r="6" spans="1:7" x14ac:dyDescent="0.25">
      <c r="A6" s="10" t="s">
        <v>10</v>
      </c>
      <c r="B6" s="10" t="s">
        <v>0</v>
      </c>
      <c r="C6" s="11"/>
      <c r="D6" s="10"/>
      <c r="E6" s="10"/>
      <c r="F6" s="10"/>
    </row>
    <row r="7" spans="1:7" ht="255" x14ac:dyDescent="0.25">
      <c r="A7" s="23" t="s">
        <v>82</v>
      </c>
      <c r="B7" s="3" t="s">
        <v>136</v>
      </c>
      <c r="C7" s="23"/>
      <c r="D7" s="25"/>
      <c r="E7" s="23"/>
      <c r="F7" s="3"/>
    </row>
  </sheetData>
  <mergeCells count="1">
    <mergeCell ref="A1:F1"/>
  </mergeCells>
  <pageMargins left="0.511811024" right="0.511811024" top="0.78740157499999996" bottom="0.78740157499999996" header="0.31496062000000002" footer="0.31496062000000002"/>
  <pageSetup paperSize="9" orientation="portrait" horizontalDpi="300" verticalDpi="300"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Planilhas</vt:lpstr>
      </vt:variant>
      <vt:variant>
        <vt:i4>11</vt:i4>
      </vt:variant>
    </vt:vector>
  </HeadingPairs>
  <TitlesOfParts>
    <vt:vector size="11" baseType="lpstr">
      <vt:lpstr>General</vt:lpstr>
      <vt:lpstr>Installation</vt:lpstr>
      <vt:lpstr>Step-by-Step</vt:lpstr>
      <vt:lpstr>Quarterly - GDP</vt:lpstr>
      <vt:lpstr>Monthly - IBC-Br</vt:lpstr>
      <vt:lpstr>Monthly - Ind Prod</vt:lpstr>
      <vt:lpstr>Appending Forecasts</vt:lpstr>
      <vt:lpstr>Mult series same spec</vt:lpstr>
      <vt:lpstr>Mult series mult spec</vt:lpstr>
      <vt:lpstr>Decomposition</vt:lpstr>
      <vt:lpstr>Specs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Eduardo</dc:creator>
  <cp:lastModifiedBy>Eduardo</cp:lastModifiedBy>
  <dcterms:created xsi:type="dcterms:W3CDTF">2022-01-12T01:16:32Z</dcterms:created>
  <dcterms:modified xsi:type="dcterms:W3CDTF">2022-02-24T21:24:19Z</dcterms:modified>
</cp:coreProperties>
</file>