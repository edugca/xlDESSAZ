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9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Eduardo\Google Drive\Meus Projetos\xlDESSAZ\"/>
    </mc:Choice>
  </mc:AlternateContent>
  <xr:revisionPtr revIDLastSave="0" documentId="13_ncr:1_{6B81FC20-C383-469A-BEC0-E2302E7BE7FB}" xr6:coauthVersionLast="47" xr6:coauthVersionMax="47" xr10:uidLastSave="{00000000-0000-0000-0000-000000000000}"/>
  <bookViews>
    <workbookView xWindow="-120" yWindow="-120" windowWidth="26760" windowHeight="14520" xr2:uid="{F29B9D70-8009-4EED-BCE5-54F79349A668}"/>
  </bookViews>
  <sheets>
    <sheet name="Step 1 - Check BR" sheetId="4" r:id="rId1"/>
    <sheet name="Step 2- Check US" sheetId="16" r:id="rId2"/>
    <sheet name="BR OBS" sheetId="14" r:id="rId3"/>
    <sheet name="BR SA" sheetId="15" r:id="rId4"/>
    <sheet name="Specs" sheetId="2" r:id="rId5"/>
  </sheets>
  <functionGroups builtInGroupCount="19"/>
  <externalReferences>
    <externalReference r:id="rId6"/>
  </externalReferences>
  <definedNames>
    <definedName name="_xlpm.x" hidden="1" xlm="1">#NAME?</definedName>
    <definedName name="Holidays">[1]Holidays!$A$2:$A$937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S107" i="4" l="1"/>
  <c r="AR107" i="4"/>
  <c r="AQ107" i="4"/>
  <c r="AP107" i="4"/>
  <c r="AO107" i="4"/>
  <c r="AN107" i="4"/>
  <c r="AM107" i="4"/>
  <c r="AL107" i="4"/>
  <c r="AK107" i="4"/>
  <c r="AJ107" i="4"/>
  <c r="AI107" i="4"/>
  <c r="AH107" i="4"/>
  <c r="AG107" i="4"/>
  <c r="AF107" i="4"/>
  <c r="AE107" i="4"/>
  <c r="AD107" i="4"/>
  <c r="AC107" i="4"/>
  <c r="AB107" i="4"/>
  <c r="AA107" i="4"/>
  <c r="Z107" i="4"/>
  <c r="Y107" i="4"/>
  <c r="W107" i="4"/>
  <c r="V107" i="4"/>
  <c r="U107" i="4"/>
  <c r="T107" i="4"/>
  <c r="S107" i="4"/>
  <c r="R107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C107" i="4"/>
  <c r="B107" i="4"/>
  <c r="AS106" i="4"/>
  <c r="AR106" i="4"/>
  <c r="AQ106" i="4"/>
  <c r="AP106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6" i="4"/>
  <c r="D106" i="4"/>
  <c r="C106" i="4"/>
  <c r="B106" i="4"/>
  <c r="AS105" i="4"/>
  <c r="AR105" i="4"/>
  <c r="AQ105" i="4"/>
  <c r="AP105" i="4"/>
  <c r="AO105" i="4"/>
  <c r="AN105" i="4"/>
  <c r="AM105" i="4"/>
  <c r="AL105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W105" i="4"/>
  <c r="V105" i="4"/>
  <c r="U105" i="4"/>
  <c r="T105" i="4"/>
  <c r="S105" i="4"/>
  <c r="R105" i="4"/>
  <c r="Q105" i="4"/>
  <c r="P105" i="4"/>
  <c r="O105" i="4"/>
  <c r="N105" i="4"/>
  <c r="M105" i="4"/>
  <c r="L105" i="4"/>
  <c r="K105" i="4"/>
  <c r="J105" i="4"/>
  <c r="I105" i="4"/>
  <c r="H105" i="4"/>
  <c r="G105" i="4"/>
  <c r="F105" i="4"/>
  <c r="E105" i="4"/>
  <c r="D105" i="4"/>
  <c r="C105" i="4"/>
  <c r="B105" i="4"/>
  <c r="AS104" i="4"/>
  <c r="AR104" i="4"/>
  <c r="AQ104" i="4"/>
  <c r="AP104" i="4"/>
  <c r="AO104" i="4"/>
  <c r="AN104" i="4"/>
  <c r="AM104" i="4"/>
  <c r="AL104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W104" i="4"/>
  <c r="V104" i="4"/>
  <c r="U104" i="4"/>
  <c r="T104" i="4"/>
  <c r="S104" i="4"/>
  <c r="R104" i="4"/>
  <c r="Q104" i="4"/>
  <c r="P104" i="4"/>
  <c r="O104" i="4"/>
  <c r="N104" i="4"/>
  <c r="M104" i="4"/>
  <c r="L104" i="4"/>
  <c r="K104" i="4"/>
  <c r="J104" i="4"/>
  <c r="I104" i="4"/>
  <c r="H104" i="4"/>
  <c r="G104" i="4"/>
  <c r="F104" i="4"/>
  <c r="E104" i="4"/>
  <c r="D104" i="4"/>
  <c r="C104" i="4"/>
  <c r="B104" i="4"/>
  <c r="AS103" i="4"/>
  <c r="AR103" i="4"/>
  <c r="AQ103" i="4"/>
  <c r="AP103" i="4"/>
  <c r="AO103" i="4"/>
  <c r="AN103" i="4"/>
  <c r="AM103" i="4"/>
  <c r="AL103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W103" i="4"/>
  <c r="V103" i="4"/>
  <c r="U103" i="4"/>
  <c r="T103" i="4"/>
  <c r="S103" i="4"/>
  <c r="R103" i="4"/>
  <c r="Q103" i="4"/>
  <c r="P103" i="4"/>
  <c r="O103" i="4"/>
  <c r="N103" i="4"/>
  <c r="M103" i="4"/>
  <c r="L103" i="4"/>
  <c r="K103" i="4"/>
  <c r="J103" i="4"/>
  <c r="I103" i="4"/>
  <c r="H103" i="4"/>
  <c r="G103" i="4"/>
  <c r="F103" i="4"/>
  <c r="E103" i="4"/>
  <c r="D103" i="4"/>
  <c r="C103" i="4"/>
  <c r="B103" i="4"/>
  <c r="AS102" i="4"/>
  <c r="AR102" i="4"/>
  <c r="AQ102" i="4"/>
  <c r="AP102" i="4"/>
  <c r="AO102" i="4"/>
  <c r="AN102" i="4"/>
  <c r="AM102" i="4"/>
  <c r="AL102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W102" i="4"/>
  <c r="V102" i="4"/>
  <c r="U102" i="4"/>
  <c r="T102" i="4"/>
  <c r="S102" i="4"/>
  <c r="R102" i="4"/>
  <c r="Q102" i="4"/>
  <c r="P102" i="4"/>
  <c r="O102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B102" i="4"/>
  <c r="AS101" i="4"/>
  <c r="AR101" i="4"/>
  <c r="AQ101" i="4"/>
  <c r="AP101" i="4"/>
  <c r="AO101" i="4"/>
  <c r="AN101" i="4"/>
  <c r="AM101" i="4"/>
  <c r="AL101" i="4"/>
  <c r="AK101" i="4"/>
  <c r="AJ101" i="4"/>
  <c r="AI101" i="4"/>
  <c r="AH101" i="4"/>
  <c r="AG101" i="4"/>
  <c r="AF101" i="4"/>
  <c r="AE101" i="4"/>
  <c r="AD101" i="4"/>
  <c r="AC101" i="4"/>
  <c r="AB101" i="4"/>
  <c r="AA101" i="4"/>
  <c r="Z101" i="4"/>
  <c r="Y101" i="4"/>
  <c r="W101" i="4"/>
  <c r="V101" i="4"/>
  <c r="U101" i="4"/>
  <c r="T101" i="4"/>
  <c r="S101" i="4"/>
  <c r="R101" i="4"/>
  <c r="Q101" i="4"/>
  <c r="P101" i="4"/>
  <c r="O101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AS100" i="4"/>
  <c r="AR100" i="4"/>
  <c r="AQ100" i="4"/>
  <c r="AP100" i="4"/>
  <c r="AO100" i="4"/>
  <c r="AN100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A100" i="4"/>
  <c r="Z100" i="4"/>
  <c r="Y100" i="4"/>
  <c r="W100" i="4"/>
  <c r="V100" i="4"/>
  <c r="U100" i="4"/>
  <c r="T100" i="4"/>
  <c r="S100" i="4"/>
  <c r="R100" i="4"/>
  <c r="Q100" i="4"/>
  <c r="P100" i="4"/>
  <c r="O100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B100" i="4"/>
  <c r="AS99" i="4"/>
  <c r="AR99" i="4"/>
  <c r="AQ99" i="4"/>
  <c r="AP99" i="4"/>
  <c r="AO99" i="4"/>
  <c r="AN99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A99" i="4"/>
  <c r="Z99" i="4"/>
  <c r="Y99" i="4"/>
  <c r="W99" i="4"/>
  <c r="V99" i="4"/>
  <c r="U99" i="4"/>
  <c r="T99" i="4"/>
  <c r="S99" i="4"/>
  <c r="R99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C99" i="4"/>
  <c r="B99" i="4"/>
  <c r="AS98" i="4"/>
  <c r="AR98" i="4"/>
  <c r="AQ98" i="4"/>
  <c r="AP98" i="4"/>
  <c r="AO98" i="4"/>
  <c r="AN98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A98" i="4"/>
  <c r="Z98" i="4"/>
  <c r="Y98" i="4"/>
  <c r="W98" i="4"/>
  <c r="V98" i="4"/>
  <c r="U98" i="4"/>
  <c r="T98" i="4"/>
  <c r="S98" i="4"/>
  <c r="R98" i="4"/>
  <c r="Q98" i="4"/>
  <c r="P98" i="4"/>
  <c r="O98" i="4"/>
  <c r="N98" i="4"/>
  <c r="M98" i="4"/>
  <c r="L98" i="4"/>
  <c r="K98" i="4"/>
  <c r="J98" i="4"/>
  <c r="I98" i="4"/>
  <c r="H98" i="4"/>
  <c r="G98" i="4"/>
  <c r="F98" i="4"/>
  <c r="E98" i="4"/>
  <c r="D98" i="4"/>
  <c r="C98" i="4"/>
  <c r="B98" i="4"/>
  <c r="AS97" i="4"/>
  <c r="AR97" i="4"/>
  <c r="AQ97" i="4"/>
  <c r="AP97" i="4"/>
  <c r="AO97" i="4"/>
  <c r="AN97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A97" i="4"/>
  <c r="Z97" i="4"/>
  <c r="Y97" i="4"/>
  <c r="W97" i="4"/>
  <c r="V97" i="4"/>
  <c r="U97" i="4"/>
  <c r="T97" i="4"/>
  <c r="S97" i="4"/>
  <c r="R97" i="4"/>
  <c r="Q97" i="4"/>
  <c r="P97" i="4"/>
  <c r="O97" i="4"/>
  <c r="N97" i="4"/>
  <c r="M97" i="4"/>
  <c r="L97" i="4"/>
  <c r="K97" i="4"/>
  <c r="J97" i="4"/>
  <c r="I97" i="4"/>
  <c r="H97" i="4"/>
  <c r="G97" i="4"/>
  <c r="F97" i="4"/>
  <c r="E97" i="4"/>
  <c r="D97" i="4"/>
  <c r="C97" i="4"/>
  <c r="B97" i="4"/>
  <c r="AS96" i="4"/>
  <c r="AR96" i="4"/>
  <c r="AQ96" i="4"/>
  <c r="AP96" i="4"/>
  <c r="AO96" i="4"/>
  <c r="AN96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A96" i="4"/>
  <c r="Z96" i="4"/>
  <c r="Y96" i="4"/>
  <c r="W96" i="4"/>
  <c r="V96" i="4"/>
  <c r="U96" i="4"/>
  <c r="T96" i="4"/>
  <c r="S96" i="4"/>
  <c r="R96" i="4"/>
  <c r="Q96" i="4"/>
  <c r="P96" i="4"/>
  <c r="O96" i="4"/>
  <c r="N96" i="4"/>
  <c r="M96" i="4"/>
  <c r="L96" i="4"/>
  <c r="K96" i="4"/>
  <c r="J96" i="4"/>
  <c r="I96" i="4"/>
  <c r="H96" i="4"/>
  <c r="G96" i="4"/>
  <c r="F96" i="4"/>
  <c r="E96" i="4"/>
  <c r="D96" i="4"/>
  <c r="C96" i="4"/>
  <c r="B96" i="4"/>
  <c r="AS95" i="4"/>
  <c r="AR95" i="4"/>
  <c r="AQ95" i="4"/>
  <c r="AP95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5" i="4"/>
  <c r="D95" i="4"/>
  <c r="C95" i="4"/>
  <c r="B95" i="4"/>
  <c r="AS94" i="4"/>
  <c r="AR94" i="4"/>
  <c r="AQ94" i="4"/>
  <c r="AP94" i="4"/>
  <c r="AO94" i="4"/>
  <c r="AN94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A94" i="4"/>
  <c r="Z94" i="4"/>
  <c r="Y94" i="4"/>
  <c r="W94" i="4"/>
  <c r="V94" i="4"/>
  <c r="U94" i="4"/>
  <c r="T94" i="4"/>
  <c r="S94" i="4"/>
  <c r="R94" i="4"/>
  <c r="Q94" i="4"/>
  <c r="P94" i="4"/>
  <c r="O94" i="4"/>
  <c r="N94" i="4"/>
  <c r="M94" i="4"/>
  <c r="L94" i="4"/>
  <c r="K94" i="4"/>
  <c r="J94" i="4"/>
  <c r="I94" i="4"/>
  <c r="H94" i="4"/>
  <c r="G94" i="4"/>
  <c r="F94" i="4"/>
  <c r="E94" i="4"/>
  <c r="D94" i="4"/>
  <c r="C94" i="4"/>
  <c r="B94" i="4"/>
  <c r="AS93" i="4"/>
  <c r="AR93" i="4"/>
  <c r="AQ93" i="4"/>
  <c r="AP93" i="4"/>
  <c r="AO93" i="4"/>
  <c r="AN93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A93" i="4"/>
  <c r="Z93" i="4"/>
  <c r="Y93" i="4"/>
  <c r="W93" i="4"/>
  <c r="V93" i="4"/>
  <c r="U93" i="4"/>
  <c r="T93" i="4"/>
  <c r="S93" i="4"/>
  <c r="R93" i="4"/>
  <c r="Q93" i="4"/>
  <c r="P93" i="4"/>
  <c r="O93" i="4"/>
  <c r="N93" i="4"/>
  <c r="M93" i="4"/>
  <c r="L93" i="4"/>
  <c r="K93" i="4"/>
  <c r="J93" i="4"/>
  <c r="I93" i="4"/>
  <c r="H93" i="4"/>
  <c r="G93" i="4"/>
  <c r="F93" i="4"/>
  <c r="E93" i="4"/>
  <c r="D93" i="4"/>
  <c r="C93" i="4"/>
  <c r="B93" i="4"/>
  <c r="AS92" i="4"/>
  <c r="AR92" i="4"/>
  <c r="AQ92" i="4"/>
  <c r="AP92" i="4"/>
  <c r="AO92" i="4"/>
  <c r="AN92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A92" i="4"/>
  <c r="Z92" i="4"/>
  <c r="Y92" i="4"/>
  <c r="W92" i="4"/>
  <c r="V92" i="4"/>
  <c r="U92" i="4"/>
  <c r="T92" i="4"/>
  <c r="S92" i="4"/>
  <c r="R92" i="4"/>
  <c r="Q92" i="4"/>
  <c r="P92" i="4"/>
  <c r="O92" i="4"/>
  <c r="N92" i="4"/>
  <c r="M92" i="4"/>
  <c r="L92" i="4"/>
  <c r="K92" i="4"/>
  <c r="J92" i="4"/>
  <c r="I92" i="4"/>
  <c r="H92" i="4"/>
  <c r="G92" i="4"/>
  <c r="F92" i="4"/>
  <c r="E92" i="4"/>
  <c r="D92" i="4"/>
  <c r="C92" i="4"/>
  <c r="B92" i="4"/>
  <c r="AS91" i="4"/>
  <c r="AR91" i="4"/>
  <c r="AQ91" i="4"/>
  <c r="AP91" i="4"/>
  <c r="AO91" i="4"/>
  <c r="AN91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A91" i="4"/>
  <c r="Z91" i="4"/>
  <c r="Y91" i="4"/>
  <c r="W91" i="4"/>
  <c r="V91" i="4"/>
  <c r="U91" i="4"/>
  <c r="T91" i="4"/>
  <c r="S91" i="4"/>
  <c r="R91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C91" i="4"/>
  <c r="B91" i="4"/>
  <c r="AS90" i="4"/>
  <c r="AR90" i="4"/>
  <c r="AQ90" i="4"/>
  <c r="AP90" i="4"/>
  <c r="AO90" i="4"/>
  <c r="AN90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W90" i="4"/>
  <c r="V90" i="4"/>
  <c r="U90" i="4"/>
  <c r="T90" i="4"/>
  <c r="S90" i="4"/>
  <c r="R90" i="4"/>
  <c r="Q90" i="4"/>
  <c r="P90" i="4"/>
  <c r="O90" i="4"/>
  <c r="N90" i="4"/>
  <c r="M90" i="4"/>
  <c r="L90" i="4"/>
  <c r="K90" i="4"/>
  <c r="J90" i="4"/>
  <c r="I90" i="4"/>
  <c r="H90" i="4"/>
  <c r="G90" i="4"/>
  <c r="F90" i="4"/>
  <c r="E90" i="4"/>
  <c r="D90" i="4"/>
  <c r="C90" i="4"/>
  <c r="B90" i="4"/>
  <c r="AS89" i="4"/>
  <c r="AR89" i="4"/>
  <c r="AQ89" i="4"/>
  <c r="AP89" i="4"/>
  <c r="AO89" i="4"/>
  <c r="AN89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A89" i="4"/>
  <c r="Z89" i="4"/>
  <c r="Y89" i="4"/>
  <c r="W89" i="4"/>
  <c r="V89" i="4"/>
  <c r="U89" i="4"/>
  <c r="T89" i="4"/>
  <c r="S89" i="4"/>
  <c r="R89" i="4"/>
  <c r="Q89" i="4"/>
  <c r="P89" i="4"/>
  <c r="O89" i="4"/>
  <c r="N89" i="4"/>
  <c r="M89" i="4"/>
  <c r="L89" i="4"/>
  <c r="K89" i="4"/>
  <c r="J89" i="4"/>
  <c r="I89" i="4"/>
  <c r="H89" i="4"/>
  <c r="G89" i="4"/>
  <c r="F89" i="4"/>
  <c r="E89" i="4"/>
  <c r="D89" i="4"/>
  <c r="C89" i="4"/>
  <c r="B89" i="4"/>
  <c r="AS88" i="4"/>
  <c r="AR88" i="4"/>
  <c r="AQ88" i="4"/>
  <c r="AP88" i="4"/>
  <c r="AO88" i="4"/>
  <c r="AN88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A88" i="4"/>
  <c r="Z88" i="4"/>
  <c r="Y88" i="4"/>
  <c r="W88" i="4"/>
  <c r="V88" i="4"/>
  <c r="U88" i="4"/>
  <c r="T88" i="4"/>
  <c r="S88" i="4"/>
  <c r="R88" i="4"/>
  <c r="Q88" i="4"/>
  <c r="P88" i="4"/>
  <c r="O88" i="4"/>
  <c r="N88" i="4"/>
  <c r="M88" i="4"/>
  <c r="L88" i="4"/>
  <c r="K88" i="4"/>
  <c r="J88" i="4"/>
  <c r="I88" i="4"/>
  <c r="H88" i="4"/>
  <c r="G88" i="4"/>
  <c r="F88" i="4"/>
  <c r="E88" i="4"/>
  <c r="D88" i="4"/>
  <c r="C88" i="4"/>
  <c r="B88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7" i="4"/>
  <c r="B87" i="4"/>
  <c r="AS86" i="4"/>
  <c r="AR86" i="4"/>
  <c r="AQ86" i="4"/>
  <c r="AP86" i="4"/>
  <c r="AO86" i="4"/>
  <c r="AN86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A86" i="4"/>
  <c r="Z86" i="4"/>
  <c r="Y86" i="4"/>
  <c r="W86" i="4"/>
  <c r="V86" i="4"/>
  <c r="U86" i="4"/>
  <c r="T86" i="4"/>
  <c r="S86" i="4"/>
  <c r="R86" i="4"/>
  <c r="Q86" i="4"/>
  <c r="P86" i="4"/>
  <c r="O86" i="4"/>
  <c r="N86" i="4"/>
  <c r="M86" i="4"/>
  <c r="L86" i="4"/>
  <c r="K86" i="4"/>
  <c r="J86" i="4"/>
  <c r="I86" i="4"/>
  <c r="H86" i="4"/>
  <c r="G86" i="4"/>
  <c r="F86" i="4"/>
  <c r="E86" i="4"/>
  <c r="D86" i="4"/>
  <c r="C86" i="4"/>
  <c r="B86" i="4"/>
  <c r="AS85" i="4"/>
  <c r="AR85" i="4"/>
  <c r="AQ85" i="4"/>
  <c r="AP85" i="4"/>
  <c r="AO85" i="4"/>
  <c r="AN85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A85" i="4"/>
  <c r="Z85" i="4"/>
  <c r="Y85" i="4"/>
  <c r="W85" i="4"/>
  <c r="V85" i="4"/>
  <c r="U85" i="4"/>
  <c r="T85" i="4"/>
  <c r="S85" i="4"/>
  <c r="R85" i="4"/>
  <c r="Q85" i="4"/>
  <c r="P85" i="4"/>
  <c r="O85" i="4"/>
  <c r="N85" i="4"/>
  <c r="M85" i="4"/>
  <c r="L85" i="4"/>
  <c r="K85" i="4"/>
  <c r="J85" i="4"/>
  <c r="I85" i="4"/>
  <c r="H85" i="4"/>
  <c r="G85" i="4"/>
  <c r="F85" i="4"/>
  <c r="E85" i="4"/>
  <c r="D85" i="4"/>
  <c r="C85" i="4"/>
  <c r="B85" i="4"/>
  <c r="AS84" i="4"/>
  <c r="AR84" i="4"/>
  <c r="AQ84" i="4"/>
  <c r="AP84" i="4"/>
  <c r="AO84" i="4"/>
  <c r="AN84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A84" i="4"/>
  <c r="Z84" i="4"/>
  <c r="Y84" i="4"/>
  <c r="W84" i="4"/>
  <c r="V84" i="4"/>
  <c r="U84" i="4"/>
  <c r="T84" i="4"/>
  <c r="S84" i="4"/>
  <c r="R84" i="4"/>
  <c r="Q84" i="4"/>
  <c r="P84" i="4"/>
  <c r="O84" i="4"/>
  <c r="N84" i="4"/>
  <c r="M84" i="4"/>
  <c r="L84" i="4"/>
  <c r="K84" i="4"/>
  <c r="J84" i="4"/>
  <c r="I84" i="4"/>
  <c r="H84" i="4"/>
  <c r="G84" i="4"/>
  <c r="F84" i="4"/>
  <c r="E84" i="4"/>
  <c r="D84" i="4"/>
  <c r="C84" i="4"/>
  <c r="B84" i="4"/>
  <c r="AS83" i="4"/>
  <c r="AR83" i="4"/>
  <c r="AQ83" i="4"/>
  <c r="AP83" i="4"/>
  <c r="AO83" i="4"/>
  <c r="AN83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W83" i="4"/>
  <c r="V83" i="4"/>
  <c r="U83" i="4"/>
  <c r="T83" i="4"/>
  <c r="S83" i="4"/>
  <c r="R83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C83" i="4"/>
  <c r="B83" i="4"/>
  <c r="AS82" i="4"/>
  <c r="AR82" i="4"/>
  <c r="AQ82" i="4"/>
  <c r="AP82" i="4"/>
  <c r="AO82" i="4"/>
  <c r="AN82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A82" i="4"/>
  <c r="Z82" i="4"/>
  <c r="Y82" i="4"/>
  <c r="W82" i="4"/>
  <c r="V82" i="4"/>
  <c r="U82" i="4"/>
  <c r="T82" i="4"/>
  <c r="S82" i="4"/>
  <c r="R82" i="4"/>
  <c r="Q82" i="4"/>
  <c r="P82" i="4"/>
  <c r="O82" i="4"/>
  <c r="N82" i="4"/>
  <c r="M82" i="4"/>
  <c r="L82" i="4"/>
  <c r="K82" i="4"/>
  <c r="J82" i="4"/>
  <c r="I82" i="4"/>
  <c r="H82" i="4"/>
  <c r="G82" i="4"/>
  <c r="F82" i="4"/>
  <c r="E82" i="4"/>
  <c r="D82" i="4"/>
  <c r="C82" i="4"/>
  <c r="B82" i="4"/>
  <c r="AS81" i="4"/>
  <c r="AR81" i="4"/>
  <c r="AQ81" i="4"/>
  <c r="AP81" i="4"/>
  <c r="AO81" i="4"/>
  <c r="AN81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A81" i="4"/>
  <c r="Z81" i="4"/>
  <c r="Y81" i="4"/>
  <c r="W81" i="4"/>
  <c r="V81" i="4"/>
  <c r="U81" i="4"/>
  <c r="T81" i="4"/>
  <c r="S81" i="4"/>
  <c r="R81" i="4"/>
  <c r="Q81" i="4"/>
  <c r="P81" i="4"/>
  <c r="O81" i="4"/>
  <c r="N81" i="4"/>
  <c r="M81" i="4"/>
  <c r="L81" i="4"/>
  <c r="K81" i="4"/>
  <c r="J81" i="4"/>
  <c r="I81" i="4"/>
  <c r="H81" i="4"/>
  <c r="G81" i="4"/>
  <c r="F81" i="4"/>
  <c r="E81" i="4"/>
  <c r="D81" i="4"/>
  <c r="C81" i="4"/>
  <c r="B81" i="4"/>
  <c r="AS80" i="4"/>
  <c r="AR80" i="4"/>
  <c r="AQ80" i="4"/>
  <c r="AP80" i="4"/>
  <c r="AO80" i="4"/>
  <c r="AN80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A80" i="4"/>
  <c r="Z80" i="4"/>
  <c r="Y80" i="4"/>
  <c r="W80" i="4"/>
  <c r="V80" i="4"/>
  <c r="U80" i="4"/>
  <c r="T80" i="4"/>
  <c r="S80" i="4"/>
  <c r="R80" i="4"/>
  <c r="Q80" i="4"/>
  <c r="P80" i="4"/>
  <c r="O80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AS79" i="4"/>
  <c r="AR79" i="4"/>
  <c r="AQ79" i="4"/>
  <c r="AP79" i="4"/>
  <c r="AO79" i="4"/>
  <c r="AN79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A79" i="4"/>
  <c r="Z79" i="4"/>
  <c r="Y79" i="4"/>
  <c r="W79" i="4"/>
  <c r="V79" i="4"/>
  <c r="U79" i="4"/>
  <c r="T79" i="4"/>
  <c r="S79" i="4"/>
  <c r="R79" i="4"/>
  <c r="Q79" i="4"/>
  <c r="P79" i="4"/>
  <c r="O79" i="4"/>
  <c r="N79" i="4"/>
  <c r="M79" i="4"/>
  <c r="L79" i="4"/>
  <c r="K79" i="4"/>
  <c r="J79" i="4"/>
  <c r="I79" i="4"/>
  <c r="H79" i="4"/>
  <c r="G79" i="4"/>
  <c r="F79" i="4"/>
  <c r="E79" i="4"/>
  <c r="D79" i="4"/>
  <c r="C79" i="4"/>
  <c r="B79" i="4"/>
  <c r="AS78" i="4"/>
  <c r="AR78" i="4"/>
  <c r="AQ78" i="4"/>
  <c r="AP78" i="4"/>
  <c r="AO78" i="4"/>
  <c r="AN78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B78" i="4"/>
  <c r="AS77" i="4"/>
  <c r="AR77" i="4"/>
  <c r="AQ77" i="4"/>
  <c r="AP77" i="4"/>
  <c r="AO77" i="4"/>
  <c r="AN77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A77" i="4"/>
  <c r="Z77" i="4"/>
  <c r="Y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B77" i="4"/>
  <c r="AS76" i="4"/>
  <c r="AR76" i="4"/>
  <c r="AQ76" i="4"/>
  <c r="AP76" i="4"/>
  <c r="AO76" i="4"/>
  <c r="AN76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A76" i="4"/>
  <c r="Z76" i="4"/>
  <c r="Y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AS75" i="4"/>
  <c r="AR75" i="4"/>
  <c r="AQ75" i="4"/>
  <c r="AP75" i="4"/>
  <c r="AO75" i="4"/>
  <c r="AN75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A75" i="4"/>
  <c r="Z75" i="4"/>
  <c r="Y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B75" i="4"/>
  <c r="AS74" i="4"/>
  <c r="AR74" i="4"/>
  <c r="AQ74" i="4"/>
  <c r="AP74" i="4"/>
  <c r="AO74" i="4"/>
  <c r="AN74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A74" i="4"/>
  <c r="Z74" i="4"/>
  <c r="Y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B74" i="4"/>
  <c r="AS73" i="4"/>
  <c r="AR73" i="4"/>
  <c r="AQ73" i="4"/>
  <c r="AP73" i="4"/>
  <c r="AO73" i="4"/>
  <c r="AN73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A73" i="4"/>
  <c r="Z73" i="4"/>
  <c r="Y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B73" i="4"/>
  <c r="AS72" i="4"/>
  <c r="AR72" i="4"/>
  <c r="AQ72" i="4"/>
  <c r="AP72" i="4"/>
  <c r="AO72" i="4"/>
  <c r="AN72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A72" i="4"/>
  <c r="Z72" i="4"/>
  <c r="Y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B72" i="4"/>
  <c r="AS71" i="4"/>
  <c r="AR71" i="4"/>
  <c r="AQ71" i="4"/>
  <c r="AP71" i="4"/>
  <c r="AO71" i="4"/>
  <c r="AN71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A71" i="4"/>
  <c r="Z71" i="4"/>
  <c r="Y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AS70" i="4"/>
  <c r="AR70" i="4"/>
  <c r="AQ70" i="4"/>
  <c r="AP70" i="4"/>
  <c r="AO70" i="4"/>
  <c r="AN70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A70" i="4"/>
  <c r="Z70" i="4"/>
  <c r="Y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AS69" i="4"/>
  <c r="AR69" i="4"/>
  <c r="AQ69" i="4"/>
  <c r="AP69" i="4"/>
  <c r="AO69" i="4"/>
  <c r="AN69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A69" i="4"/>
  <c r="Z69" i="4"/>
  <c r="Y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AS68" i="4"/>
  <c r="AR68" i="4"/>
  <c r="AQ68" i="4"/>
  <c r="AP68" i="4"/>
  <c r="AO68" i="4"/>
  <c r="AN68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A68" i="4"/>
  <c r="Z68" i="4"/>
  <c r="Y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AS67" i="4"/>
  <c r="AR67" i="4"/>
  <c r="AQ67" i="4"/>
  <c r="AP67" i="4"/>
  <c r="AO67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AS66" i="4"/>
  <c r="AR66" i="4"/>
  <c r="AQ66" i="4"/>
  <c r="AP66" i="4"/>
  <c r="AO66" i="4"/>
  <c r="AN66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A66" i="4"/>
  <c r="Z66" i="4"/>
  <c r="Y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AS65" i="4"/>
  <c r="AR65" i="4"/>
  <c r="AQ65" i="4"/>
  <c r="AP65" i="4"/>
  <c r="AO65" i="4"/>
  <c r="AN65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A65" i="4"/>
  <c r="Z65" i="4"/>
  <c r="Y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AS64" i="4"/>
  <c r="AR64" i="4"/>
  <c r="AQ64" i="4"/>
  <c r="AP64" i="4"/>
  <c r="AO64" i="4"/>
  <c r="AN64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A64" i="4"/>
  <c r="Z64" i="4"/>
  <c r="Y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AS63" i="4"/>
  <c r="AR63" i="4"/>
  <c r="AQ63" i="4"/>
  <c r="AP63" i="4"/>
  <c r="AO63" i="4"/>
  <c r="AN63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A63" i="4"/>
  <c r="Z63" i="4"/>
  <c r="Y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AS62" i="4"/>
  <c r="AR62" i="4"/>
  <c r="AQ62" i="4"/>
  <c r="AP62" i="4"/>
  <c r="AO62" i="4"/>
  <c r="AN62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AS61" i="4"/>
  <c r="AR61" i="4"/>
  <c r="AQ61" i="4"/>
  <c r="AP61" i="4"/>
  <c r="AO61" i="4"/>
  <c r="AN61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A61" i="4"/>
  <c r="Z61" i="4"/>
  <c r="Y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AS60" i="4"/>
  <c r="AR60" i="4"/>
  <c r="AQ60" i="4"/>
  <c r="AP60" i="4"/>
  <c r="AO60" i="4"/>
  <c r="AN60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A60" i="4"/>
  <c r="Z60" i="4"/>
  <c r="Y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AS59" i="4"/>
  <c r="AR59" i="4"/>
  <c r="AQ59" i="4"/>
  <c r="AP59" i="4"/>
  <c r="AO59" i="4"/>
  <c r="AN59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A59" i="4"/>
  <c r="Z59" i="4"/>
  <c r="Y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AS58" i="4"/>
  <c r="AR58" i="4"/>
  <c r="AQ58" i="4"/>
  <c r="AP58" i="4"/>
  <c r="AO58" i="4"/>
  <c r="AN58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A58" i="4"/>
  <c r="Z58" i="4"/>
  <c r="Y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AS57" i="4"/>
  <c r="AR57" i="4"/>
  <c r="AQ57" i="4"/>
  <c r="AP57" i="4"/>
  <c r="AO57" i="4"/>
  <c r="AN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AS56" i="4"/>
  <c r="AR56" i="4"/>
  <c r="AQ56" i="4"/>
  <c r="AP56" i="4"/>
  <c r="AO56" i="4"/>
  <c r="AN56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A56" i="4"/>
  <c r="Z56" i="4"/>
  <c r="Y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AS55" i="4"/>
  <c r="AR55" i="4"/>
  <c r="AQ55" i="4"/>
  <c r="AP55" i="4"/>
  <c r="AO55" i="4"/>
  <c r="AN55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A55" i="4"/>
  <c r="Z55" i="4"/>
  <c r="Y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AS54" i="4"/>
  <c r="AR54" i="4"/>
  <c r="AQ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A54" i="4"/>
  <c r="Z54" i="4"/>
  <c r="Y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AS53" i="4"/>
  <c r="AR53" i="4"/>
  <c r="AQ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AS52" i="4"/>
  <c r="AR52" i="4"/>
  <c r="AQ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AS51" i="4"/>
  <c r="AR51" i="4"/>
  <c r="AQ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A51" i="4"/>
  <c r="Z51" i="4"/>
  <c r="Y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AS50" i="4"/>
  <c r="AR50" i="4"/>
  <c r="AQ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A50" i="4"/>
  <c r="Z50" i="4"/>
  <c r="Y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B50" i="4"/>
  <c r="AS49" i="4"/>
  <c r="AR49" i="4"/>
  <c r="AQ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A49" i="4"/>
  <c r="Z49" i="4"/>
  <c r="Y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B49" i="4"/>
  <c r="AS48" i="4"/>
  <c r="AR48" i="4"/>
  <c r="AQ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B48" i="4"/>
  <c r="AS47" i="4"/>
  <c r="AR47" i="4"/>
  <c r="AQ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AS46" i="4"/>
  <c r="AR46" i="4"/>
  <c r="AQ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A46" i="4"/>
  <c r="Z46" i="4"/>
  <c r="Y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B46" i="4"/>
  <c r="AS45" i="4"/>
  <c r="AR45" i="4"/>
  <c r="AQ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A45" i="4"/>
  <c r="Z45" i="4"/>
  <c r="Y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B45" i="4"/>
  <c r="AS44" i="4"/>
  <c r="AR44" i="4"/>
  <c r="AQ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AS43" i="4"/>
  <c r="AR43" i="4"/>
  <c r="AQ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AS42" i="4"/>
  <c r="AR42" i="4"/>
  <c r="AQ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AS41" i="4"/>
  <c r="AR41" i="4"/>
  <c r="AQ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A41" i="4"/>
  <c r="Z41" i="4"/>
  <c r="Y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AS40" i="4"/>
  <c r="AR40" i="4"/>
  <c r="AQ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AS39" i="4"/>
  <c r="AR39" i="4"/>
  <c r="AQ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B39" i="4"/>
  <c r="AS38" i="4"/>
  <c r="AR38" i="4"/>
  <c r="AQ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B38" i="4"/>
  <c r="AS37" i="4"/>
  <c r="AR37" i="4"/>
  <c r="AQ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B37" i="4"/>
  <c r="AS36" i="4"/>
  <c r="AR36" i="4"/>
  <c r="AQ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AS35" i="4"/>
  <c r="AR35" i="4"/>
  <c r="AQ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AS34" i="4"/>
  <c r="AR34" i="4"/>
  <c r="AQ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AS33" i="4"/>
  <c r="AR33" i="4"/>
  <c r="AQ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AS32" i="4"/>
  <c r="AR32" i="4"/>
  <c r="AQ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AS31" i="4"/>
  <c r="AR31" i="4"/>
  <c r="AQ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AS30" i="4"/>
  <c r="AR30" i="4"/>
  <c r="AQ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A30" i="4"/>
  <c r="Z30" i="4"/>
  <c r="Y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AS29" i="4"/>
  <c r="AR29" i="4"/>
  <c r="AQ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AS28" i="4"/>
  <c r="AR28" i="4"/>
  <c r="AQ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W28" i="4"/>
  <c r="V28" i="4"/>
  <c r="U28" i="4"/>
  <c r="T28" i="4"/>
  <c r="S28" i="4"/>
  <c r="R28" i="4"/>
  <c r="Q28" i="4"/>
  <c r="P28" i="4"/>
  <c r="O28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AS27" i="4"/>
  <c r="AR27" i="4"/>
  <c r="AQ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AS26" i="4"/>
  <c r="AR26" i="4"/>
  <c r="AQ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A26" i="4"/>
  <c r="Z26" i="4"/>
  <c r="Y26" i="4"/>
  <c r="W26" i="4"/>
  <c r="V26" i="4"/>
  <c r="U26" i="4"/>
  <c r="T26" i="4"/>
  <c r="S26" i="4"/>
  <c r="R26" i="4"/>
  <c r="Q26" i="4"/>
  <c r="P26" i="4"/>
  <c r="O26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AS25" i="4"/>
  <c r="AR25" i="4"/>
  <c r="AQ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A25" i="4"/>
  <c r="Z25" i="4"/>
  <c r="Y25" i="4"/>
  <c r="W25" i="4"/>
  <c r="V25" i="4"/>
  <c r="U25" i="4"/>
  <c r="T25" i="4"/>
  <c r="S25" i="4"/>
  <c r="R25" i="4"/>
  <c r="Q25" i="4"/>
  <c r="P25" i="4"/>
  <c r="O25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AS24" i="4"/>
  <c r="AR24" i="4"/>
  <c r="AQ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A24" i="4"/>
  <c r="Z24" i="4"/>
  <c r="Y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AS23" i="4"/>
  <c r="AR23" i="4"/>
  <c r="AQ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W23" i="4"/>
  <c r="V23" i="4"/>
  <c r="U23" i="4"/>
  <c r="T23" i="4"/>
  <c r="S23" i="4"/>
  <c r="R23" i="4"/>
  <c r="Q23" i="4"/>
  <c r="P23" i="4"/>
  <c r="O23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AS22" i="4"/>
  <c r="AR22" i="4"/>
  <c r="AQ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W22" i="4"/>
  <c r="V22" i="4"/>
  <c r="U22" i="4"/>
  <c r="T22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AS21" i="4"/>
  <c r="AR21" i="4"/>
  <c r="AQ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A21" i="4"/>
  <c r="Z21" i="4"/>
  <c r="Y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AS20" i="4"/>
  <c r="AR20" i="4"/>
  <c r="AQ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W20" i="4"/>
  <c r="V20" i="4"/>
  <c r="U20" i="4"/>
  <c r="T20" i="4"/>
  <c r="S20" i="4"/>
  <c r="R20" i="4"/>
  <c r="Q20" i="4"/>
  <c r="P20" i="4"/>
  <c r="O20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AS19" i="4"/>
  <c r="AR19" i="4"/>
  <c r="AQ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W19" i="4"/>
  <c r="V19" i="4"/>
  <c r="U19" i="4"/>
  <c r="T19" i="4"/>
  <c r="S19" i="4"/>
  <c r="R19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AS18" i="4"/>
  <c r="AR18" i="4"/>
  <c r="AQ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AS17" i="4"/>
  <c r="AR17" i="4"/>
  <c r="AQ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AS16" i="4"/>
  <c r="AR16" i="4"/>
  <c r="AQ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C16" i="4"/>
  <c r="B16" i="4"/>
  <c r="AS15" i="4"/>
  <c r="AR15" i="4"/>
  <c r="AQ15" i="4"/>
  <c r="AP15" i="4"/>
  <c r="AO15" i="4"/>
  <c r="AN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AS14" i="4"/>
  <c r="AR14" i="4"/>
  <c r="AQ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W14" i="4"/>
  <c r="V14" i="4"/>
  <c r="U14" i="4"/>
  <c r="T14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C14" i="4"/>
  <c r="B14" i="4"/>
  <c r="AS13" i="4"/>
  <c r="AR13" i="4"/>
  <c r="AQ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C13" i="4"/>
  <c r="B13" i="4"/>
  <c r="AS12" i="4"/>
  <c r="AR12" i="4"/>
  <c r="AQ12" i="4"/>
  <c r="AP12" i="4"/>
  <c r="AO12" i="4"/>
  <c r="AN12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C12" i="4"/>
  <c r="B12" i="4"/>
  <c r="AS11" i="4"/>
  <c r="AR11" i="4"/>
  <c r="AQ11" i="4"/>
  <c r="AP11" i="4"/>
  <c r="AO11" i="4"/>
  <c r="AN11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W11" i="4"/>
  <c r="V11" i="4"/>
  <c r="U11" i="4"/>
  <c r="T11" i="4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C11" i="4"/>
  <c r="B11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C10" i="4"/>
  <c r="B10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S8" i="4"/>
  <c r="AR8" i="4"/>
  <c r="AQ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C8" i="4"/>
  <c r="B8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C7" i="4"/>
  <c r="B7" i="4"/>
  <c r="AS6" i="4"/>
  <c r="AR6" i="4"/>
  <c r="AQ6" i="4"/>
  <c r="AP6" i="4"/>
  <c r="AO6" i="4"/>
  <c r="AN6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B6" i="4"/>
  <c r="AS5" i="4"/>
  <c r="AR5" i="4"/>
  <c r="AQ5" i="4"/>
  <c r="AP5" i="4"/>
  <c r="AO5" i="4"/>
  <c r="AN5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W5" i="4"/>
  <c r="V5" i="4"/>
  <c r="U5" i="4"/>
  <c r="T5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D5" i="4"/>
  <c r="C5" i="4"/>
  <c r="B5" i="4"/>
  <c r="AS4" i="4"/>
  <c r="AR4" i="4"/>
  <c r="AQ4" i="4"/>
  <c r="AP4" i="4"/>
  <c r="AO4" i="4"/>
  <c r="AN4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W4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C4" i="4"/>
  <c r="B4" i="4"/>
  <c r="AS3" i="4"/>
  <c r="AR3" i="4"/>
  <c r="AQ3" i="4"/>
  <c r="AP3" i="4"/>
  <c r="AO3" i="4"/>
  <c r="AN3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C3" i="4"/>
  <c r="B3" i="4"/>
  <c r="CB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Z2" i="4"/>
  <c r="AY2" i="4"/>
  <c r="AX2" i="4"/>
  <c r="AW2" i="4"/>
  <c r="AV2" i="4"/>
  <c r="AU2" i="4"/>
  <c r="E13" i="16" a="1"/>
  <c r="CB4" i="4" a="1"/>
  <c r="AU4" i="4" a="1"/>
  <c r="E13" i="16" l="1"/>
  <c r="BR107" i="4"/>
  <c r="BR82" i="4"/>
  <c r="BR75" i="4"/>
  <c r="BR50" i="4"/>
  <c r="BR43" i="4"/>
  <c r="BR18" i="4"/>
  <c r="BR11" i="4"/>
  <c r="BR86" i="4"/>
  <c r="BR79" i="4"/>
  <c r="BR54" i="4"/>
  <c r="BR47" i="4"/>
  <c r="BR22" i="4"/>
  <c r="BR15" i="4"/>
  <c r="BR90" i="4"/>
  <c r="BR83" i="4"/>
  <c r="BR58" i="4"/>
  <c r="BR51" i="4"/>
  <c r="BR26" i="4"/>
  <c r="BR19" i="4"/>
  <c r="BR94" i="4"/>
  <c r="BR87" i="4"/>
  <c r="BR62" i="4"/>
  <c r="BR55" i="4"/>
  <c r="BR30" i="4"/>
  <c r="BR23" i="4"/>
  <c r="BR98" i="4"/>
  <c r="BR91" i="4"/>
  <c r="BR66" i="4"/>
  <c r="BR59" i="4"/>
  <c r="BR34" i="4"/>
  <c r="BR27" i="4"/>
  <c r="BR6" i="4"/>
  <c r="BR102" i="4"/>
  <c r="BR95" i="4"/>
  <c r="BR70" i="4"/>
  <c r="BR63" i="4"/>
  <c r="BR38" i="4"/>
  <c r="BR31" i="4"/>
  <c r="BR10" i="4"/>
  <c r="BR106" i="4"/>
  <c r="BR99" i="4"/>
  <c r="BR74" i="4"/>
  <c r="BR67" i="4"/>
  <c r="BR42" i="4"/>
  <c r="BR35" i="4"/>
  <c r="BR103" i="4"/>
  <c r="BR78" i="4"/>
  <c r="BR71" i="4"/>
  <c r="BR46" i="4"/>
  <c r="BR39" i="4"/>
  <c r="BR14" i="4"/>
  <c r="BR7" i="4"/>
  <c r="BR13" i="4"/>
  <c r="BR45" i="4"/>
  <c r="BR77" i="4"/>
  <c r="BR20" i="4"/>
  <c r="BR52" i="4"/>
  <c r="BR84" i="4"/>
  <c r="BR41" i="4"/>
  <c r="BR73" i="4"/>
  <c r="BR105" i="4"/>
  <c r="BR24" i="4"/>
  <c r="BR16" i="4"/>
  <c r="BR48" i="4"/>
  <c r="BR80" i="4"/>
  <c r="BR5" i="4"/>
  <c r="BR37" i="4"/>
  <c r="BR69" i="4"/>
  <c r="BR101" i="4"/>
  <c r="BR12" i="4"/>
  <c r="BR44" i="4"/>
  <c r="BR76" i="4"/>
  <c r="BR33" i="4"/>
  <c r="BR65" i="4"/>
  <c r="BR97" i="4"/>
  <c r="BR8" i="4"/>
  <c r="BR40" i="4"/>
  <c r="BR72" i="4"/>
  <c r="BR104" i="4"/>
  <c r="BR29" i="4"/>
  <c r="BR61" i="4"/>
  <c r="BR93" i="4"/>
  <c r="BR9" i="4"/>
  <c r="BR36" i="4"/>
  <c r="BR68" i="4"/>
  <c r="BR100" i="4"/>
  <c r="BR25" i="4"/>
  <c r="BR57" i="4"/>
  <c r="BR89" i="4"/>
  <c r="BR32" i="4"/>
  <c r="BR64" i="4"/>
  <c r="BR96" i="4"/>
  <c r="BR56" i="4"/>
  <c r="BR88" i="4"/>
  <c r="BR21" i="4"/>
  <c r="BR53" i="4"/>
  <c r="BR85" i="4"/>
  <c r="BR28" i="4"/>
  <c r="BR60" i="4"/>
  <c r="BR92" i="4"/>
  <c r="BR17" i="4"/>
  <c r="BR49" i="4"/>
  <c r="BR81" i="4"/>
  <c r="CB4" i="4"/>
  <c r="AU4" i="4"/>
  <c r="BR4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tc={4B8A4EB9-4371-491D-A0EA-A6C05E3F22FD}</author>
  </authors>
  <commentList>
    <comment ref="B3" authorId="0" shapeId="0" xr:uid="{4B8A4EB9-4371-491D-A0EA-A6C05E3F22FD}">
      <text>
        <t>[Threaded comment]
Your version of Excel allows you to read this threaded comment; however, any edits to it will get removed if the file is opened in a newer version of Excel. Learn more: https://go.microsoft.com/fwlink/?linkid=870924
Comment:
    IBGE
Tabela 6612 - Valores encadeados a preços de 1995
Tabela 6613 - Valores encadeados a preços de 1995 com ajuste sazonal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<sst xmlns="http://schemas.openxmlformats.org/spreadsheetml/2006/main" count="340" uniqueCount="160">
  <si>
    <t>Spec</t>
  </si>
  <si>
    <t>PIB</t>
  </si>
  <si>
    <t>series{ 
    format = free
}
transform{ 
    function = auto
}
outlier{ 
    types = all
}
x11{ }</t>
  </si>
  <si>
    <t>SA</t>
  </si>
  <si>
    <t>Date</t>
  </si>
  <si>
    <t>Name</t>
  </si>
  <si>
    <t>Official data</t>
  </si>
  <si>
    <t>xlDESSAZ</t>
  </si>
  <si>
    <t>Generic</t>
  </si>
  <si>
    <t>Example: Deseasonalization of multiple series with the same spec at once</t>
  </si>
  <si>
    <t>X13-ARIMA-SEATS specifications (with minor adaptations from original ones)
make sure that x11{ save = ( d10 d11 d12 d13 d16 d18) } is specified</t>
  </si>
  <si>
    <t>Tabela 6612 - Valores encadeados a preços de 1995</t>
  </si>
  <si>
    <t>Brasil</t>
  </si>
  <si>
    <t>Variável - Valores encadeados a preços de 1995 (Milhões de Reais)</t>
  </si>
  <si>
    <t>Trimestre</t>
  </si>
  <si>
    <t>Setores e subsetores</t>
  </si>
  <si>
    <t>Agropecuária - total</t>
  </si>
  <si>
    <t>Indústria - total</t>
  </si>
  <si>
    <t>Indústrias extrativas</t>
  </si>
  <si>
    <t>Indústrias de transformação</t>
  </si>
  <si>
    <t>Eletricidade e gás, água, esgoto, atividades de gestão de resíduos</t>
  </si>
  <si>
    <t>Construção</t>
  </si>
  <si>
    <t>Serviços - total</t>
  </si>
  <si>
    <t>Comércio</t>
  </si>
  <si>
    <t>Transporte, armazenagem e correio</t>
  </si>
  <si>
    <t>Informação e comunicação</t>
  </si>
  <si>
    <t>Atividades financeiras, de seguros e serviços relacionados</t>
  </si>
  <si>
    <t>Atividades imobiliárias</t>
  </si>
  <si>
    <t>Outras atividades de serviços</t>
  </si>
  <si>
    <t>Administração, saúde e educação públicas e seguridade social</t>
  </si>
  <si>
    <t>Valor adicionado a preços básicos</t>
  </si>
  <si>
    <t>Impostos líquidos sobre produtos</t>
  </si>
  <si>
    <t>PIB a preços de mercado</t>
  </si>
  <si>
    <t>Despesa de consumo das famílias</t>
  </si>
  <si>
    <t>Despesa de consumo da administração pública</t>
  </si>
  <si>
    <t>Formação bruta de capital fixo</t>
  </si>
  <si>
    <t>Exportação de bens e serviços</t>
  </si>
  <si>
    <t>Importação de bens e serviços (-)</t>
  </si>
  <si>
    <t>1º trimestre 1996</t>
  </si>
  <si>
    <t>2º trimestre 1996</t>
  </si>
  <si>
    <t>3º trimestre 1996</t>
  </si>
  <si>
    <t>4º trimestre 1996</t>
  </si>
  <si>
    <t>1º trimestre 1997</t>
  </si>
  <si>
    <t>2º trimestre 1997</t>
  </si>
  <si>
    <t>3º trimestre 1997</t>
  </si>
  <si>
    <t>4º trimestre 1997</t>
  </si>
  <si>
    <t>1º trimestre 1998</t>
  </si>
  <si>
    <t>2º trimestre 1998</t>
  </si>
  <si>
    <t>3º trimestre 1998</t>
  </si>
  <si>
    <t>4º trimestre 1998</t>
  </si>
  <si>
    <t>1º trimestre 1999</t>
  </si>
  <si>
    <t>2º trimestre 1999</t>
  </si>
  <si>
    <t>3º trimestre 1999</t>
  </si>
  <si>
    <t>4º trimestre 1999</t>
  </si>
  <si>
    <t>1º trimestre 2000</t>
  </si>
  <si>
    <t>2º trimestre 2000</t>
  </si>
  <si>
    <t>3º trimestre 2000</t>
  </si>
  <si>
    <t>4º trimestre 2000</t>
  </si>
  <si>
    <t>1º trimestre 2001</t>
  </si>
  <si>
    <t>2º trimestre 2001</t>
  </si>
  <si>
    <t>3º trimestre 2001</t>
  </si>
  <si>
    <t>4º trimestre 2001</t>
  </si>
  <si>
    <t>1º trimestre 2002</t>
  </si>
  <si>
    <t>2º trimestre 2002</t>
  </si>
  <si>
    <t>3º trimestre 2002</t>
  </si>
  <si>
    <t>4º trimestre 2002</t>
  </si>
  <si>
    <t>1º trimestre 2003</t>
  </si>
  <si>
    <t>2º trimestre 2003</t>
  </si>
  <si>
    <t>3º trimestre 2003</t>
  </si>
  <si>
    <t>4º trimestre 2003</t>
  </si>
  <si>
    <t>1º trimestre 2004</t>
  </si>
  <si>
    <t>2º trimestre 2004</t>
  </si>
  <si>
    <t>3º trimestre 2004</t>
  </si>
  <si>
    <t>4º trimestre 2004</t>
  </si>
  <si>
    <t>1º trimestre 2005</t>
  </si>
  <si>
    <t>2º trimestre 2005</t>
  </si>
  <si>
    <t>3º trimestre 2005</t>
  </si>
  <si>
    <t>4º trimestre 2005</t>
  </si>
  <si>
    <t>1º trimestre 2006</t>
  </si>
  <si>
    <t>2º trimestre 2006</t>
  </si>
  <si>
    <t>3º trimestre 2006</t>
  </si>
  <si>
    <t>4º trimestre 2006</t>
  </si>
  <si>
    <t>1º trimestre 2007</t>
  </si>
  <si>
    <t>2º trimestre 2007</t>
  </si>
  <si>
    <t>3º trimestre 2007</t>
  </si>
  <si>
    <t>4º trimestre 2007</t>
  </si>
  <si>
    <t>1º trimestre 2008</t>
  </si>
  <si>
    <t>2º trimestre 2008</t>
  </si>
  <si>
    <t>3º trimestre 2008</t>
  </si>
  <si>
    <t>4º trimestre 2008</t>
  </si>
  <si>
    <t>1º trimestre 2009</t>
  </si>
  <si>
    <t>2º trimestre 2009</t>
  </si>
  <si>
    <t>3º trimestre 2009</t>
  </si>
  <si>
    <t>4º trimestre 2009</t>
  </si>
  <si>
    <t>1º trimestre 2010</t>
  </si>
  <si>
    <t>2º trimestre 2010</t>
  </si>
  <si>
    <t>3º trimestre 2010</t>
  </si>
  <si>
    <t>4º trimestre 2010</t>
  </si>
  <si>
    <t>1º trimestre 2011</t>
  </si>
  <si>
    <t>2º trimestre 2011</t>
  </si>
  <si>
    <t>3º trimestre 2011</t>
  </si>
  <si>
    <t>4º trimestre 2011</t>
  </si>
  <si>
    <t>1º trimestre 2012</t>
  </si>
  <si>
    <t>2º trimestre 2012</t>
  </si>
  <si>
    <t>3º trimestre 2012</t>
  </si>
  <si>
    <t>4º trimestre 2012</t>
  </si>
  <si>
    <t>1º trimestre 2013</t>
  </si>
  <si>
    <t>2º trimestre 2013</t>
  </si>
  <si>
    <t>3º trimestre 2013</t>
  </si>
  <si>
    <t>4º trimestre 2013</t>
  </si>
  <si>
    <t>1º trimestre 2014</t>
  </si>
  <si>
    <t>2º trimestre 2014</t>
  </si>
  <si>
    <t>3º trimestre 2014</t>
  </si>
  <si>
    <t>4º trimestre 2014</t>
  </si>
  <si>
    <t>1º trimestre 2015</t>
  </si>
  <si>
    <t>2º trimestre 2015</t>
  </si>
  <si>
    <t>3º trimestre 2015</t>
  </si>
  <si>
    <t>4º trimestre 2015</t>
  </si>
  <si>
    <t>1º trimestre 2016</t>
  </si>
  <si>
    <t>2º trimestre 2016</t>
  </si>
  <si>
    <t>3º trimestre 2016</t>
  </si>
  <si>
    <t>4º trimestre 2016</t>
  </si>
  <si>
    <t>1º trimestre 2017</t>
  </si>
  <si>
    <t>2º trimestre 2017</t>
  </si>
  <si>
    <t>3º trimestre 2017</t>
  </si>
  <si>
    <t>4º trimestre 2017</t>
  </si>
  <si>
    <t>1º trimestre 2018</t>
  </si>
  <si>
    <t>2º trimestre 2018</t>
  </si>
  <si>
    <t>3º trimestre 2018</t>
  </si>
  <si>
    <t>4º trimestre 2018</t>
  </si>
  <si>
    <t>1º trimestre 2019</t>
  </si>
  <si>
    <t>2º trimestre 2019</t>
  </si>
  <si>
    <t>3º trimestre 2019</t>
  </si>
  <si>
    <t>4º trimestre 2019</t>
  </si>
  <si>
    <t>1º trimestre 2020</t>
  </si>
  <si>
    <t>2º trimestre 2020</t>
  </si>
  <si>
    <t>3º trimestre 2020</t>
  </si>
  <si>
    <t>4º trimestre 2020</t>
  </si>
  <si>
    <t>1º trimestre 2021</t>
  </si>
  <si>
    <t>2º trimestre 2021</t>
  </si>
  <si>
    <t>3º trimestre 2021</t>
  </si>
  <si>
    <t>4º trimestre 2021</t>
  </si>
  <si>
    <t>Fonte: IBGE - Contas Nacionais Trimestrais</t>
  </si>
  <si>
    <t>Tabela 6613 - Valores encadeados a preços de 1995 com ajuste sazonal</t>
  </si>
  <si>
    <t>Variável - Valores encadeados a preços de 1995 com ajuste sazonal (Milhões de Reais)</t>
  </si>
  <si>
    <t>series{
    start= 1996.1
    period = 4
    format = free
}
transform{ 
    function = auto
}
pickmdl{
   method = best
   identify = all
}
outlier{ 
    types = all
}
forecast {
   maxlead = 6
   maxback = 0
}
regression {
   aictest = (td easter)
}
estimate{ }
x11{
save = ( d10 d11 d12 d13 d16 d18)
savelog = ( q m7 fstabled8 )
}</t>
  </si>
  <si>
    <t>observation_date</t>
  </si>
  <si>
    <t>Diff</t>
  </si>
  <si>
    <t>ALFRED Graph Observations</t>
  </si>
  <si>
    <t>Archival Federal Reserve Economic Data</t>
  </si>
  <si>
    <t>Link: https://alfred.stlouisfed.org</t>
  </si>
  <si>
    <t>Help: https://alfred.stlouisfed.org/help</t>
  </si>
  <si>
    <t>Economic Research Division</t>
  </si>
  <si>
    <t>Federal Reserve Bank of St. Louis</t>
  </si>
  <si>
    <t>GDPC1_20160527</t>
  </si>
  <si>
    <t>Real Gross Domestic Product Vintage: 2016-05-27, Billions of Chained 2009 Dollars, Quarterly, Seasonally Adjusted Annual Rate</t>
  </si>
  <si>
    <t>GDPC1_20220224</t>
  </si>
  <si>
    <t>Real Gross Domestic Product Vintage: 2022-02-24, Billions of Chained 2012 Dollars, Quarterly, Seasonally Adjusted Annual Rate</t>
  </si>
  <si>
    <t>Frequency: Quarterly</t>
  </si>
  <si>
    <t>OBS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</si>
</sst>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[$-416]mmm\-yy;@"/>
    <numFmt numFmtId="166" formatCode="0.0"/>
    <numFmt numFmtId="167" formatCode="0.0%"/>
    <numFmt numFmtId="168" formatCode="_-&quot;R$&quot;\ * #,##0_-;\-&quot;R$&quot;\ * #,##0_-;_-&quot;R$&quot;\ * &quot;-&quot;??_-;_-@_-"/>
    <numFmt numFmtId="169" formatCode="yyyy\-mm\-dd"/>
    <numFmt numFmtId="170" formatCode="0.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6"/>
      <color theme="0"/>
      <name val="Calibri"/>
      <family val="2"/>
      <scheme val="minor"/>
    </font>
    <font>
      <sz val="11"/>
      <color indexed="6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" fillId="0" borderId="0"/>
    <xf numFmtId="0" fontId="5" fillId="0" borderId="0"/>
  </cellStyleXfs>
  <cellXfs count="20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0" borderId="1" xfId="0" applyBorder="1" applyAlignment="1">
      <alignment vertical="top" wrapText="1"/>
    </xf>
    <xf numFmtId="166" fontId="0" fillId="0" borderId="0" xfId="0" applyNumberFormat="1"/>
    <xf numFmtId="167" fontId="0" fillId="0" borderId="0" xfId="1" applyNumberFormat="1" applyFont="1"/>
    <xf numFmtId="0" fontId="2" fillId="0" borderId="0" xfId="0" applyFont="1"/>
    <xf numFmtId="0" fontId="2" fillId="2" borderId="0" xfId="0" applyFont="1" applyFill="1"/>
    <xf numFmtId="165" fontId="0" fillId="0" borderId="0" xfId="0" applyNumberFormat="1"/>
    <xf numFmtId="168" fontId="0" fillId="0" borderId="0" xfId="2" applyNumberFormat="1" applyFont="1"/>
    <xf numFmtId="168" fontId="0" fillId="0" borderId="0" xfId="2" applyNumberFormat="1" applyFont="1" applyAlignment="1"/>
    <xf numFmtId="0" fontId="0" fillId="3" borderId="1" xfId="0" applyFill="1" applyBorder="1" applyAlignment="1">
      <alignment horizontal="center" vertical="top" wrapText="1"/>
    </xf>
    <xf numFmtId="0" fontId="2" fillId="2" borderId="0" xfId="0" applyFont="1" applyFill="1" applyAlignment="1">
      <alignment wrapText="1"/>
    </xf>
    <xf numFmtId="0" fontId="5" fillId="0" borderId="0" xfId="4"/>
    <xf numFmtId="0" fontId="2" fillId="0" borderId="0" xfId="0" applyFont="1" applyAlignment="1">
      <alignment wrapText="1"/>
    </xf>
    <xf numFmtId="169" fontId="0" fillId="0" borderId="0" xfId="0" applyNumberFormat="1"/>
    <xf numFmtId="170" fontId="0" fillId="0" borderId="0" xfId="0" applyNumberFormat="1"/>
    <xf numFmtId="0" fontId="2" fillId="0" borderId="0" xfId="0" applyFont="1" applyAlignment="1">
      <alignment horizontal="center"/>
    </xf>
    <xf numFmtId="0" fontId="5" fillId="0" borderId="0" xfId="4"/>
    <xf numFmtId="0" fontId="4" fillId="4" borderId="0" xfId="0" applyFont="1" applyFill="1" applyAlignment="1">
      <alignment horizontal="left" wrapText="1"/>
    </xf>
  </cellXfs>
  <cellStyles count="5">
    <cellStyle name="Currency" xfId="2" builtinId="4"/>
    <cellStyle name="Normal" xfId="0" builtinId="0"/>
    <cellStyle name="Normal 2" xfId="3" xr:uid="{37EFEC2C-8610-4B1A-AD95-746AA27D3980}"/>
    <cellStyle name="Normal 3" xfId="4" xr:uid="{92620B32-FF83-4680-A34E-184E3A100C69}"/>
    <cellStyle name="Percent" xfId="1" builtinId="5"/>
  </cellStyles>
  <dxfs count="0"/>
  <tableStyles count="1" defaultTableStyle="TableStyleMedium2" defaultPivotStyle="PivotStyleLight16">
    <tableStyle name="Invisible" pivot="0" table="0" count="0" xr9:uid="{592CD688-896F-47FF-B94D-7EA471DC78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National Accounts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'Step 1 - Check BR'!$B$3</c:f>
              <c:strCache>
                <c:ptCount val="1"/>
                <c:pt idx="0">
                  <c:v>Agropecuária - total OBS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'Step 1 - Check BR'!$A$4:$A$106</c:f>
              <c:numCache>
                <c:formatCode>[$-416]mmm\-yy;@</c:formatCode>
                <c:ptCount val="103"/>
                <c:pt idx="0">
                  <c:v>35065</c:v>
                </c:pt>
                <c:pt idx="1">
                  <c:v>35156</c:v>
                </c:pt>
                <c:pt idx="2">
                  <c:v>35247</c:v>
                </c:pt>
                <c:pt idx="3">
                  <c:v>35339</c:v>
                </c:pt>
                <c:pt idx="4">
                  <c:v>35431</c:v>
                </c:pt>
                <c:pt idx="5">
                  <c:v>35521</c:v>
                </c:pt>
                <c:pt idx="6">
                  <c:v>35612</c:v>
                </c:pt>
                <c:pt idx="7">
                  <c:v>35704</c:v>
                </c:pt>
                <c:pt idx="8">
                  <c:v>35796</c:v>
                </c:pt>
                <c:pt idx="9">
                  <c:v>35886</c:v>
                </c:pt>
                <c:pt idx="10">
                  <c:v>35977</c:v>
                </c:pt>
                <c:pt idx="11">
                  <c:v>36069</c:v>
                </c:pt>
                <c:pt idx="12">
                  <c:v>36161</c:v>
                </c:pt>
                <c:pt idx="13">
                  <c:v>36251</c:v>
                </c:pt>
                <c:pt idx="14">
                  <c:v>36342</c:v>
                </c:pt>
                <c:pt idx="15">
                  <c:v>36434</c:v>
                </c:pt>
                <c:pt idx="16">
                  <c:v>36526</c:v>
                </c:pt>
                <c:pt idx="17">
                  <c:v>36617</c:v>
                </c:pt>
                <c:pt idx="18">
                  <c:v>36708</c:v>
                </c:pt>
                <c:pt idx="19">
                  <c:v>36800</c:v>
                </c:pt>
                <c:pt idx="20">
                  <c:v>36892</c:v>
                </c:pt>
                <c:pt idx="21">
                  <c:v>36982</c:v>
                </c:pt>
                <c:pt idx="22">
                  <c:v>37073</c:v>
                </c:pt>
                <c:pt idx="23">
                  <c:v>37165</c:v>
                </c:pt>
                <c:pt idx="24">
                  <c:v>37257</c:v>
                </c:pt>
                <c:pt idx="25">
                  <c:v>37347</c:v>
                </c:pt>
                <c:pt idx="26">
                  <c:v>37438</c:v>
                </c:pt>
                <c:pt idx="27">
                  <c:v>37530</c:v>
                </c:pt>
                <c:pt idx="28">
                  <c:v>37622</c:v>
                </c:pt>
                <c:pt idx="29">
                  <c:v>37712</c:v>
                </c:pt>
                <c:pt idx="30">
                  <c:v>37803</c:v>
                </c:pt>
                <c:pt idx="31">
                  <c:v>37895</c:v>
                </c:pt>
                <c:pt idx="32">
                  <c:v>37987</c:v>
                </c:pt>
                <c:pt idx="33">
                  <c:v>38078</c:v>
                </c:pt>
                <c:pt idx="34">
                  <c:v>38169</c:v>
                </c:pt>
                <c:pt idx="35">
                  <c:v>38261</c:v>
                </c:pt>
                <c:pt idx="36">
                  <c:v>38353</c:v>
                </c:pt>
                <c:pt idx="37">
                  <c:v>38443</c:v>
                </c:pt>
                <c:pt idx="38">
                  <c:v>38534</c:v>
                </c:pt>
                <c:pt idx="39">
                  <c:v>38626</c:v>
                </c:pt>
                <c:pt idx="40">
                  <c:v>38718</c:v>
                </c:pt>
                <c:pt idx="41">
                  <c:v>38808</c:v>
                </c:pt>
                <c:pt idx="42">
                  <c:v>38899</c:v>
                </c:pt>
                <c:pt idx="43">
                  <c:v>38991</c:v>
                </c:pt>
                <c:pt idx="44">
                  <c:v>39083</c:v>
                </c:pt>
                <c:pt idx="45">
                  <c:v>39173</c:v>
                </c:pt>
                <c:pt idx="46">
                  <c:v>39264</c:v>
                </c:pt>
                <c:pt idx="47">
                  <c:v>39356</c:v>
                </c:pt>
                <c:pt idx="48">
                  <c:v>39448</c:v>
                </c:pt>
                <c:pt idx="49">
                  <c:v>39539</c:v>
                </c:pt>
                <c:pt idx="50">
                  <c:v>39630</c:v>
                </c:pt>
                <c:pt idx="51">
                  <c:v>39722</c:v>
                </c:pt>
                <c:pt idx="52">
                  <c:v>39814</c:v>
                </c:pt>
                <c:pt idx="53">
                  <c:v>39904</c:v>
                </c:pt>
                <c:pt idx="54">
                  <c:v>39995</c:v>
                </c:pt>
                <c:pt idx="55">
                  <c:v>40087</c:v>
                </c:pt>
                <c:pt idx="56">
                  <c:v>40179</c:v>
                </c:pt>
                <c:pt idx="57">
                  <c:v>40269</c:v>
                </c:pt>
                <c:pt idx="58">
                  <c:v>40360</c:v>
                </c:pt>
                <c:pt idx="59">
                  <c:v>40452</c:v>
                </c:pt>
                <c:pt idx="60">
                  <c:v>40544</c:v>
                </c:pt>
                <c:pt idx="61">
                  <c:v>40634</c:v>
                </c:pt>
                <c:pt idx="62">
                  <c:v>40725</c:v>
                </c:pt>
                <c:pt idx="63">
                  <c:v>40817</c:v>
                </c:pt>
                <c:pt idx="64">
                  <c:v>40909</c:v>
                </c:pt>
                <c:pt idx="65">
                  <c:v>41000</c:v>
                </c:pt>
                <c:pt idx="66">
                  <c:v>41091</c:v>
                </c:pt>
                <c:pt idx="67">
                  <c:v>41183</c:v>
                </c:pt>
                <c:pt idx="68">
                  <c:v>41275</c:v>
                </c:pt>
                <c:pt idx="69">
                  <c:v>41365</c:v>
                </c:pt>
                <c:pt idx="70">
                  <c:v>41456</c:v>
                </c:pt>
                <c:pt idx="71">
                  <c:v>41548</c:v>
                </c:pt>
                <c:pt idx="72">
                  <c:v>41640</c:v>
                </c:pt>
                <c:pt idx="73">
                  <c:v>41730</c:v>
                </c:pt>
                <c:pt idx="74">
                  <c:v>41821</c:v>
                </c:pt>
                <c:pt idx="75">
                  <c:v>41913</c:v>
                </c:pt>
                <c:pt idx="76">
                  <c:v>42005</c:v>
                </c:pt>
                <c:pt idx="77">
                  <c:v>42095</c:v>
                </c:pt>
                <c:pt idx="78">
                  <c:v>42186</c:v>
                </c:pt>
                <c:pt idx="79">
                  <c:v>42278</c:v>
                </c:pt>
                <c:pt idx="80">
                  <c:v>42370</c:v>
                </c:pt>
                <c:pt idx="81">
                  <c:v>42461</c:v>
                </c:pt>
                <c:pt idx="82">
                  <c:v>42552</c:v>
                </c:pt>
                <c:pt idx="83">
                  <c:v>42644</c:v>
                </c:pt>
                <c:pt idx="84">
                  <c:v>42736</c:v>
                </c:pt>
                <c:pt idx="85">
                  <c:v>42826</c:v>
                </c:pt>
                <c:pt idx="86">
                  <c:v>42917</c:v>
                </c:pt>
                <c:pt idx="87">
                  <c:v>43009</c:v>
                </c:pt>
                <c:pt idx="88">
                  <c:v>43101</c:v>
                </c:pt>
                <c:pt idx="89">
                  <c:v>43191</c:v>
                </c:pt>
                <c:pt idx="90">
                  <c:v>43282</c:v>
                </c:pt>
                <c:pt idx="91">
                  <c:v>43374</c:v>
                </c:pt>
                <c:pt idx="92">
                  <c:v>43466</c:v>
                </c:pt>
                <c:pt idx="93">
                  <c:v>43556</c:v>
                </c:pt>
                <c:pt idx="94">
                  <c:v>43647</c:v>
                </c:pt>
                <c:pt idx="95">
                  <c:v>43739</c:v>
                </c:pt>
                <c:pt idx="96">
                  <c:v>43831</c:v>
                </c:pt>
                <c:pt idx="97">
                  <c:v>43922</c:v>
                </c:pt>
                <c:pt idx="98">
                  <c:v>44013</c:v>
                </c:pt>
                <c:pt idx="99">
                  <c:v>44105</c:v>
                </c:pt>
                <c:pt idx="100">
                  <c:v>44197</c:v>
                </c:pt>
                <c:pt idx="101">
                  <c:v>44287</c:v>
                </c:pt>
                <c:pt idx="102">
                  <c:v>44378</c:v>
                </c:pt>
              </c:numCache>
            </c:numRef>
          </c:cat>
          <c:val>
            <c:numRef>
              <c:f>'Step 1 - Check BR'!$B$4:$B$106</c:f>
              <c:numCache>
                <c:formatCode>_-"R$"\ * #,##0_-;\-"R$"\ * #,##0_-;_-"R$"\ * "-"??_-;_-@_-</c:formatCode>
                <c:ptCount val="103"/>
                <c:pt idx="0">
                  <c:v>9316</c:v>
                </c:pt>
                <c:pt idx="1">
                  <c:v>9332</c:v>
                </c:pt>
                <c:pt idx="2">
                  <c:v>9562</c:v>
                </c:pt>
                <c:pt idx="3">
                  <c:v>8216</c:v>
                </c:pt>
                <c:pt idx="4">
                  <c:v>9966</c:v>
                </c:pt>
                <c:pt idx="5">
                  <c:v>9744</c:v>
                </c:pt>
                <c:pt idx="6">
                  <c:v>9703</c:v>
                </c:pt>
                <c:pt idx="7">
                  <c:v>7310</c:v>
                </c:pt>
                <c:pt idx="8">
                  <c:v>9825</c:v>
                </c:pt>
                <c:pt idx="9">
                  <c:v>11018</c:v>
                </c:pt>
                <c:pt idx="10">
                  <c:v>10208</c:v>
                </c:pt>
                <c:pt idx="11">
                  <c:v>6923</c:v>
                </c:pt>
                <c:pt idx="12">
                  <c:v>11061</c:v>
                </c:pt>
                <c:pt idx="13">
                  <c:v>11195</c:v>
                </c:pt>
                <c:pt idx="14">
                  <c:v>10564</c:v>
                </c:pt>
                <c:pt idx="15">
                  <c:v>7633</c:v>
                </c:pt>
                <c:pt idx="16">
                  <c:v>11743</c:v>
                </c:pt>
                <c:pt idx="17">
                  <c:v>11581</c:v>
                </c:pt>
                <c:pt idx="18">
                  <c:v>10722</c:v>
                </c:pt>
                <c:pt idx="19">
                  <c:v>7508</c:v>
                </c:pt>
                <c:pt idx="20">
                  <c:v>12082</c:v>
                </c:pt>
                <c:pt idx="21">
                  <c:v>11932</c:v>
                </c:pt>
                <c:pt idx="22">
                  <c:v>11362</c:v>
                </c:pt>
                <c:pt idx="23">
                  <c:v>8339</c:v>
                </c:pt>
                <c:pt idx="24">
                  <c:v>12651</c:v>
                </c:pt>
                <c:pt idx="25">
                  <c:v>12809</c:v>
                </c:pt>
                <c:pt idx="26">
                  <c:v>12690</c:v>
                </c:pt>
                <c:pt idx="27">
                  <c:v>9072</c:v>
                </c:pt>
                <c:pt idx="28">
                  <c:v>14596</c:v>
                </c:pt>
                <c:pt idx="29">
                  <c:v>14529</c:v>
                </c:pt>
                <c:pt idx="30">
                  <c:v>12876</c:v>
                </c:pt>
                <c:pt idx="31">
                  <c:v>9142</c:v>
                </c:pt>
                <c:pt idx="32">
                  <c:v>14598</c:v>
                </c:pt>
                <c:pt idx="33">
                  <c:v>14821</c:v>
                </c:pt>
                <c:pt idx="34">
                  <c:v>13463</c:v>
                </c:pt>
                <c:pt idx="35">
                  <c:v>9283</c:v>
                </c:pt>
                <c:pt idx="36">
                  <c:v>15062</c:v>
                </c:pt>
                <c:pt idx="37">
                  <c:v>15174</c:v>
                </c:pt>
                <c:pt idx="38">
                  <c:v>13193</c:v>
                </c:pt>
                <c:pt idx="39">
                  <c:v>9320</c:v>
                </c:pt>
                <c:pt idx="40">
                  <c:v>15137</c:v>
                </c:pt>
                <c:pt idx="41">
                  <c:v>15123</c:v>
                </c:pt>
                <c:pt idx="42">
                  <c:v>14659</c:v>
                </c:pt>
                <c:pt idx="43">
                  <c:v>10276</c:v>
                </c:pt>
                <c:pt idx="44">
                  <c:v>15722</c:v>
                </c:pt>
                <c:pt idx="45">
                  <c:v>15214</c:v>
                </c:pt>
                <c:pt idx="46">
                  <c:v>15345</c:v>
                </c:pt>
                <c:pt idx="47">
                  <c:v>10708</c:v>
                </c:pt>
                <c:pt idx="48">
                  <c:v>16470</c:v>
                </c:pt>
                <c:pt idx="49">
                  <c:v>16897</c:v>
                </c:pt>
                <c:pt idx="50">
                  <c:v>16114</c:v>
                </c:pt>
                <c:pt idx="51">
                  <c:v>10796</c:v>
                </c:pt>
                <c:pt idx="52">
                  <c:v>16239</c:v>
                </c:pt>
                <c:pt idx="53">
                  <c:v>15965</c:v>
                </c:pt>
                <c:pt idx="54">
                  <c:v>14906</c:v>
                </c:pt>
                <c:pt idx="55">
                  <c:v>10919</c:v>
                </c:pt>
                <c:pt idx="56">
                  <c:v>17355</c:v>
                </c:pt>
                <c:pt idx="57">
                  <c:v>17571</c:v>
                </c:pt>
                <c:pt idx="58">
                  <c:v>15732</c:v>
                </c:pt>
                <c:pt idx="59">
                  <c:v>11259</c:v>
                </c:pt>
                <c:pt idx="60">
                  <c:v>18287</c:v>
                </c:pt>
                <c:pt idx="61">
                  <c:v>17698</c:v>
                </c:pt>
                <c:pt idx="62">
                  <c:v>16939</c:v>
                </c:pt>
                <c:pt idx="63">
                  <c:v>12483</c:v>
                </c:pt>
                <c:pt idx="64">
                  <c:v>16234</c:v>
                </c:pt>
                <c:pt idx="65">
                  <c:v>17669</c:v>
                </c:pt>
                <c:pt idx="66">
                  <c:v>17741</c:v>
                </c:pt>
                <c:pt idx="67">
                  <c:v>11747</c:v>
                </c:pt>
                <c:pt idx="68">
                  <c:v>19726</c:v>
                </c:pt>
                <c:pt idx="69">
                  <c:v>19464</c:v>
                </c:pt>
                <c:pt idx="70">
                  <c:v>17265</c:v>
                </c:pt>
                <c:pt idx="71">
                  <c:v>12236</c:v>
                </c:pt>
                <c:pt idx="72">
                  <c:v>21086</c:v>
                </c:pt>
                <c:pt idx="73">
                  <c:v>19500</c:v>
                </c:pt>
                <c:pt idx="74">
                  <c:v>17447</c:v>
                </c:pt>
                <c:pt idx="75">
                  <c:v>12575</c:v>
                </c:pt>
                <c:pt idx="76">
                  <c:v>22591</c:v>
                </c:pt>
                <c:pt idx="77">
                  <c:v>20376</c:v>
                </c:pt>
                <c:pt idx="78">
                  <c:v>17409</c:v>
                </c:pt>
                <c:pt idx="79">
                  <c:v>12572</c:v>
                </c:pt>
                <c:pt idx="80">
                  <c:v>20865</c:v>
                </c:pt>
                <c:pt idx="81">
                  <c:v>19295</c:v>
                </c:pt>
                <c:pt idx="82">
                  <c:v>16640</c:v>
                </c:pt>
                <c:pt idx="83">
                  <c:v>12338</c:v>
                </c:pt>
                <c:pt idx="84">
                  <c:v>25121</c:v>
                </c:pt>
                <c:pt idx="85">
                  <c:v>22401</c:v>
                </c:pt>
                <c:pt idx="86">
                  <c:v>18374</c:v>
                </c:pt>
                <c:pt idx="87">
                  <c:v>13025</c:v>
                </c:pt>
                <c:pt idx="88">
                  <c:v>24443</c:v>
                </c:pt>
                <c:pt idx="89">
                  <c:v>22572</c:v>
                </c:pt>
                <c:pt idx="90">
                  <c:v>19261</c:v>
                </c:pt>
                <c:pt idx="91">
                  <c:v>13677</c:v>
                </c:pt>
                <c:pt idx="92">
                  <c:v>24620</c:v>
                </c:pt>
                <c:pt idx="93">
                  <c:v>22786</c:v>
                </c:pt>
                <c:pt idx="94">
                  <c:v>19422</c:v>
                </c:pt>
                <c:pt idx="95">
                  <c:v>13457</c:v>
                </c:pt>
                <c:pt idx="96">
                  <c:v>26107</c:v>
                </c:pt>
                <c:pt idx="97">
                  <c:v>23825</c:v>
                </c:pt>
                <c:pt idx="98">
                  <c:v>19731</c:v>
                </c:pt>
                <c:pt idx="99">
                  <c:v>13636</c:v>
                </c:pt>
                <c:pt idx="100">
                  <c:v>27810</c:v>
                </c:pt>
                <c:pt idx="101">
                  <c:v>23838</c:v>
                </c:pt>
                <c:pt idx="102">
                  <c:v>17963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40-45C8-864B-5F723AC4C5EC}"/>
            </c:ext>
          </c:extLst>
        </c:ser>
        <c:ser>
          <c:idx val="1"/>
          <c:order val="1"/>
          <c:tx>
            <c:strRef>
              <c:f>'Step 1 - Check BR'!$Y$3</c:f>
              <c:strCache>
                <c:ptCount val="1"/>
                <c:pt idx="0">
                  <c:v>Agropecuária - total 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'Step 1 - Check BR'!$A$4:$A$106</c:f>
              <c:numCache>
                <c:formatCode>[$-416]mmm\-yy;@</c:formatCode>
                <c:ptCount val="103"/>
                <c:pt idx="0">
                  <c:v>35065</c:v>
                </c:pt>
                <c:pt idx="1">
                  <c:v>35156</c:v>
                </c:pt>
                <c:pt idx="2">
                  <c:v>35247</c:v>
                </c:pt>
                <c:pt idx="3">
                  <c:v>35339</c:v>
                </c:pt>
                <c:pt idx="4">
                  <c:v>35431</c:v>
                </c:pt>
                <c:pt idx="5">
                  <c:v>35521</c:v>
                </c:pt>
                <c:pt idx="6">
                  <c:v>35612</c:v>
                </c:pt>
                <c:pt idx="7">
                  <c:v>35704</c:v>
                </c:pt>
                <c:pt idx="8">
                  <c:v>35796</c:v>
                </c:pt>
                <c:pt idx="9">
                  <c:v>35886</c:v>
                </c:pt>
                <c:pt idx="10">
                  <c:v>35977</c:v>
                </c:pt>
                <c:pt idx="11">
                  <c:v>36069</c:v>
                </c:pt>
                <c:pt idx="12">
                  <c:v>36161</c:v>
                </c:pt>
                <c:pt idx="13">
                  <c:v>36251</c:v>
                </c:pt>
                <c:pt idx="14">
                  <c:v>36342</c:v>
                </c:pt>
                <c:pt idx="15">
                  <c:v>36434</c:v>
                </c:pt>
                <c:pt idx="16">
                  <c:v>36526</c:v>
                </c:pt>
                <c:pt idx="17">
                  <c:v>36617</c:v>
                </c:pt>
                <c:pt idx="18">
                  <c:v>36708</c:v>
                </c:pt>
                <c:pt idx="19">
                  <c:v>36800</c:v>
                </c:pt>
                <c:pt idx="20">
                  <c:v>36892</c:v>
                </c:pt>
                <c:pt idx="21">
                  <c:v>36982</c:v>
                </c:pt>
                <c:pt idx="22">
                  <c:v>37073</c:v>
                </c:pt>
                <c:pt idx="23">
                  <c:v>37165</c:v>
                </c:pt>
                <c:pt idx="24">
                  <c:v>37257</c:v>
                </c:pt>
                <c:pt idx="25">
                  <c:v>37347</c:v>
                </c:pt>
                <c:pt idx="26">
                  <c:v>37438</c:v>
                </c:pt>
                <c:pt idx="27">
                  <c:v>37530</c:v>
                </c:pt>
                <c:pt idx="28">
                  <c:v>37622</c:v>
                </c:pt>
                <c:pt idx="29">
                  <c:v>37712</c:v>
                </c:pt>
                <c:pt idx="30">
                  <c:v>37803</c:v>
                </c:pt>
                <c:pt idx="31">
                  <c:v>37895</c:v>
                </c:pt>
                <c:pt idx="32">
                  <c:v>37987</c:v>
                </c:pt>
                <c:pt idx="33">
                  <c:v>38078</c:v>
                </c:pt>
                <c:pt idx="34">
                  <c:v>38169</c:v>
                </c:pt>
                <c:pt idx="35">
                  <c:v>38261</c:v>
                </c:pt>
                <c:pt idx="36">
                  <c:v>38353</c:v>
                </c:pt>
                <c:pt idx="37">
                  <c:v>38443</c:v>
                </c:pt>
                <c:pt idx="38">
                  <c:v>38534</c:v>
                </c:pt>
                <c:pt idx="39">
                  <c:v>38626</c:v>
                </c:pt>
                <c:pt idx="40">
                  <c:v>38718</c:v>
                </c:pt>
                <c:pt idx="41">
                  <c:v>38808</c:v>
                </c:pt>
                <c:pt idx="42">
                  <c:v>38899</c:v>
                </c:pt>
                <c:pt idx="43">
                  <c:v>38991</c:v>
                </c:pt>
                <c:pt idx="44">
                  <c:v>39083</c:v>
                </c:pt>
                <c:pt idx="45">
                  <c:v>39173</c:v>
                </c:pt>
                <c:pt idx="46">
                  <c:v>39264</c:v>
                </c:pt>
                <c:pt idx="47">
                  <c:v>39356</c:v>
                </c:pt>
                <c:pt idx="48">
                  <c:v>39448</c:v>
                </c:pt>
                <c:pt idx="49">
                  <c:v>39539</c:v>
                </c:pt>
                <c:pt idx="50">
                  <c:v>39630</c:v>
                </c:pt>
                <c:pt idx="51">
                  <c:v>39722</c:v>
                </c:pt>
                <c:pt idx="52">
                  <c:v>39814</c:v>
                </c:pt>
                <c:pt idx="53">
                  <c:v>39904</c:v>
                </c:pt>
                <c:pt idx="54">
                  <c:v>39995</c:v>
                </c:pt>
                <c:pt idx="55">
                  <c:v>40087</c:v>
                </c:pt>
                <c:pt idx="56">
                  <c:v>40179</c:v>
                </c:pt>
                <c:pt idx="57">
                  <c:v>40269</c:v>
                </c:pt>
                <c:pt idx="58">
                  <c:v>40360</c:v>
                </c:pt>
                <c:pt idx="59">
                  <c:v>40452</c:v>
                </c:pt>
                <c:pt idx="60">
                  <c:v>40544</c:v>
                </c:pt>
                <c:pt idx="61">
                  <c:v>40634</c:v>
                </c:pt>
                <c:pt idx="62">
                  <c:v>40725</c:v>
                </c:pt>
                <c:pt idx="63">
                  <c:v>40817</c:v>
                </c:pt>
                <c:pt idx="64">
                  <c:v>40909</c:v>
                </c:pt>
                <c:pt idx="65">
                  <c:v>41000</c:v>
                </c:pt>
                <c:pt idx="66">
                  <c:v>41091</c:v>
                </c:pt>
                <c:pt idx="67">
                  <c:v>41183</c:v>
                </c:pt>
                <c:pt idx="68">
                  <c:v>41275</c:v>
                </c:pt>
                <c:pt idx="69">
                  <c:v>41365</c:v>
                </c:pt>
                <c:pt idx="70">
                  <c:v>41456</c:v>
                </c:pt>
                <c:pt idx="71">
                  <c:v>41548</c:v>
                </c:pt>
                <c:pt idx="72">
                  <c:v>41640</c:v>
                </c:pt>
                <c:pt idx="73">
                  <c:v>41730</c:v>
                </c:pt>
                <c:pt idx="74">
                  <c:v>41821</c:v>
                </c:pt>
                <c:pt idx="75">
                  <c:v>41913</c:v>
                </c:pt>
                <c:pt idx="76">
                  <c:v>42005</c:v>
                </c:pt>
                <c:pt idx="77">
                  <c:v>42095</c:v>
                </c:pt>
                <c:pt idx="78">
                  <c:v>42186</c:v>
                </c:pt>
                <c:pt idx="79">
                  <c:v>42278</c:v>
                </c:pt>
                <c:pt idx="80">
                  <c:v>42370</c:v>
                </c:pt>
                <c:pt idx="81">
                  <c:v>42461</c:v>
                </c:pt>
                <c:pt idx="82">
                  <c:v>42552</c:v>
                </c:pt>
                <c:pt idx="83">
                  <c:v>42644</c:v>
                </c:pt>
                <c:pt idx="84">
                  <c:v>42736</c:v>
                </c:pt>
                <c:pt idx="85">
                  <c:v>42826</c:v>
                </c:pt>
                <c:pt idx="86">
                  <c:v>42917</c:v>
                </c:pt>
                <c:pt idx="87">
                  <c:v>43009</c:v>
                </c:pt>
                <c:pt idx="88">
                  <c:v>43101</c:v>
                </c:pt>
                <c:pt idx="89">
                  <c:v>43191</c:v>
                </c:pt>
                <c:pt idx="90">
                  <c:v>43282</c:v>
                </c:pt>
                <c:pt idx="91">
                  <c:v>43374</c:v>
                </c:pt>
                <c:pt idx="92">
                  <c:v>43466</c:v>
                </c:pt>
                <c:pt idx="93">
                  <c:v>43556</c:v>
                </c:pt>
                <c:pt idx="94">
                  <c:v>43647</c:v>
                </c:pt>
                <c:pt idx="95">
                  <c:v>43739</c:v>
                </c:pt>
                <c:pt idx="96">
                  <c:v>43831</c:v>
                </c:pt>
                <c:pt idx="97">
                  <c:v>43922</c:v>
                </c:pt>
                <c:pt idx="98">
                  <c:v>44013</c:v>
                </c:pt>
                <c:pt idx="99">
                  <c:v>44105</c:v>
                </c:pt>
                <c:pt idx="100">
                  <c:v>44197</c:v>
                </c:pt>
                <c:pt idx="101">
                  <c:v>44287</c:v>
                </c:pt>
                <c:pt idx="102">
                  <c:v>44378</c:v>
                </c:pt>
              </c:numCache>
            </c:numRef>
          </c:cat>
          <c:val>
            <c:numRef>
              <c:f>'Step 1 - Check BR'!$Y$4:$Y$107</c:f>
              <c:numCache>
                <c:formatCode>_-"R$"\ * #,##0_-;\-"R$"\ * #,##0_-;_-"R$"\ * "-"??_-;_-@_-</c:formatCode>
                <c:ptCount val="104"/>
                <c:pt idx="0">
                  <c:v>8434</c:v>
                </c:pt>
                <c:pt idx="1">
                  <c:v>8543</c:v>
                </c:pt>
                <c:pt idx="2">
                  <c:v>9006</c:v>
                </c:pt>
                <c:pt idx="3">
                  <c:v>11104</c:v>
                </c:pt>
                <c:pt idx="4">
                  <c:v>9020</c:v>
                </c:pt>
                <c:pt idx="5">
                  <c:v>8878</c:v>
                </c:pt>
                <c:pt idx="6">
                  <c:v>9170</c:v>
                </c:pt>
                <c:pt idx="7">
                  <c:v>9943</c:v>
                </c:pt>
                <c:pt idx="8">
                  <c:v>8866</c:v>
                </c:pt>
                <c:pt idx="9">
                  <c:v>9968</c:v>
                </c:pt>
                <c:pt idx="10">
                  <c:v>9710</c:v>
                </c:pt>
                <c:pt idx="11">
                  <c:v>9500</c:v>
                </c:pt>
                <c:pt idx="12">
                  <c:v>9911</c:v>
                </c:pt>
                <c:pt idx="13">
                  <c:v>10079</c:v>
                </c:pt>
                <c:pt idx="14">
                  <c:v>10130</c:v>
                </c:pt>
                <c:pt idx="15">
                  <c:v>10518</c:v>
                </c:pt>
                <c:pt idx="16">
                  <c:v>10458</c:v>
                </c:pt>
                <c:pt idx="17">
                  <c:v>10417</c:v>
                </c:pt>
                <c:pt idx="18">
                  <c:v>10321</c:v>
                </c:pt>
                <c:pt idx="19">
                  <c:v>10383</c:v>
                </c:pt>
                <c:pt idx="20">
                  <c:v>10708</c:v>
                </c:pt>
                <c:pt idx="21">
                  <c:v>10729</c:v>
                </c:pt>
                <c:pt idx="22">
                  <c:v>10972</c:v>
                </c:pt>
                <c:pt idx="23">
                  <c:v>11542</c:v>
                </c:pt>
                <c:pt idx="24">
                  <c:v>11208</c:v>
                </c:pt>
                <c:pt idx="25">
                  <c:v>11474</c:v>
                </c:pt>
                <c:pt idx="26">
                  <c:v>12280</c:v>
                </c:pt>
                <c:pt idx="27">
                  <c:v>12629</c:v>
                </c:pt>
                <c:pt idx="28">
                  <c:v>12921</c:v>
                </c:pt>
                <c:pt idx="29">
                  <c:v>12916</c:v>
                </c:pt>
                <c:pt idx="30">
                  <c:v>12544</c:v>
                </c:pt>
                <c:pt idx="31">
                  <c:v>12760</c:v>
                </c:pt>
                <c:pt idx="32">
                  <c:v>12911</c:v>
                </c:pt>
                <c:pt idx="33">
                  <c:v>13134</c:v>
                </c:pt>
                <c:pt idx="34">
                  <c:v>13133</c:v>
                </c:pt>
                <c:pt idx="35">
                  <c:v>12979</c:v>
                </c:pt>
                <c:pt idx="36">
                  <c:v>13307</c:v>
                </c:pt>
                <c:pt idx="37">
                  <c:v>13482</c:v>
                </c:pt>
                <c:pt idx="38">
                  <c:v>12846</c:v>
                </c:pt>
                <c:pt idx="39">
                  <c:v>12960</c:v>
                </c:pt>
                <c:pt idx="40">
                  <c:v>13399</c:v>
                </c:pt>
                <c:pt idx="41">
                  <c:v>13554</c:v>
                </c:pt>
                <c:pt idx="42">
                  <c:v>14139</c:v>
                </c:pt>
                <c:pt idx="43">
                  <c:v>14212</c:v>
                </c:pt>
                <c:pt idx="44">
                  <c:v>13984</c:v>
                </c:pt>
                <c:pt idx="45">
                  <c:v>13696</c:v>
                </c:pt>
                <c:pt idx="46">
                  <c:v>14729</c:v>
                </c:pt>
                <c:pt idx="47">
                  <c:v>14733</c:v>
                </c:pt>
                <c:pt idx="48">
                  <c:v>14714</c:v>
                </c:pt>
                <c:pt idx="49">
                  <c:v>15192</c:v>
                </c:pt>
                <c:pt idx="50">
                  <c:v>15482</c:v>
                </c:pt>
                <c:pt idx="51">
                  <c:v>14869</c:v>
                </c:pt>
                <c:pt idx="52">
                  <c:v>14467</c:v>
                </c:pt>
                <c:pt idx="53">
                  <c:v>14307</c:v>
                </c:pt>
                <c:pt idx="54">
                  <c:v>14440</c:v>
                </c:pt>
                <c:pt idx="55">
                  <c:v>15062</c:v>
                </c:pt>
                <c:pt idx="56">
                  <c:v>15351</c:v>
                </c:pt>
                <c:pt idx="57">
                  <c:v>15715</c:v>
                </c:pt>
                <c:pt idx="58">
                  <c:v>15359</c:v>
                </c:pt>
                <c:pt idx="59">
                  <c:v>15630</c:v>
                </c:pt>
                <c:pt idx="60">
                  <c:v>15996</c:v>
                </c:pt>
                <c:pt idx="61">
                  <c:v>15840</c:v>
                </c:pt>
                <c:pt idx="62">
                  <c:v>16649</c:v>
                </c:pt>
                <c:pt idx="63">
                  <c:v>17467</c:v>
                </c:pt>
                <c:pt idx="64">
                  <c:v>14046</c:v>
                </c:pt>
                <c:pt idx="65">
                  <c:v>15791</c:v>
                </c:pt>
                <c:pt idx="66">
                  <c:v>17575</c:v>
                </c:pt>
                <c:pt idx="67">
                  <c:v>16657</c:v>
                </c:pt>
                <c:pt idx="68">
                  <c:v>16803</c:v>
                </c:pt>
                <c:pt idx="69">
                  <c:v>17370</c:v>
                </c:pt>
                <c:pt idx="70">
                  <c:v>17319</c:v>
                </c:pt>
                <c:pt idx="71">
                  <c:v>17543</c:v>
                </c:pt>
                <c:pt idx="72">
                  <c:v>17672</c:v>
                </c:pt>
                <c:pt idx="73">
                  <c:v>17371</c:v>
                </c:pt>
                <c:pt idx="74">
                  <c:v>17749</c:v>
                </c:pt>
                <c:pt idx="75">
                  <c:v>18230</c:v>
                </c:pt>
                <c:pt idx="76">
                  <c:v>18641</c:v>
                </c:pt>
                <c:pt idx="77">
                  <c:v>18100</c:v>
                </c:pt>
                <c:pt idx="78">
                  <c:v>17962</c:v>
                </c:pt>
                <c:pt idx="79">
                  <c:v>18374</c:v>
                </c:pt>
                <c:pt idx="80">
                  <c:v>17041</c:v>
                </c:pt>
                <c:pt idx="81">
                  <c:v>17063</c:v>
                </c:pt>
                <c:pt idx="82">
                  <c:v>17349</c:v>
                </c:pt>
                <c:pt idx="83">
                  <c:v>18194</c:v>
                </c:pt>
                <c:pt idx="84">
                  <c:v>20363</c:v>
                </c:pt>
                <c:pt idx="85">
                  <c:v>19729</c:v>
                </c:pt>
                <c:pt idx="86">
                  <c:v>19290</c:v>
                </c:pt>
                <c:pt idx="87">
                  <c:v>19365</c:v>
                </c:pt>
                <c:pt idx="88">
                  <c:v>19693</c:v>
                </c:pt>
                <c:pt idx="89">
                  <c:v>19843</c:v>
                </c:pt>
                <c:pt idx="90">
                  <c:v>20307</c:v>
                </c:pt>
                <c:pt idx="91">
                  <c:v>20516</c:v>
                </c:pt>
                <c:pt idx="92">
                  <c:v>19669</c:v>
                </c:pt>
                <c:pt idx="93">
                  <c:v>20032</c:v>
                </c:pt>
                <c:pt idx="94">
                  <c:v>20605</c:v>
                </c:pt>
                <c:pt idx="95">
                  <c:v>20382</c:v>
                </c:pt>
                <c:pt idx="96">
                  <c:v>20593</c:v>
                </c:pt>
                <c:pt idx="97">
                  <c:v>20980</c:v>
                </c:pt>
                <c:pt idx="98">
                  <c:v>21167</c:v>
                </c:pt>
                <c:pt idx="99">
                  <c:v>20758</c:v>
                </c:pt>
                <c:pt idx="100">
                  <c:v>21656</c:v>
                </c:pt>
                <c:pt idx="101">
                  <c:v>21049</c:v>
                </c:pt>
                <c:pt idx="102">
                  <c:v>19482</c:v>
                </c:pt>
                <c:pt idx="103">
                  <c:v>20612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40-45C8-864B-5F723AC4C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837056"/>
        <c:axId val="780837888"/>
      </c:lineChart>
      <c:dateAx>
        <c:axId val="780837056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837888"/>
        <c:crosses val="autoZero"/>
        <c:auto val="1"/>
        <c:lblOffset val="100"/>
        <c:baseTimeUnit val="months"/>
      </c:dateAx>
      <c:valAx>
        <c:axId val="780837888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\ * #,##0_-;\-&quot;R$&quot;\ * #,##0_-;_-&quot;R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83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National Accounts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'Step 1 - Check BR'!$B$3</c:f>
              <c:strCache>
                <c:ptCount val="1"/>
                <c:pt idx="0">
                  <c:v>Agropecuária - total OBS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'Step 1 - Check BR'!$A$4:$A$106</c:f>
              <c:numCache>
                <c:formatCode>[$-416]mmm\-yy;@</c:formatCode>
                <c:ptCount val="103"/>
                <c:pt idx="0">
                  <c:v>35065</c:v>
                </c:pt>
                <c:pt idx="1">
                  <c:v>35156</c:v>
                </c:pt>
                <c:pt idx="2">
                  <c:v>35247</c:v>
                </c:pt>
                <c:pt idx="3">
                  <c:v>35339</c:v>
                </c:pt>
                <c:pt idx="4">
                  <c:v>35431</c:v>
                </c:pt>
                <c:pt idx="5">
                  <c:v>35521</c:v>
                </c:pt>
                <c:pt idx="6">
                  <c:v>35612</c:v>
                </c:pt>
                <c:pt idx="7">
                  <c:v>35704</c:v>
                </c:pt>
                <c:pt idx="8">
                  <c:v>35796</c:v>
                </c:pt>
                <c:pt idx="9">
                  <c:v>35886</c:v>
                </c:pt>
                <c:pt idx="10">
                  <c:v>35977</c:v>
                </c:pt>
                <c:pt idx="11">
                  <c:v>36069</c:v>
                </c:pt>
                <c:pt idx="12">
                  <c:v>36161</c:v>
                </c:pt>
                <c:pt idx="13">
                  <c:v>36251</c:v>
                </c:pt>
                <c:pt idx="14">
                  <c:v>36342</c:v>
                </c:pt>
                <c:pt idx="15">
                  <c:v>36434</c:v>
                </c:pt>
                <c:pt idx="16">
                  <c:v>36526</c:v>
                </c:pt>
                <c:pt idx="17">
                  <c:v>36617</c:v>
                </c:pt>
                <c:pt idx="18">
                  <c:v>36708</c:v>
                </c:pt>
                <c:pt idx="19">
                  <c:v>36800</c:v>
                </c:pt>
                <c:pt idx="20">
                  <c:v>36892</c:v>
                </c:pt>
                <c:pt idx="21">
                  <c:v>36982</c:v>
                </c:pt>
                <c:pt idx="22">
                  <c:v>37073</c:v>
                </c:pt>
                <c:pt idx="23">
                  <c:v>37165</c:v>
                </c:pt>
                <c:pt idx="24">
                  <c:v>37257</c:v>
                </c:pt>
                <c:pt idx="25">
                  <c:v>37347</c:v>
                </c:pt>
                <c:pt idx="26">
                  <c:v>37438</c:v>
                </c:pt>
                <c:pt idx="27">
                  <c:v>37530</c:v>
                </c:pt>
                <c:pt idx="28">
                  <c:v>37622</c:v>
                </c:pt>
                <c:pt idx="29">
                  <c:v>37712</c:v>
                </c:pt>
                <c:pt idx="30">
                  <c:v>37803</c:v>
                </c:pt>
                <c:pt idx="31">
                  <c:v>37895</c:v>
                </c:pt>
                <c:pt idx="32">
                  <c:v>37987</c:v>
                </c:pt>
                <c:pt idx="33">
                  <c:v>38078</c:v>
                </c:pt>
                <c:pt idx="34">
                  <c:v>38169</c:v>
                </c:pt>
                <c:pt idx="35">
                  <c:v>38261</c:v>
                </c:pt>
                <c:pt idx="36">
                  <c:v>38353</c:v>
                </c:pt>
                <c:pt idx="37">
                  <c:v>38443</c:v>
                </c:pt>
                <c:pt idx="38">
                  <c:v>38534</c:v>
                </c:pt>
                <c:pt idx="39">
                  <c:v>38626</c:v>
                </c:pt>
                <c:pt idx="40">
                  <c:v>38718</c:v>
                </c:pt>
                <c:pt idx="41">
                  <c:v>38808</c:v>
                </c:pt>
                <c:pt idx="42">
                  <c:v>38899</c:v>
                </c:pt>
                <c:pt idx="43">
                  <c:v>38991</c:v>
                </c:pt>
                <c:pt idx="44">
                  <c:v>39083</c:v>
                </c:pt>
                <c:pt idx="45">
                  <c:v>39173</c:v>
                </c:pt>
                <c:pt idx="46">
                  <c:v>39264</c:v>
                </c:pt>
                <c:pt idx="47">
                  <c:v>39356</c:v>
                </c:pt>
                <c:pt idx="48">
                  <c:v>39448</c:v>
                </c:pt>
                <c:pt idx="49">
                  <c:v>39539</c:v>
                </c:pt>
                <c:pt idx="50">
                  <c:v>39630</c:v>
                </c:pt>
                <c:pt idx="51">
                  <c:v>39722</c:v>
                </c:pt>
                <c:pt idx="52">
                  <c:v>39814</c:v>
                </c:pt>
                <c:pt idx="53">
                  <c:v>39904</c:v>
                </c:pt>
                <c:pt idx="54">
                  <c:v>39995</c:v>
                </c:pt>
                <c:pt idx="55">
                  <c:v>40087</c:v>
                </c:pt>
                <c:pt idx="56">
                  <c:v>40179</c:v>
                </c:pt>
                <c:pt idx="57">
                  <c:v>40269</c:v>
                </c:pt>
                <c:pt idx="58">
                  <c:v>40360</c:v>
                </c:pt>
                <c:pt idx="59">
                  <c:v>40452</c:v>
                </c:pt>
                <c:pt idx="60">
                  <c:v>40544</c:v>
                </c:pt>
                <c:pt idx="61">
                  <c:v>40634</c:v>
                </c:pt>
                <c:pt idx="62">
                  <c:v>40725</c:v>
                </c:pt>
                <c:pt idx="63">
                  <c:v>40817</c:v>
                </c:pt>
                <c:pt idx="64">
                  <c:v>40909</c:v>
                </c:pt>
                <c:pt idx="65">
                  <c:v>41000</c:v>
                </c:pt>
                <c:pt idx="66">
                  <c:v>41091</c:v>
                </c:pt>
                <c:pt idx="67">
                  <c:v>41183</c:v>
                </c:pt>
                <c:pt idx="68">
                  <c:v>41275</c:v>
                </c:pt>
                <c:pt idx="69">
                  <c:v>41365</c:v>
                </c:pt>
                <c:pt idx="70">
                  <c:v>41456</c:v>
                </c:pt>
                <c:pt idx="71">
                  <c:v>41548</c:v>
                </c:pt>
                <c:pt idx="72">
                  <c:v>41640</c:v>
                </c:pt>
                <c:pt idx="73">
                  <c:v>41730</c:v>
                </c:pt>
                <c:pt idx="74">
                  <c:v>41821</c:v>
                </c:pt>
                <c:pt idx="75">
                  <c:v>41913</c:v>
                </c:pt>
                <c:pt idx="76">
                  <c:v>42005</c:v>
                </c:pt>
                <c:pt idx="77">
                  <c:v>42095</c:v>
                </c:pt>
                <c:pt idx="78">
                  <c:v>42186</c:v>
                </c:pt>
                <c:pt idx="79">
                  <c:v>42278</c:v>
                </c:pt>
                <c:pt idx="80">
                  <c:v>42370</c:v>
                </c:pt>
                <c:pt idx="81">
                  <c:v>42461</c:v>
                </c:pt>
                <c:pt idx="82">
                  <c:v>42552</c:v>
                </c:pt>
                <c:pt idx="83">
                  <c:v>42644</c:v>
                </c:pt>
                <c:pt idx="84">
                  <c:v>42736</c:v>
                </c:pt>
                <c:pt idx="85">
                  <c:v>42826</c:v>
                </c:pt>
                <c:pt idx="86">
                  <c:v>42917</c:v>
                </c:pt>
                <c:pt idx="87">
                  <c:v>43009</c:v>
                </c:pt>
                <c:pt idx="88">
                  <c:v>43101</c:v>
                </c:pt>
                <c:pt idx="89">
                  <c:v>43191</c:v>
                </c:pt>
                <c:pt idx="90">
                  <c:v>43282</c:v>
                </c:pt>
                <c:pt idx="91">
                  <c:v>43374</c:v>
                </c:pt>
                <c:pt idx="92">
                  <c:v>43466</c:v>
                </c:pt>
                <c:pt idx="93">
                  <c:v>43556</c:v>
                </c:pt>
                <c:pt idx="94">
                  <c:v>43647</c:v>
                </c:pt>
                <c:pt idx="95">
                  <c:v>43739</c:v>
                </c:pt>
                <c:pt idx="96">
                  <c:v>43831</c:v>
                </c:pt>
                <c:pt idx="97">
                  <c:v>43922</c:v>
                </c:pt>
                <c:pt idx="98">
                  <c:v>44013</c:v>
                </c:pt>
                <c:pt idx="99">
                  <c:v>44105</c:v>
                </c:pt>
                <c:pt idx="100">
                  <c:v>44197</c:v>
                </c:pt>
                <c:pt idx="101">
                  <c:v>44287</c:v>
                </c:pt>
                <c:pt idx="102">
                  <c:v>44378</c:v>
                </c:pt>
              </c:numCache>
            </c:numRef>
          </c:cat>
          <c:val>
            <c:numRef>
              <c:f>'Step 1 - Check BR'!$B$4:$B$106</c:f>
              <c:numCache>
                <c:formatCode>_-"R$"\ * #,##0_-;\-"R$"\ * #,##0_-;_-"R$"\ * "-"??_-;_-@_-</c:formatCode>
                <c:ptCount val="103"/>
                <c:pt idx="0">
                  <c:v>9316</c:v>
                </c:pt>
                <c:pt idx="1">
                  <c:v>9332</c:v>
                </c:pt>
                <c:pt idx="2">
                  <c:v>9562</c:v>
                </c:pt>
                <c:pt idx="3">
                  <c:v>8216</c:v>
                </c:pt>
                <c:pt idx="4">
                  <c:v>9966</c:v>
                </c:pt>
                <c:pt idx="5">
                  <c:v>9744</c:v>
                </c:pt>
                <c:pt idx="6">
                  <c:v>9703</c:v>
                </c:pt>
                <c:pt idx="7">
                  <c:v>7310</c:v>
                </c:pt>
                <c:pt idx="8">
                  <c:v>9825</c:v>
                </c:pt>
                <c:pt idx="9">
                  <c:v>11018</c:v>
                </c:pt>
                <c:pt idx="10">
                  <c:v>10208</c:v>
                </c:pt>
                <c:pt idx="11">
                  <c:v>6923</c:v>
                </c:pt>
                <c:pt idx="12">
                  <c:v>11061</c:v>
                </c:pt>
                <c:pt idx="13">
                  <c:v>11195</c:v>
                </c:pt>
                <c:pt idx="14">
                  <c:v>10564</c:v>
                </c:pt>
                <c:pt idx="15">
                  <c:v>7633</c:v>
                </c:pt>
                <c:pt idx="16">
                  <c:v>11743</c:v>
                </c:pt>
                <c:pt idx="17">
                  <c:v>11581</c:v>
                </c:pt>
                <c:pt idx="18">
                  <c:v>10722</c:v>
                </c:pt>
                <c:pt idx="19">
                  <c:v>7508</c:v>
                </c:pt>
                <c:pt idx="20">
                  <c:v>12082</c:v>
                </c:pt>
                <c:pt idx="21">
                  <c:v>11932</c:v>
                </c:pt>
                <c:pt idx="22">
                  <c:v>11362</c:v>
                </c:pt>
                <c:pt idx="23">
                  <c:v>8339</c:v>
                </c:pt>
                <c:pt idx="24">
                  <c:v>12651</c:v>
                </c:pt>
                <c:pt idx="25">
                  <c:v>12809</c:v>
                </c:pt>
                <c:pt idx="26">
                  <c:v>12690</c:v>
                </c:pt>
                <c:pt idx="27">
                  <c:v>9072</c:v>
                </c:pt>
                <c:pt idx="28">
                  <c:v>14596</c:v>
                </c:pt>
                <c:pt idx="29">
                  <c:v>14529</c:v>
                </c:pt>
                <c:pt idx="30">
                  <c:v>12876</c:v>
                </c:pt>
                <c:pt idx="31">
                  <c:v>9142</c:v>
                </c:pt>
                <c:pt idx="32">
                  <c:v>14598</c:v>
                </c:pt>
                <c:pt idx="33">
                  <c:v>14821</c:v>
                </c:pt>
                <c:pt idx="34">
                  <c:v>13463</c:v>
                </c:pt>
                <c:pt idx="35">
                  <c:v>9283</c:v>
                </c:pt>
                <c:pt idx="36">
                  <c:v>15062</c:v>
                </c:pt>
                <c:pt idx="37">
                  <c:v>15174</c:v>
                </c:pt>
                <c:pt idx="38">
                  <c:v>13193</c:v>
                </c:pt>
                <c:pt idx="39">
                  <c:v>9320</c:v>
                </c:pt>
                <c:pt idx="40">
                  <c:v>15137</c:v>
                </c:pt>
                <c:pt idx="41">
                  <c:v>15123</c:v>
                </c:pt>
                <c:pt idx="42">
                  <c:v>14659</c:v>
                </c:pt>
                <c:pt idx="43">
                  <c:v>10276</c:v>
                </c:pt>
                <c:pt idx="44">
                  <c:v>15722</c:v>
                </c:pt>
                <c:pt idx="45">
                  <c:v>15214</c:v>
                </c:pt>
                <c:pt idx="46">
                  <c:v>15345</c:v>
                </c:pt>
                <c:pt idx="47">
                  <c:v>10708</c:v>
                </c:pt>
                <c:pt idx="48">
                  <c:v>16470</c:v>
                </c:pt>
                <c:pt idx="49">
                  <c:v>16897</c:v>
                </c:pt>
                <c:pt idx="50">
                  <c:v>16114</c:v>
                </c:pt>
                <c:pt idx="51">
                  <c:v>10796</c:v>
                </c:pt>
                <c:pt idx="52">
                  <c:v>16239</c:v>
                </c:pt>
                <c:pt idx="53">
                  <c:v>15965</c:v>
                </c:pt>
                <c:pt idx="54">
                  <c:v>14906</c:v>
                </c:pt>
                <c:pt idx="55">
                  <c:v>10919</c:v>
                </c:pt>
                <c:pt idx="56">
                  <c:v>17355</c:v>
                </c:pt>
                <c:pt idx="57">
                  <c:v>17571</c:v>
                </c:pt>
                <c:pt idx="58">
                  <c:v>15732</c:v>
                </c:pt>
                <c:pt idx="59">
                  <c:v>11259</c:v>
                </c:pt>
                <c:pt idx="60">
                  <c:v>18287</c:v>
                </c:pt>
                <c:pt idx="61">
                  <c:v>17698</c:v>
                </c:pt>
                <c:pt idx="62">
                  <c:v>16939</c:v>
                </c:pt>
                <c:pt idx="63">
                  <c:v>12483</c:v>
                </c:pt>
                <c:pt idx="64">
                  <c:v>16234</c:v>
                </c:pt>
                <c:pt idx="65">
                  <c:v>17669</c:v>
                </c:pt>
                <c:pt idx="66">
                  <c:v>17741</c:v>
                </c:pt>
                <c:pt idx="67">
                  <c:v>11747</c:v>
                </c:pt>
                <c:pt idx="68">
                  <c:v>19726</c:v>
                </c:pt>
                <c:pt idx="69">
                  <c:v>19464</c:v>
                </c:pt>
                <c:pt idx="70">
                  <c:v>17265</c:v>
                </c:pt>
                <c:pt idx="71">
                  <c:v>12236</c:v>
                </c:pt>
                <c:pt idx="72">
                  <c:v>21086</c:v>
                </c:pt>
                <c:pt idx="73">
                  <c:v>19500</c:v>
                </c:pt>
                <c:pt idx="74">
                  <c:v>17447</c:v>
                </c:pt>
                <c:pt idx="75">
                  <c:v>12575</c:v>
                </c:pt>
                <c:pt idx="76">
                  <c:v>22591</c:v>
                </c:pt>
                <c:pt idx="77">
                  <c:v>20376</c:v>
                </c:pt>
                <c:pt idx="78">
                  <c:v>17409</c:v>
                </c:pt>
                <c:pt idx="79">
                  <c:v>12572</c:v>
                </c:pt>
                <c:pt idx="80">
                  <c:v>20865</c:v>
                </c:pt>
                <c:pt idx="81">
                  <c:v>19295</c:v>
                </c:pt>
                <c:pt idx="82">
                  <c:v>16640</c:v>
                </c:pt>
                <c:pt idx="83">
                  <c:v>12338</c:v>
                </c:pt>
                <c:pt idx="84">
                  <c:v>25121</c:v>
                </c:pt>
                <c:pt idx="85">
                  <c:v>22401</c:v>
                </c:pt>
                <c:pt idx="86">
                  <c:v>18374</c:v>
                </c:pt>
                <c:pt idx="87">
                  <c:v>13025</c:v>
                </c:pt>
                <c:pt idx="88">
                  <c:v>24443</c:v>
                </c:pt>
                <c:pt idx="89">
                  <c:v>22572</c:v>
                </c:pt>
                <c:pt idx="90">
                  <c:v>19261</c:v>
                </c:pt>
                <c:pt idx="91">
                  <c:v>13677</c:v>
                </c:pt>
                <c:pt idx="92">
                  <c:v>24620</c:v>
                </c:pt>
                <c:pt idx="93">
                  <c:v>22786</c:v>
                </c:pt>
                <c:pt idx="94">
                  <c:v>19422</c:v>
                </c:pt>
                <c:pt idx="95">
                  <c:v>13457</c:v>
                </c:pt>
                <c:pt idx="96">
                  <c:v>26107</c:v>
                </c:pt>
                <c:pt idx="97">
                  <c:v>23825</c:v>
                </c:pt>
                <c:pt idx="98">
                  <c:v>19731</c:v>
                </c:pt>
                <c:pt idx="99">
                  <c:v>13636</c:v>
                </c:pt>
                <c:pt idx="100">
                  <c:v>27810</c:v>
                </c:pt>
                <c:pt idx="101">
                  <c:v>23838</c:v>
                </c:pt>
                <c:pt idx="102">
                  <c:v>17963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3-4622-AD4D-13C6DA4FA895}"/>
            </c:ext>
          </c:extLst>
        </c:ser>
        <c:ser>
          <c:idx val="1"/>
          <c:order val="1"/>
          <c:tx>
            <c:v>xlDESSAZ SA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'Step 1 - Check BR'!$A$4:$A$106</c:f>
              <c:numCache>
                <c:formatCode>[$-416]mmm\-yy;@</c:formatCode>
                <c:ptCount val="103"/>
                <c:pt idx="0">
                  <c:v>35065</c:v>
                </c:pt>
                <c:pt idx="1">
                  <c:v>35156</c:v>
                </c:pt>
                <c:pt idx="2">
                  <c:v>35247</c:v>
                </c:pt>
                <c:pt idx="3">
                  <c:v>35339</c:v>
                </c:pt>
                <c:pt idx="4">
                  <c:v>35431</c:v>
                </c:pt>
                <c:pt idx="5">
                  <c:v>35521</c:v>
                </c:pt>
                <c:pt idx="6">
                  <c:v>35612</c:v>
                </c:pt>
                <c:pt idx="7">
                  <c:v>35704</c:v>
                </c:pt>
                <c:pt idx="8">
                  <c:v>35796</c:v>
                </c:pt>
                <c:pt idx="9">
                  <c:v>35886</c:v>
                </c:pt>
                <c:pt idx="10">
                  <c:v>35977</c:v>
                </c:pt>
                <c:pt idx="11">
                  <c:v>36069</c:v>
                </c:pt>
                <c:pt idx="12">
                  <c:v>36161</c:v>
                </c:pt>
                <c:pt idx="13">
                  <c:v>36251</c:v>
                </c:pt>
                <c:pt idx="14">
                  <c:v>36342</c:v>
                </c:pt>
                <c:pt idx="15">
                  <c:v>36434</c:v>
                </c:pt>
                <c:pt idx="16">
                  <c:v>36526</c:v>
                </c:pt>
                <c:pt idx="17">
                  <c:v>36617</c:v>
                </c:pt>
                <c:pt idx="18">
                  <c:v>36708</c:v>
                </c:pt>
                <c:pt idx="19">
                  <c:v>36800</c:v>
                </c:pt>
                <c:pt idx="20">
                  <c:v>36892</c:v>
                </c:pt>
                <c:pt idx="21">
                  <c:v>36982</c:v>
                </c:pt>
                <c:pt idx="22">
                  <c:v>37073</c:v>
                </c:pt>
                <c:pt idx="23">
                  <c:v>37165</c:v>
                </c:pt>
                <c:pt idx="24">
                  <c:v>37257</c:v>
                </c:pt>
                <c:pt idx="25">
                  <c:v>37347</c:v>
                </c:pt>
                <c:pt idx="26">
                  <c:v>37438</c:v>
                </c:pt>
                <c:pt idx="27">
                  <c:v>37530</c:v>
                </c:pt>
                <c:pt idx="28">
                  <c:v>37622</c:v>
                </c:pt>
                <c:pt idx="29">
                  <c:v>37712</c:v>
                </c:pt>
                <c:pt idx="30">
                  <c:v>37803</c:v>
                </c:pt>
                <c:pt idx="31">
                  <c:v>37895</c:v>
                </c:pt>
                <c:pt idx="32">
                  <c:v>37987</c:v>
                </c:pt>
                <c:pt idx="33">
                  <c:v>38078</c:v>
                </c:pt>
                <c:pt idx="34">
                  <c:v>38169</c:v>
                </c:pt>
                <c:pt idx="35">
                  <c:v>38261</c:v>
                </c:pt>
                <c:pt idx="36">
                  <c:v>38353</c:v>
                </c:pt>
                <c:pt idx="37">
                  <c:v>38443</c:v>
                </c:pt>
                <c:pt idx="38">
                  <c:v>38534</c:v>
                </c:pt>
                <c:pt idx="39">
                  <c:v>38626</c:v>
                </c:pt>
                <c:pt idx="40">
                  <c:v>38718</c:v>
                </c:pt>
                <c:pt idx="41">
                  <c:v>38808</c:v>
                </c:pt>
                <c:pt idx="42">
                  <c:v>38899</c:v>
                </c:pt>
                <c:pt idx="43">
                  <c:v>38991</c:v>
                </c:pt>
                <c:pt idx="44">
                  <c:v>39083</c:v>
                </c:pt>
                <c:pt idx="45">
                  <c:v>39173</c:v>
                </c:pt>
                <c:pt idx="46">
                  <c:v>39264</c:v>
                </c:pt>
                <c:pt idx="47">
                  <c:v>39356</c:v>
                </c:pt>
                <c:pt idx="48">
                  <c:v>39448</c:v>
                </c:pt>
                <c:pt idx="49">
                  <c:v>39539</c:v>
                </c:pt>
                <c:pt idx="50">
                  <c:v>39630</c:v>
                </c:pt>
                <c:pt idx="51">
                  <c:v>39722</c:v>
                </c:pt>
                <c:pt idx="52">
                  <c:v>39814</c:v>
                </c:pt>
                <c:pt idx="53">
                  <c:v>39904</c:v>
                </c:pt>
                <c:pt idx="54">
                  <c:v>39995</c:v>
                </c:pt>
                <c:pt idx="55">
                  <c:v>40087</c:v>
                </c:pt>
                <c:pt idx="56">
                  <c:v>40179</c:v>
                </c:pt>
                <c:pt idx="57">
                  <c:v>40269</c:v>
                </c:pt>
                <c:pt idx="58">
                  <c:v>40360</c:v>
                </c:pt>
                <c:pt idx="59">
                  <c:v>40452</c:v>
                </c:pt>
                <c:pt idx="60">
                  <c:v>40544</c:v>
                </c:pt>
                <c:pt idx="61">
                  <c:v>40634</c:v>
                </c:pt>
                <c:pt idx="62">
                  <c:v>40725</c:v>
                </c:pt>
                <c:pt idx="63">
                  <c:v>40817</c:v>
                </c:pt>
                <c:pt idx="64">
                  <c:v>40909</c:v>
                </c:pt>
                <c:pt idx="65">
                  <c:v>41000</c:v>
                </c:pt>
                <c:pt idx="66">
                  <c:v>41091</c:v>
                </c:pt>
                <c:pt idx="67">
                  <c:v>41183</c:v>
                </c:pt>
                <c:pt idx="68">
                  <c:v>41275</c:v>
                </c:pt>
                <c:pt idx="69">
                  <c:v>41365</c:v>
                </c:pt>
                <c:pt idx="70">
                  <c:v>41456</c:v>
                </c:pt>
                <c:pt idx="71">
                  <c:v>41548</c:v>
                </c:pt>
                <c:pt idx="72">
                  <c:v>41640</c:v>
                </c:pt>
                <c:pt idx="73">
                  <c:v>41730</c:v>
                </c:pt>
                <c:pt idx="74">
                  <c:v>41821</c:v>
                </c:pt>
                <c:pt idx="75">
                  <c:v>41913</c:v>
                </c:pt>
                <c:pt idx="76">
                  <c:v>42005</c:v>
                </c:pt>
                <c:pt idx="77">
                  <c:v>42095</c:v>
                </c:pt>
                <c:pt idx="78">
                  <c:v>42186</c:v>
                </c:pt>
                <c:pt idx="79">
                  <c:v>42278</c:v>
                </c:pt>
                <c:pt idx="80">
                  <c:v>42370</c:v>
                </c:pt>
                <c:pt idx="81">
                  <c:v>42461</c:v>
                </c:pt>
                <c:pt idx="82">
                  <c:v>42552</c:v>
                </c:pt>
                <c:pt idx="83">
                  <c:v>42644</c:v>
                </c:pt>
                <c:pt idx="84">
                  <c:v>42736</c:v>
                </c:pt>
                <c:pt idx="85">
                  <c:v>42826</c:v>
                </c:pt>
                <c:pt idx="86">
                  <c:v>42917</c:v>
                </c:pt>
                <c:pt idx="87">
                  <c:v>43009</c:v>
                </c:pt>
                <c:pt idx="88">
                  <c:v>43101</c:v>
                </c:pt>
                <c:pt idx="89">
                  <c:v>43191</c:v>
                </c:pt>
                <c:pt idx="90">
                  <c:v>43282</c:v>
                </c:pt>
                <c:pt idx="91">
                  <c:v>43374</c:v>
                </c:pt>
                <c:pt idx="92">
                  <c:v>43466</c:v>
                </c:pt>
                <c:pt idx="93">
                  <c:v>43556</c:v>
                </c:pt>
                <c:pt idx="94">
                  <c:v>43647</c:v>
                </c:pt>
                <c:pt idx="95">
                  <c:v>43739</c:v>
                </c:pt>
                <c:pt idx="96">
                  <c:v>43831</c:v>
                </c:pt>
                <c:pt idx="97">
                  <c:v>43922</c:v>
                </c:pt>
                <c:pt idx="98">
                  <c:v>44013</c:v>
                </c:pt>
                <c:pt idx="99">
                  <c:v>44105</c:v>
                </c:pt>
                <c:pt idx="100">
                  <c:v>44197</c:v>
                </c:pt>
                <c:pt idx="101">
                  <c:v>44287</c:v>
                </c:pt>
                <c:pt idx="102">
                  <c:v>44378</c:v>
                </c:pt>
              </c:numCache>
            </c:numRef>
          </c:cat>
          <c:val>
            <c:numRef>
              <c:f>'Step 1 - Check BR'!$AU$4:$AU$106</c:f>
              <c:numCache>
                <c:formatCode>_-"R$"\ * #,##0_-;\-"R$"\ * #,##0_-;_-"R$"\ * "-"??_-;_-@_-</c:formatCode>
                <c:ptCount val="103"/>
                <c:pt idx="0">
                  <c:v>8434</c:v>
                </c:pt>
                <c:pt idx="1">
                  <c:v>8542</c:v>
                </c:pt>
                <c:pt idx="2">
                  <c:v>9006</c:v>
                </c:pt>
                <c:pt idx="3">
                  <c:v>11104</c:v>
                </c:pt>
                <c:pt idx="4">
                  <c:v>9020</c:v>
                </c:pt>
                <c:pt idx="5">
                  <c:v>8878</c:v>
                </c:pt>
                <c:pt idx="6">
                  <c:v>9170</c:v>
                </c:pt>
                <c:pt idx="7">
                  <c:v>9942</c:v>
                </c:pt>
                <c:pt idx="8">
                  <c:v>8866</c:v>
                </c:pt>
                <c:pt idx="9">
                  <c:v>9968</c:v>
                </c:pt>
                <c:pt idx="10">
                  <c:v>9710</c:v>
                </c:pt>
                <c:pt idx="11">
                  <c:v>9500</c:v>
                </c:pt>
                <c:pt idx="12">
                  <c:v>9911</c:v>
                </c:pt>
                <c:pt idx="13">
                  <c:v>10079</c:v>
                </c:pt>
                <c:pt idx="14">
                  <c:v>10129</c:v>
                </c:pt>
                <c:pt idx="15">
                  <c:v>10518</c:v>
                </c:pt>
                <c:pt idx="16">
                  <c:v>10458</c:v>
                </c:pt>
                <c:pt idx="17">
                  <c:v>10417</c:v>
                </c:pt>
                <c:pt idx="18">
                  <c:v>10321</c:v>
                </c:pt>
                <c:pt idx="19">
                  <c:v>10383</c:v>
                </c:pt>
                <c:pt idx="20">
                  <c:v>10708</c:v>
                </c:pt>
                <c:pt idx="21">
                  <c:v>10729</c:v>
                </c:pt>
                <c:pt idx="22">
                  <c:v>10971</c:v>
                </c:pt>
                <c:pt idx="23">
                  <c:v>11542</c:v>
                </c:pt>
                <c:pt idx="24">
                  <c:v>11208</c:v>
                </c:pt>
                <c:pt idx="25">
                  <c:v>11475</c:v>
                </c:pt>
                <c:pt idx="26">
                  <c:v>12280</c:v>
                </c:pt>
                <c:pt idx="27">
                  <c:v>12629</c:v>
                </c:pt>
                <c:pt idx="28">
                  <c:v>12921</c:v>
                </c:pt>
                <c:pt idx="29">
                  <c:v>12915</c:v>
                </c:pt>
                <c:pt idx="30">
                  <c:v>12543</c:v>
                </c:pt>
                <c:pt idx="31">
                  <c:v>12760</c:v>
                </c:pt>
                <c:pt idx="32">
                  <c:v>12911</c:v>
                </c:pt>
                <c:pt idx="33">
                  <c:v>13135</c:v>
                </c:pt>
                <c:pt idx="34">
                  <c:v>13134</c:v>
                </c:pt>
                <c:pt idx="35">
                  <c:v>12979</c:v>
                </c:pt>
                <c:pt idx="36">
                  <c:v>13307</c:v>
                </c:pt>
                <c:pt idx="37">
                  <c:v>13482</c:v>
                </c:pt>
                <c:pt idx="38">
                  <c:v>12846</c:v>
                </c:pt>
                <c:pt idx="39">
                  <c:v>12960</c:v>
                </c:pt>
                <c:pt idx="40">
                  <c:v>13399</c:v>
                </c:pt>
                <c:pt idx="41">
                  <c:v>13554</c:v>
                </c:pt>
                <c:pt idx="42">
                  <c:v>14139</c:v>
                </c:pt>
                <c:pt idx="43">
                  <c:v>14211</c:v>
                </c:pt>
                <c:pt idx="44">
                  <c:v>13984</c:v>
                </c:pt>
                <c:pt idx="45">
                  <c:v>13697</c:v>
                </c:pt>
                <c:pt idx="46">
                  <c:v>14729</c:v>
                </c:pt>
                <c:pt idx="47">
                  <c:v>14734</c:v>
                </c:pt>
                <c:pt idx="48">
                  <c:v>14714</c:v>
                </c:pt>
                <c:pt idx="49">
                  <c:v>15192</c:v>
                </c:pt>
                <c:pt idx="50">
                  <c:v>15482</c:v>
                </c:pt>
                <c:pt idx="51">
                  <c:v>14869</c:v>
                </c:pt>
                <c:pt idx="52">
                  <c:v>14467</c:v>
                </c:pt>
                <c:pt idx="53">
                  <c:v>14306</c:v>
                </c:pt>
                <c:pt idx="54">
                  <c:v>14440</c:v>
                </c:pt>
                <c:pt idx="55">
                  <c:v>15062</c:v>
                </c:pt>
                <c:pt idx="56">
                  <c:v>15352</c:v>
                </c:pt>
                <c:pt idx="57">
                  <c:v>15715</c:v>
                </c:pt>
                <c:pt idx="58">
                  <c:v>15360</c:v>
                </c:pt>
                <c:pt idx="59">
                  <c:v>15630</c:v>
                </c:pt>
                <c:pt idx="60">
                  <c:v>15996</c:v>
                </c:pt>
                <c:pt idx="61">
                  <c:v>15840</c:v>
                </c:pt>
                <c:pt idx="62">
                  <c:v>16650</c:v>
                </c:pt>
                <c:pt idx="63">
                  <c:v>17466</c:v>
                </c:pt>
                <c:pt idx="64">
                  <c:v>14047</c:v>
                </c:pt>
                <c:pt idx="65">
                  <c:v>15791</c:v>
                </c:pt>
                <c:pt idx="66">
                  <c:v>17575</c:v>
                </c:pt>
                <c:pt idx="67">
                  <c:v>16658</c:v>
                </c:pt>
                <c:pt idx="68">
                  <c:v>16803</c:v>
                </c:pt>
                <c:pt idx="69">
                  <c:v>17370</c:v>
                </c:pt>
                <c:pt idx="70">
                  <c:v>17318</c:v>
                </c:pt>
                <c:pt idx="71">
                  <c:v>17542</c:v>
                </c:pt>
                <c:pt idx="72">
                  <c:v>17672</c:v>
                </c:pt>
                <c:pt idx="73">
                  <c:v>17371</c:v>
                </c:pt>
                <c:pt idx="74">
                  <c:v>17748</c:v>
                </c:pt>
                <c:pt idx="75">
                  <c:v>18230</c:v>
                </c:pt>
                <c:pt idx="76">
                  <c:v>18641</c:v>
                </c:pt>
                <c:pt idx="77">
                  <c:v>18100</c:v>
                </c:pt>
                <c:pt idx="78">
                  <c:v>17962</c:v>
                </c:pt>
                <c:pt idx="79">
                  <c:v>18374</c:v>
                </c:pt>
                <c:pt idx="80">
                  <c:v>17041</c:v>
                </c:pt>
                <c:pt idx="81">
                  <c:v>17064</c:v>
                </c:pt>
                <c:pt idx="82">
                  <c:v>17349</c:v>
                </c:pt>
                <c:pt idx="83">
                  <c:v>18195</c:v>
                </c:pt>
                <c:pt idx="84">
                  <c:v>20363</c:v>
                </c:pt>
                <c:pt idx="85">
                  <c:v>19729</c:v>
                </c:pt>
                <c:pt idx="86">
                  <c:v>19289</c:v>
                </c:pt>
                <c:pt idx="87">
                  <c:v>19365</c:v>
                </c:pt>
                <c:pt idx="88">
                  <c:v>19693</c:v>
                </c:pt>
                <c:pt idx="89">
                  <c:v>19842</c:v>
                </c:pt>
                <c:pt idx="90">
                  <c:v>20307</c:v>
                </c:pt>
                <c:pt idx="91">
                  <c:v>20516</c:v>
                </c:pt>
                <c:pt idx="92">
                  <c:v>19669</c:v>
                </c:pt>
                <c:pt idx="93">
                  <c:v>20032</c:v>
                </c:pt>
                <c:pt idx="94">
                  <c:v>20605</c:v>
                </c:pt>
                <c:pt idx="95">
                  <c:v>20381</c:v>
                </c:pt>
                <c:pt idx="96">
                  <c:v>20593</c:v>
                </c:pt>
                <c:pt idx="97">
                  <c:v>20981</c:v>
                </c:pt>
                <c:pt idx="98">
                  <c:v>21166</c:v>
                </c:pt>
                <c:pt idx="99">
                  <c:v>20759</c:v>
                </c:pt>
                <c:pt idx="100">
                  <c:v>21655</c:v>
                </c:pt>
                <c:pt idx="101">
                  <c:v>21049</c:v>
                </c:pt>
                <c:pt idx="102">
                  <c:v>19482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93-4622-AD4D-13C6DA4FA8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837056"/>
        <c:axId val="780837888"/>
      </c:lineChart>
      <c:dateAx>
        <c:axId val="780837056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837888"/>
        <c:crosses val="autoZero"/>
        <c:auto val="1"/>
        <c:lblOffset val="100"/>
        <c:baseTimeUnit val="months"/>
      </c:dateAx>
      <c:valAx>
        <c:axId val="780837888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\ * #,##0_-;\-&quot;R$&quot;\ * #,##0_-;_-&quot;R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83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Difference of SAs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'Step 1 - Check BR'!$BR$3</c:f>
              <c:strCache>
                <c:ptCount val="1"/>
                <c:pt idx="0">
                  <c:v>Diff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'Step 1 - Check BR'!$A$4:$A$106</c:f>
              <c:numCache>
                <c:formatCode>[$-416]mmm\-yy;@</c:formatCode>
                <c:ptCount val="103"/>
                <c:pt idx="0">
                  <c:v>35065</c:v>
                </c:pt>
                <c:pt idx="1">
                  <c:v>35156</c:v>
                </c:pt>
                <c:pt idx="2">
                  <c:v>35247</c:v>
                </c:pt>
                <c:pt idx="3">
                  <c:v>35339</c:v>
                </c:pt>
                <c:pt idx="4">
                  <c:v>35431</c:v>
                </c:pt>
                <c:pt idx="5">
                  <c:v>35521</c:v>
                </c:pt>
                <c:pt idx="6">
                  <c:v>35612</c:v>
                </c:pt>
                <c:pt idx="7">
                  <c:v>35704</c:v>
                </c:pt>
                <c:pt idx="8">
                  <c:v>35796</c:v>
                </c:pt>
                <c:pt idx="9">
                  <c:v>35886</c:v>
                </c:pt>
                <c:pt idx="10">
                  <c:v>35977</c:v>
                </c:pt>
                <c:pt idx="11">
                  <c:v>36069</c:v>
                </c:pt>
                <c:pt idx="12">
                  <c:v>36161</c:v>
                </c:pt>
                <c:pt idx="13">
                  <c:v>36251</c:v>
                </c:pt>
                <c:pt idx="14">
                  <c:v>36342</c:v>
                </c:pt>
                <c:pt idx="15">
                  <c:v>36434</c:v>
                </c:pt>
                <c:pt idx="16">
                  <c:v>36526</c:v>
                </c:pt>
                <c:pt idx="17">
                  <c:v>36617</c:v>
                </c:pt>
                <c:pt idx="18">
                  <c:v>36708</c:v>
                </c:pt>
                <c:pt idx="19">
                  <c:v>36800</c:v>
                </c:pt>
                <c:pt idx="20">
                  <c:v>36892</c:v>
                </c:pt>
                <c:pt idx="21">
                  <c:v>36982</c:v>
                </c:pt>
                <c:pt idx="22">
                  <c:v>37073</c:v>
                </c:pt>
                <c:pt idx="23">
                  <c:v>37165</c:v>
                </c:pt>
                <c:pt idx="24">
                  <c:v>37257</c:v>
                </c:pt>
                <c:pt idx="25">
                  <c:v>37347</c:v>
                </c:pt>
                <c:pt idx="26">
                  <c:v>37438</c:v>
                </c:pt>
                <c:pt idx="27">
                  <c:v>37530</c:v>
                </c:pt>
                <c:pt idx="28">
                  <c:v>37622</c:v>
                </c:pt>
                <c:pt idx="29">
                  <c:v>37712</c:v>
                </c:pt>
                <c:pt idx="30">
                  <c:v>37803</c:v>
                </c:pt>
                <c:pt idx="31">
                  <c:v>37895</c:v>
                </c:pt>
                <c:pt idx="32">
                  <c:v>37987</c:v>
                </c:pt>
                <c:pt idx="33">
                  <c:v>38078</c:v>
                </c:pt>
                <c:pt idx="34">
                  <c:v>38169</c:v>
                </c:pt>
                <c:pt idx="35">
                  <c:v>38261</c:v>
                </c:pt>
                <c:pt idx="36">
                  <c:v>38353</c:v>
                </c:pt>
                <c:pt idx="37">
                  <c:v>38443</c:v>
                </c:pt>
                <c:pt idx="38">
                  <c:v>38534</c:v>
                </c:pt>
                <c:pt idx="39">
                  <c:v>38626</c:v>
                </c:pt>
                <c:pt idx="40">
                  <c:v>38718</c:v>
                </c:pt>
                <c:pt idx="41">
                  <c:v>38808</c:v>
                </c:pt>
                <c:pt idx="42">
                  <c:v>38899</c:v>
                </c:pt>
                <c:pt idx="43">
                  <c:v>38991</c:v>
                </c:pt>
                <c:pt idx="44">
                  <c:v>39083</c:v>
                </c:pt>
                <c:pt idx="45">
                  <c:v>39173</c:v>
                </c:pt>
                <c:pt idx="46">
                  <c:v>39264</c:v>
                </c:pt>
                <c:pt idx="47">
                  <c:v>39356</c:v>
                </c:pt>
                <c:pt idx="48">
                  <c:v>39448</c:v>
                </c:pt>
                <c:pt idx="49">
                  <c:v>39539</c:v>
                </c:pt>
                <c:pt idx="50">
                  <c:v>39630</c:v>
                </c:pt>
                <c:pt idx="51">
                  <c:v>39722</c:v>
                </c:pt>
                <c:pt idx="52">
                  <c:v>39814</c:v>
                </c:pt>
                <c:pt idx="53">
                  <c:v>39904</c:v>
                </c:pt>
                <c:pt idx="54">
                  <c:v>39995</c:v>
                </c:pt>
                <c:pt idx="55">
                  <c:v>40087</c:v>
                </c:pt>
                <c:pt idx="56">
                  <c:v>40179</c:v>
                </c:pt>
                <c:pt idx="57">
                  <c:v>40269</c:v>
                </c:pt>
                <c:pt idx="58">
                  <c:v>40360</c:v>
                </c:pt>
                <c:pt idx="59">
                  <c:v>40452</c:v>
                </c:pt>
                <c:pt idx="60">
                  <c:v>40544</c:v>
                </c:pt>
                <c:pt idx="61">
                  <c:v>40634</c:v>
                </c:pt>
                <c:pt idx="62">
                  <c:v>40725</c:v>
                </c:pt>
                <c:pt idx="63">
                  <c:v>40817</c:v>
                </c:pt>
                <c:pt idx="64">
                  <c:v>40909</c:v>
                </c:pt>
                <c:pt idx="65">
                  <c:v>41000</c:v>
                </c:pt>
                <c:pt idx="66">
                  <c:v>41091</c:v>
                </c:pt>
                <c:pt idx="67">
                  <c:v>41183</c:v>
                </c:pt>
                <c:pt idx="68">
                  <c:v>41275</c:v>
                </c:pt>
                <c:pt idx="69">
                  <c:v>41365</c:v>
                </c:pt>
                <c:pt idx="70">
                  <c:v>41456</c:v>
                </c:pt>
                <c:pt idx="71">
                  <c:v>41548</c:v>
                </c:pt>
                <c:pt idx="72">
                  <c:v>41640</c:v>
                </c:pt>
                <c:pt idx="73">
                  <c:v>41730</c:v>
                </c:pt>
                <c:pt idx="74">
                  <c:v>41821</c:v>
                </c:pt>
                <c:pt idx="75">
                  <c:v>41913</c:v>
                </c:pt>
                <c:pt idx="76">
                  <c:v>42005</c:v>
                </c:pt>
                <c:pt idx="77">
                  <c:v>42095</c:v>
                </c:pt>
                <c:pt idx="78">
                  <c:v>42186</c:v>
                </c:pt>
                <c:pt idx="79">
                  <c:v>42278</c:v>
                </c:pt>
                <c:pt idx="80">
                  <c:v>42370</c:v>
                </c:pt>
                <c:pt idx="81">
                  <c:v>42461</c:v>
                </c:pt>
                <c:pt idx="82">
                  <c:v>42552</c:v>
                </c:pt>
                <c:pt idx="83">
                  <c:v>42644</c:v>
                </c:pt>
                <c:pt idx="84">
                  <c:v>42736</c:v>
                </c:pt>
                <c:pt idx="85">
                  <c:v>42826</c:v>
                </c:pt>
                <c:pt idx="86">
                  <c:v>42917</c:v>
                </c:pt>
                <c:pt idx="87">
                  <c:v>43009</c:v>
                </c:pt>
                <c:pt idx="88">
                  <c:v>43101</c:v>
                </c:pt>
                <c:pt idx="89">
                  <c:v>43191</c:v>
                </c:pt>
                <c:pt idx="90">
                  <c:v>43282</c:v>
                </c:pt>
                <c:pt idx="91">
                  <c:v>43374</c:v>
                </c:pt>
                <c:pt idx="92">
                  <c:v>43466</c:v>
                </c:pt>
                <c:pt idx="93">
                  <c:v>43556</c:v>
                </c:pt>
                <c:pt idx="94">
                  <c:v>43647</c:v>
                </c:pt>
                <c:pt idx="95">
                  <c:v>43739</c:v>
                </c:pt>
                <c:pt idx="96">
                  <c:v>43831</c:v>
                </c:pt>
                <c:pt idx="97">
                  <c:v>43922</c:v>
                </c:pt>
                <c:pt idx="98">
                  <c:v>44013</c:v>
                </c:pt>
                <c:pt idx="99">
                  <c:v>44105</c:v>
                </c:pt>
                <c:pt idx="100">
                  <c:v>44197</c:v>
                </c:pt>
                <c:pt idx="101">
                  <c:v>44287</c:v>
                </c:pt>
                <c:pt idx="102">
                  <c:v>44378</c:v>
                </c:pt>
              </c:numCache>
            </c:numRef>
          </c:cat>
          <c:val>
            <c:numRef>
              <c:f>'Step 1 - Check BR'!$BR$4:$BR$106</c:f>
              <c:numCache>
                <c:formatCode>0.0%</c:formatCode>
                <c:ptCount val="103"/>
                <c:pt idx="0">
                  <c:v>0</c:v>
                </c:pt>
                <c:pt idx="1">
                  <c:v>-1.1705489874751258E-4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-1.0057326762546515E-4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-9.871668311944718E-5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-9.1141086401749904E-5</c:v>
                </c:pt>
                <c:pt idx="23">
                  <c:v>0</c:v>
                </c:pt>
                <c:pt idx="24">
                  <c:v>0</c:v>
                </c:pt>
                <c:pt idx="25">
                  <c:v>8.7153564580791349E-5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-7.7423350882626198E-5</c:v>
                </c:pt>
                <c:pt idx="30">
                  <c:v>-7.9719387755102034E-5</c:v>
                </c:pt>
                <c:pt idx="31">
                  <c:v>0</c:v>
                </c:pt>
                <c:pt idx="32">
                  <c:v>0</c:v>
                </c:pt>
                <c:pt idx="33">
                  <c:v>7.6138267093040957E-5</c:v>
                </c:pt>
                <c:pt idx="34">
                  <c:v>7.6144064570166754E-5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-7.0363073459048689E-5</c:v>
                </c:pt>
                <c:pt idx="44">
                  <c:v>0</c:v>
                </c:pt>
                <c:pt idx="45">
                  <c:v>7.301401869158878E-5</c:v>
                </c:pt>
                <c:pt idx="46">
                  <c:v>0</c:v>
                </c:pt>
                <c:pt idx="47">
                  <c:v>6.7874838797257856E-5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-6.9895855175788074E-5</c:v>
                </c:pt>
                <c:pt idx="54">
                  <c:v>0</c:v>
                </c:pt>
                <c:pt idx="55">
                  <c:v>0</c:v>
                </c:pt>
                <c:pt idx="56">
                  <c:v>6.5142336004169103E-5</c:v>
                </c:pt>
                <c:pt idx="57">
                  <c:v>0</c:v>
                </c:pt>
                <c:pt idx="58">
                  <c:v>6.5108405495149422E-5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6.0063667487536791E-5</c:v>
                </c:pt>
                <c:pt idx="63">
                  <c:v>-5.7250815824125495E-5</c:v>
                </c:pt>
                <c:pt idx="64">
                  <c:v>7.1194646162608578E-5</c:v>
                </c:pt>
                <c:pt idx="65">
                  <c:v>0</c:v>
                </c:pt>
                <c:pt idx="66">
                  <c:v>0</c:v>
                </c:pt>
                <c:pt idx="67">
                  <c:v>6.0034820195713513E-5</c:v>
                </c:pt>
                <c:pt idx="68">
                  <c:v>0</c:v>
                </c:pt>
                <c:pt idx="69">
                  <c:v>0</c:v>
                </c:pt>
                <c:pt idx="70">
                  <c:v>-5.7740054275651017E-5</c:v>
                </c:pt>
                <c:pt idx="71">
                  <c:v>-5.7002793136863709E-5</c:v>
                </c:pt>
                <c:pt idx="72">
                  <c:v>0</c:v>
                </c:pt>
                <c:pt idx="73">
                  <c:v>0</c:v>
                </c:pt>
                <c:pt idx="74">
                  <c:v>-5.6341202321257534E-5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5.8606341206118502E-5</c:v>
                </c:pt>
                <c:pt idx="82">
                  <c:v>0</c:v>
                </c:pt>
                <c:pt idx="83">
                  <c:v>5.4963174672969111E-5</c:v>
                </c:pt>
                <c:pt idx="84">
                  <c:v>0</c:v>
                </c:pt>
                <c:pt idx="85">
                  <c:v>0</c:v>
                </c:pt>
                <c:pt idx="86">
                  <c:v>-5.1840331778123379E-5</c:v>
                </c:pt>
                <c:pt idx="87">
                  <c:v>0</c:v>
                </c:pt>
                <c:pt idx="88">
                  <c:v>0</c:v>
                </c:pt>
                <c:pt idx="89">
                  <c:v>-5.0395605503200118E-5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-4.9062898636051415E-5</c:v>
                </c:pt>
                <c:pt idx="96">
                  <c:v>0</c:v>
                </c:pt>
                <c:pt idx="97">
                  <c:v>4.7664442326024783E-5</c:v>
                </c:pt>
                <c:pt idx="98">
                  <c:v>-4.7243350498417346E-5</c:v>
                </c:pt>
                <c:pt idx="99">
                  <c:v>4.8174197899604971E-5</c:v>
                </c:pt>
                <c:pt idx="100">
                  <c:v>-4.6176579239009974E-5</c:v>
                </c:pt>
                <c:pt idx="101">
                  <c:v>0</c:v>
                </c:pt>
                <c:pt idx="10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EB-422C-B091-2E1586F0E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80837056"/>
        <c:axId val="780837888"/>
      </c:barChart>
      <c:dateAx>
        <c:axId val="780837056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837888"/>
        <c:crosses val="autoZero"/>
        <c:auto val="1"/>
        <c:lblOffset val="100"/>
        <c:baseTimeUnit val="months"/>
      </c:dateAx>
      <c:valAx>
        <c:axId val="780837888"/>
        <c:scaling>
          <c:orientation val="minMax"/>
          <c:max val="1.0000000000000002E-2"/>
          <c:min val="-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83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82827</xdr:colOff>
      <xdr:row>5</xdr:row>
      <xdr:rowOff>173937</xdr:rowOff>
    </xdr:from>
    <xdr:to>
      <xdr:col>77</xdr:col>
      <xdr:colOff>596348</xdr:colOff>
      <xdr:row>16</xdr:row>
      <xdr:rowOff>124239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608D176-276A-489F-9811-2BD6DB8E16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74544</xdr:colOff>
      <xdr:row>16</xdr:row>
      <xdr:rowOff>165652</xdr:rowOff>
    </xdr:from>
    <xdr:to>
      <xdr:col>77</xdr:col>
      <xdr:colOff>588065</xdr:colOff>
      <xdr:row>27</xdr:row>
      <xdr:rowOff>16565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F9939D3-AB4B-453B-ADD8-7634F5C755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74543</xdr:colOff>
      <xdr:row>27</xdr:row>
      <xdr:rowOff>66262</xdr:rowOff>
    </xdr:from>
    <xdr:to>
      <xdr:col>77</xdr:col>
      <xdr:colOff>588064</xdr:colOff>
      <xdr:row>38</xdr:row>
      <xdr:rowOff>16565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3AAF88B-E608-459A-97A0-609B51E40B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duardo/Google%20Drive/Meus%20Projetos/xlFOCUS/xlFOCU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Summary"/>
      <sheetName val="Exp Monthly"/>
      <sheetName val="Exp Quarterly"/>
      <sheetName val="Exp Annual"/>
      <sheetName val="Exp 12 Months"/>
      <sheetName val="Top5 Monthly"/>
      <sheetName val="Top5 Annual"/>
      <sheetName val="Exp Institutions"/>
      <sheetName val="URL to Table"/>
      <sheetName val="File to Table"/>
      <sheetName val="SGS"/>
      <sheetName val="SCR"/>
      <sheetName val="SCR 2"/>
      <sheetName val="SCR Daily"/>
      <sheetName val="SCR Monthly"/>
      <sheetName val="Real Estate"/>
      <sheetName val="SGS vs FOCUS"/>
      <sheetName val="SGS vs FOCUS 2"/>
      <sheetName val="Holiday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>
        <row r="2">
          <cell r="A2">
            <v>36892</v>
          </cell>
        </row>
        <row r="3">
          <cell r="A3">
            <v>36948</v>
          </cell>
        </row>
        <row r="4">
          <cell r="A4">
            <v>36949</v>
          </cell>
        </row>
        <row r="5">
          <cell r="A5">
            <v>36994</v>
          </cell>
        </row>
        <row r="6">
          <cell r="A6">
            <v>37002</v>
          </cell>
        </row>
        <row r="7">
          <cell r="A7">
            <v>37012</v>
          </cell>
        </row>
        <row r="8">
          <cell r="A8">
            <v>37056</v>
          </cell>
        </row>
        <row r="9">
          <cell r="A9">
            <v>37141</v>
          </cell>
        </row>
        <row r="10">
          <cell r="A10">
            <v>37176</v>
          </cell>
        </row>
        <row r="11">
          <cell r="A11">
            <v>37197</v>
          </cell>
        </row>
        <row r="12">
          <cell r="A12">
            <v>37210</v>
          </cell>
        </row>
        <row r="13">
          <cell r="A13">
            <v>37250</v>
          </cell>
        </row>
        <row r="14">
          <cell r="A14">
            <v>37257</v>
          </cell>
        </row>
        <row r="15">
          <cell r="A15">
            <v>37298</v>
          </cell>
        </row>
        <row r="16">
          <cell r="A16">
            <v>37299</v>
          </cell>
        </row>
        <row r="17">
          <cell r="A17">
            <v>37344</v>
          </cell>
        </row>
        <row r="18">
          <cell r="A18">
            <v>37367</v>
          </cell>
        </row>
        <row r="19">
          <cell r="A19">
            <v>37377</v>
          </cell>
        </row>
        <row r="20">
          <cell r="A20">
            <v>37406</v>
          </cell>
        </row>
        <row r="21">
          <cell r="A21">
            <v>37506</v>
          </cell>
        </row>
        <row r="22">
          <cell r="A22">
            <v>37541</v>
          </cell>
        </row>
        <row r="23">
          <cell r="A23">
            <v>37562</v>
          </cell>
        </row>
        <row r="24">
          <cell r="A24">
            <v>37575</v>
          </cell>
        </row>
        <row r="25">
          <cell r="A25">
            <v>37615</v>
          </cell>
        </row>
        <row r="26">
          <cell r="A26">
            <v>37622</v>
          </cell>
        </row>
        <row r="27">
          <cell r="A27">
            <v>37683</v>
          </cell>
        </row>
        <row r="28">
          <cell r="A28">
            <v>37684</v>
          </cell>
        </row>
        <row r="29">
          <cell r="A29">
            <v>37729</v>
          </cell>
        </row>
        <row r="30">
          <cell r="A30">
            <v>37732</v>
          </cell>
        </row>
        <row r="31">
          <cell r="A31">
            <v>37742</v>
          </cell>
        </row>
        <row r="32">
          <cell r="A32">
            <v>37791</v>
          </cell>
        </row>
        <row r="33">
          <cell r="A33">
            <v>37871</v>
          </cell>
        </row>
        <row r="34">
          <cell r="A34">
            <v>37906</v>
          </cell>
        </row>
        <row r="35">
          <cell r="A35">
            <v>37927</v>
          </cell>
        </row>
        <row r="36">
          <cell r="A36">
            <v>37940</v>
          </cell>
        </row>
        <row r="37">
          <cell r="A37">
            <v>37980</v>
          </cell>
        </row>
        <row r="38">
          <cell r="A38">
            <v>37987</v>
          </cell>
        </row>
        <row r="39">
          <cell r="A39">
            <v>38040</v>
          </cell>
        </row>
        <row r="40">
          <cell r="A40">
            <v>38041</v>
          </cell>
        </row>
        <row r="41">
          <cell r="A41">
            <v>38086</v>
          </cell>
        </row>
        <row r="42">
          <cell r="A42">
            <v>38098</v>
          </cell>
        </row>
        <row r="43">
          <cell r="A43">
            <v>38108</v>
          </cell>
        </row>
        <row r="44">
          <cell r="A44">
            <v>38148</v>
          </cell>
        </row>
        <row r="45">
          <cell r="A45">
            <v>38237</v>
          </cell>
        </row>
        <row r="46">
          <cell r="A46">
            <v>38272</v>
          </cell>
        </row>
        <row r="47">
          <cell r="A47">
            <v>38293</v>
          </cell>
        </row>
        <row r="48">
          <cell r="A48">
            <v>38306</v>
          </cell>
        </row>
        <row r="49">
          <cell r="A49">
            <v>38346</v>
          </cell>
        </row>
        <row r="50">
          <cell r="A50">
            <v>38353</v>
          </cell>
        </row>
        <row r="51">
          <cell r="A51">
            <v>38390</v>
          </cell>
        </row>
        <row r="52">
          <cell r="A52">
            <v>38391</v>
          </cell>
        </row>
        <row r="53">
          <cell r="A53">
            <v>38436</v>
          </cell>
        </row>
        <row r="54">
          <cell r="A54">
            <v>38463</v>
          </cell>
        </row>
        <row r="55">
          <cell r="A55">
            <v>38473</v>
          </cell>
        </row>
        <row r="56">
          <cell r="A56">
            <v>38498</v>
          </cell>
        </row>
        <row r="57">
          <cell r="A57">
            <v>38602</v>
          </cell>
        </row>
        <row r="58">
          <cell r="A58">
            <v>38637</v>
          </cell>
        </row>
        <row r="59">
          <cell r="A59">
            <v>38658</v>
          </cell>
        </row>
        <row r="60">
          <cell r="A60">
            <v>38671</v>
          </cell>
        </row>
        <row r="61">
          <cell r="A61">
            <v>38711</v>
          </cell>
        </row>
        <row r="62">
          <cell r="A62">
            <v>38718</v>
          </cell>
        </row>
        <row r="63">
          <cell r="A63">
            <v>38775</v>
          </cell>
        </row>
        <row r="64">
          <cell r="A64">
            <v>38776</v>
          </cell>
        </row>
        <row r="65">
          <cell r="A65">
            <v>38821</v>
          </cell>
        </row>
        <row r="66">
          <cell r="A66">
            <v>38828</v>
          </cell>
        </row>
        <row r="67">
          <cell r="A67">
            <v>38838</v>
          </cell>
        </row>
        <row r="68">
          <cell r="A68">
            <v>38883</v>
          </cell>
        </row>
        <row r="69">
          <cell r="A69">
            <v>38967</v>
          </cell>
        </row>
        <row r="70">
          <cell r="A70">
            <v>39002</v>
          </cell>
        </row>
        <row r="71">
          <cell r="A71">
            <v>39023</v>
          </cell>
        </row>
        <row r="72">
          <cell r="A72">
            <v>39036</v>
          </cell>
        </row>
        <row r="73">
          <cell r="A73">
            <v>39076</v>
          </cell>
        </row>
        <row r="74">
          <cell r="A74">
            <v>39083</v>
          </cell>
        </row>
        <row r="75">
          <cell r="A75">
            <v>39132</v>
          </cell>
        </row>
        <row r="76">
          <cell r="A76">
            <v>39133</v>
          </cell>
        </row>
        <row r="77">
          <cell r="A77">
            <v>39178</v>
          </cell>
        </row>
        <row r="78">
          <cell r="A78">
            <v>39193</v>
          </cell>
        </row>
        <row r="79">
          <cell r="A79">
            <v>39203</v>
          </cell>
        </row>
        <row r="80">
          <cell r="A80">
            <v>39240</v>
          </cell>
        </row>
        <row r="81">
          <cell r="A81">
            <v>39332</v>
          </cell>
        </row>
        <row r="82">
          <cell r="A82">
            <v>39367</v>
          </cell>
        </row>
        <row r="83">
          <cell r="A83">
            <v>39388</v>
          </cell>
        </row>
        <row r="84">
          <cell r="A84">
            <v>39401</v>
          </cell>
        </row>
        <row r="85">
          <cell r="A85">
            <v>39441</v>
          </cell>
        </row>
        <row r="86">
          <cell r="A86">
            <v>39448</v>
          </cell>
        </row>
        <row r="87">
          <cell r="A87">
            <v>39482</v>
          </cell>
        </row>
        <row r="88">
          <cell r="A88">
            <v>39483</v>
          </cell>
        </row>
        <row r="89">
          <cell r="A89">
            <v>39528</v>
          </cell>
        </row>
        <row r="90">
          <cell r="A90">
            <v>39559</v>
          </cell>
        </row>
        <row r="91">
          <cell r="A91">
            <v>39569</v>
          </cell>
        </row>
        <row r="92">
          <cell r="A92">
            <v>39590</v>
          </cell>
        </row>
        <row r="93">
          <cell r="A93">
            <v>39698</v>
          </cell>
        </row>
        <row r="94">
          <cell r="A94">
            <v>39733</v>
          </cell>
        </row>
        <row r="95">
          <cell r="A95">
            <v>39754</v>
          </cell>
        </row>
        <row r="96">
          <cell r="A96">
            <v>39767</v>
          </cell>
        </row>
        <row r="97">
          <cell r="A97">
            <v>39807</v>
          </cell>
        </row>
        <row r="98">
          <cell r="A98">
            <v>39814</v>
          </cell>
        </row>
        <row r="99">
          <cell r="A99">
            <v>39867</v>
          </cell>
        </row>
        <row r="100">
          <cell r="A100">
            <v>39868</v>
          </cell>
        </row>
        <row r="101">
          <cell r="A101">
            <v>39913</v>
          </cell>
        </row>
        <row r="102">
          <cell r="A102">
            <v>39924</v>
          </cell>
        </row>
        <row r="103">
          <cell r="A103">
            <v>39934</v>
          </cell>
        </row>
        <row r="104">
          <cell r="A104">
            <v>39975</v>
          </cell>
        </row>
        <row r="105">
          <cell r="A105">
            <v>40063</v>
          </cell>
        </row>
        <row r="106">
          <cell r="A106">
            <v>40098</v>
          </cell>
        </row>
        <row r="107">
          <cell r="A107">
            <v>40119</v>
          </cell>
        </row>
        <row r="108">
          <cell r="A108">
            <v>40132</v>
          </cell>
        </row>
        <row r="109">
          <cell r="A109">
            <v>40172</v>
          </cell>
        </row>
        <row r="110">
          <cell r="A110">
            <v>40179</v>
          </cell>
        </row>
        <row r="111">
          <cell r="A111">
            <v>40224</v>
          </cell>
        </row>
        <row r="112">
          <cell r="A112">
            <v>40225</v>
          </cell>
        </row>
        <row r="113">
          <cell r="A113">
            <v>40270</v>
          </cell>
        </row>
        <row r="114">
          <cell r="A114">
            <v>40289</v>
          </cell>
        </row>
        <row r="115">
          <cell r="A115">
            <v>40299</v>
          </cell>
        </row>
        <row r="116">
          <cell r="A116">
            <v>40332</v>
          </cell>
        </row>
        <row r="117">
          <cell r="A117">
            <v>40428</v>
          </cell>
        </row>
        <row r="118">
          <cell r="A118">
            <v>40463</v>
          </cell>
        </row>
        <row r="119">
          <cell r="A119">
            <v>40484</v>
          </cell>
        </row>
        <row r="120">
          <cell r="A120">
            <v>40497</v>
          </cell>
        </row>
        <row r="121">
          <cell r="A121">
            <v>40537</v>
          </cell>
        </row>
        <row r="122">
          <cell r="A122">
            <v>40544</v>
          </cell>
        </row>
        <row r="123">
          <cell r="A123">
            <v>40609</v>
          </cell>
        </row>
        <row r="124">
          <cell r="A124">
            <v>40610</v>
          </cell>
        </row>
        <row r="125">
          <cell r="A125">
            <v>40654</v>
          </cell>
        </row>
        <row r="126">
          <cell r="A126">
            <v>40655</v>
          </cell>
        </row>
        <row r="127">
          <cell r="A127">
            <v>40664</v>
          </cell>
        </row>
        <row r="128">
          <cell r="A128">
            <v>40717</v>
          </cell>
        </row>
        <row r="129">
          <cell r="A129">
            <v>40793</v>
          </cell>
        </row>
        <row r="130">
          <cell r="A130">
            <v>40828</v>
          </cell>
        </row>
        <row r="131">
          <cell r="A131">
            <v>40849</v>
          </cell>
        </row>
        <row r="132">
          <cell r="A132">
            <v>40862</v>
          </cell>
        </row>
        <row r="133">
          <cell r="A133">
            <v>40902</v>
          </cell>
        </row>
        <row r="134">
          <cell r="A134">
            <v>40909</v>
          </cell>
        </row>
        <row r="135">
          <cell r="A135">
            <v>40959</v>
          </cell>
        </row>
        <row r="136">
          <cell r="A136">
            <v>40960</v>
          </cell>
        </row>
        <row r="137">
          <cell r="A137">
            <v>41005</v>
          </cell>
        </row>
        <row r="138">
          <cell r="A138">
            <v>41020</v>
          </cell>
        </row>
        <row r="139">
          <cell r="A139">
            <v>41030</v>
          </cell>
        </row>
        <row r="140">
          <cell r="A140">
            <v>41067</v>
          </cell>
        </row>
        <row r="141">
          <cell r="A141">
            <v>41159</v>
          </cell>
        </row>
        <row r="142">
          <cell r="A142">
            <v>41194</v>
          </cell>
        </row>
        <row r="143">
          <cell r="A143">
            <v>41215</v>
          </cell>
        </row>
        <row r="144">
          <cell r="A144">
            <v>41228</v>
          </cell>
        </row>
        <row r="145">
          <cell r="A145">
            <v>41268</v>
          </cell>
        </row>
        <row r="146">
          <cell r="A146">
            <v>41275</v>
          </cell>
        </row>
        <row r="147">
          <cell r="A147">
            <v>41316</v>
          </cell>
        </row>
        <row r="148">
          <cell r="A148">
            <v>41317</v>
          </cell>
        </row>
        <row r="149">
          <cell r="A149">
            <v>41362</v>
          </cell>
        </row>
        <row r="150">
          <cell r="A150">
            <v>41385</v>
          </cell>
        </row>
        <row r="151">
          <cell r="A151">
            <v>41395</v>
          </cell>
        </row>
        <row r="152">
          <cell r="A152">
            <v>41424</v>
          </cell>
        </row>
        <row r="153">
          <cell r="A153">
            <v>41524</v>
          </cell>
        </row>
        <row r="154">
          <cell r="A154">
            <v>41559</v>
          </cell>
        </row>
        <row r="155">
          <cell r="A155">
            <v>41580</v>
          </cell>
        </row>
        <row r="156">
          <cell r="A156">
            <v>41593</v>
          </cell>
        </row>
        <row r="157">
          <cell r="A157">
            <v>41633</v>
          </cell>
        </row>
        <row r="158">
          <cell r="A158">
            <v>41640</v>
          </cell>
        </row>
        <row r="159">
          <cell r="A159">
            <v>41701</v>
          </cell>
        </row>
        <row r="160">
          <cell r="A160">
            <v>41702</v>
          </cell>
        </row>
        <row r="161">
          <cell r="A161">
            <v>41747</v>
          </cell>
        </row>
        <row r="162">
          <cell r="A162">
            <v>41750</v>
          </cell>
        </row>
        <row r="163">
          <cell r="A163">
            <v>41760</v>
          </cell>
        </row>
        <row r="164">
          <cell r="A164">
            <v>41809</v>
          </cell>
        </row>
        <row r="165">
          <cell r="A165">
            <v>41889</v>
          </cell>
        </row>
        <row r="166">
          <cell r="A166">
            <v>41924</v>
          </cell>
        </row>
        <row r="167">
          <cell r="A167">
            <v>41945</v>
          </cell>
        </row>
        <row r="168">
          <cell r="A168">
            <v>41958</v>
          </cell>
        </row>
        <row r="169">
          <cell r="A169">
            <v>41998</v>
          </cell>
        </row>
        <row r="170">
          <cell r="A170">
            <v>42005</v>
          </cell>
        </row>
        <row r="171">
          <cell r="A171">
            <v>42051</v>
          </cell>
        </row>
        <row r="172">
          <cell r="A172">
            <v>42052</v>
          </cell>
        </row>
        <row r="173">
          <cell r="A173">
            <v>42097</v>
          </cell>
        </row>
        <row r="174">
          <cell r="A174">
            <v>42115</v>
          </cell>
        </row>
        <row r="175">
          <cell r="A175">
            <v>42125</v>
          </cell>
        </row>
        <row r="176">
          <cell r="A176">
            <v>42159</v>
          </cell>
        </row>
        <row r="177">
          <cell r="A177">
            <v>42254</v>
          </cell>
        </row>
        <row r="178">
          <cell r="A178">
            <v>42289</v>
          </cell>
        </row>
        <row r="179">
          <cell r="A179">
            <v>42310</v>
          </cell>
        </row>
        <row r="180">
          <cell r="A180">
            <v>42323</v>
          </cell>
        </row>
        <row r="181">
          <cell r="A181">
            <v>42363</v>
          </cell>
        </row>
        <row r="182">
          <cell r="A182">
            <v>42370</v>
          </cell>
        </row>
        <row r="183">
          <cell r="A183">
            <v>42408</v>
          </cell>
        </row>
        <row r="184">
          <cell r="A184">
            <v>42409</v>
          </cell>
        </row>
        <row r="185">
          <cell r="A185">
            <v>42454</v>
          </cell>
        </row>
        <row r="186">
          <cell r="A186">
            <v>42481</v>
          </cell>
        </row>
        <row r="187">
          <cell r="A187">
            <v>42491</v>
          </cell>
        </row>
        <row r="188">
          <cell r="A188">
            <v>42516</v>
          </cell>
        </row>
        <row r="189">
          <cell r="A189">
            <v>42620</v>
          </cell>
        </row>
        <row r="190">
          <cell r="A190">
            <v>42655</v>
          </cell>
        </row>
        <row r="191">
          <cell r="A191">
            <v>42676</v>
          </cell>
        </row>
        <row r="192">
          <cell r="A192">
            <v>42689</v>
          </cell>
        </row>
        <row r="193">
          <cell r="A193">
            <v>42729</v>
          </cell>
        </row>
        <row r="194">
          <cell r="A194">
            <v>42736</v>
          </cell>
        </row>
        <row r="195">
          <cell r="A195">
            <v>42793</v>
          </cell>
        </row>
        <row r="196">
          <cell r="A196">
            <v>42794</v>
          </cell>
        </row>
        <row r="197">
          <cell r="A197">
            <v>42839</v>
          </cell>
        </row>
        <row r="198">
          <cell r="A198">
            <v>42846</v>
          </cell>
        </row>
        <row r="199">
          <cell r="A199">
            <v>42856</v>
          </cell>
        </row>
        <row r="200">
          <cell r="A200">
            <v>42901</v>
          </cell>
        </row>
        <row r="201">
          <cell r="A201">
            <v>42985</v>
          </cell>
        </row>
        <row r="202">
          <cell r="A202">
            <v>43020</v>
          </cell>
        </row>
        <row r="203">
          <cell r="A203">
            <v>43041</v>
          </cell>
        </row>
        <row r="204">
          <cell r="A204">
            <v>43054</v>
          </cell>
        </row>
        <row r="205">
          <cell r="A205">
            <v>43094</v>
          </cell>
        </row>
        <row r="206">
          <cell r="A206">
            <v>43101</v>
          </cell>
        </row>
        <row r="207">
          <cell r="A207">
            <v>43143</v>
          </cell>
        </row>
        <row r="208">
          <cell r="A208">
            <v>43144</v>
          </cell>
        </row>
        <row r="209">
          <cell r="A209">
            <v>43189</v>
          </cell>
        </row>
        <row r="210">
          <cell r="A210">
            <v>43211</v>
          </cell>
        </row>
        <row r="211">
          <cell r="A211">
            <v>43221</v>
          </cell>
        </row>
        <row r="212">
          <cell r="A212">
            <v>43251</v>
          </cell>
        </row>
        <row r="213">
          <cell r="A213">
            <v>43350</v>
          </cell>
        </row>
        <row r="214">
          <cell r="A214">
            <v>43385</v>
          </cell>
        </row>
        <row r="215">
          <cell r="A215">
            <v>43406</v>
          </cell>
        </row>
        <row r="216">
          <cell r="A216">
            <v>43419</v>
          </cell>
        </row>
        <row r="217">
          <cell r="A217">
            <v>43459</v>
          </cell>
        </row>
        <row r="218">
          <cell r="A218">
            <v>43466</v>
          </cell>
        </row>
        <row r="219">
          <cell r="A219">
            <v>43528</v>
          </cell>
        </row>
        <row r="220">
          <cell r="A220">
            <v>43529</v>
          </cell>
        </row>
        <row r="221">
          <cell r="A221">
            <v>43574</v>
          </cell>
        </row>
        <row r="222">
          <cell r="A222">
            <v>43576</v>
          </cell>
        </row>
        <row r="223">
          <cell r="A223">
            <v>43586</v>
          </cell>
        </row>
        <row r="224">
          <cell r="A224">
            <v>43636</v>
          </cell>
        </row>
        <row r="225">
          <cell r="A225">
            <v>43715</v>
          </cell>
        </row>
        <row r="226">
          <cell r="A226">
            <v>43750</v>
          </cell>
        </row>
        <row r="227">
          <cell r="A227">
            <v>43771</v>
          </cell>
        </row>
        <row r="228">
          <cell r="A228">
            <v>43784</v>
          </cell>
        </row>
        <row r="229">
          <cell r="A229">
            <v>43824</v>
          </cell>
        </row>
        <row r="230">
          <cell r="A230">
            <v>43831</v>
          </cell>
        </row>
        <row r="231">
          <cell r="A231">
            <v>43885</v>
          </cell>
        </row>
        <row r="232">
          <cell r="A232">
            <v>43886</v>
          </cell>
        </row>
        <row r="233">
          <cell r="A233">
            <v>43931</v>
          </cell>
        </row>
        <row r="234">
          <cell r="A234">
            <v>43942</v>
          </cell>
        </row>
        <row r="235">
          <cell r="A235">
            <v>43952</v>
          </cell>
        </row>
        <row r="236">
          <cell r="A236">
            <v>43993</v>
          </cell>
        </row>
        <row r="237">
          <cell r="A237">
            <v>44081</v>
          </cell>
        </row>
        <row r="238">
          <cell r="A238">
            <v>44116</v>
          </cell>
        </row>
        <row r="239">
          <cell r="A239">
            <v>44137</v>
          </cell>
        </row>
        <row r="240">
          <cell r="A240">
            <v>44150</v>
          </cell>
        </row>
        <row r="241">
          <cell r="A241">
            <v>44190</v>
          </cell>
        </row>
        <row r="242">
          <cell r="A242">
            <v>44197</v>
          </cell>
        </row>
        <row r="243">
          <cell r="A243">
            <v>44242</v>
          </cell>
        </row>
        <row r="244">
          <cell r="A244">
            <v>44243</v>
          </cell>
        </row>
        <row r="245">
          <cell r="A245">
            <v>44288</v>
          </cell>
        </row>
        <row r="246">
          <cell r="A246">
            <v>44307</v>
          </cell>
        </row>
        <row r="247">
          <cell r="A247">
            <v>44317</v>
          </cell>
        </row>
        <row r="248">
          <cell r="A248">
            <v>44350</v>
          </cell>
        </row>
        <row r="249">
          <cell r="A249">
            <v>44446</v>
          </cell>
        </row>
        <row r="250">
          <cell r="A250">
            <v>44481</v>
          </cell>
        </row>
        <row r="251">
          <cell r="A251">
            <v>44502</v>
          </cell>
        </row>
        <row r="252">
          <cell r="A252">
            <v>44515</v>
          </cell>
        </row>
        <row r="253">
          <cell r="A253">
            <v>44555</v>
          </cell>
        </row>
        <row r="254">
          <cell r="A254">
            <v>44562</v>
          </cell>
        </row>
        <row r="255">
          <cell r="A255">
            <v>44620</v>
          </cell>
        </row>
        <row r="256">
          <cell r="A256">
            <v>44621</v>
          </cell>
        </row>
        <row r="257">
          <cell r="A257">
            <v>44666</v>
          </cell>
        </row>
        <row r="258">
          <cell r="A258">
            <v>44672</v>
          </cell>
        </row>
        <row r="259">
          <cell r="A259">
            <v>44682</v>
          </cell>
        </row>
        <row r="260">
          <cell r="A260">
            <v>44728</v>
          </cell>
        </row>
        <row r="261">
          <cell r="A261">
            <v>44811</v>
          </cell>
        </row>
        <row r="262">
          <cell r="A262">
            <v>44846</v>
          </cell>
        </row>
        <row r="263">
          <cell r="A263">
            <v>44867</v>
          </cell>
        </row>
        <row r="264">
          <cell r="A264">
            <v>44880</v>
          </cell>
        </row>
        <row r="265">
          <cell r="A265">
            <v>44920</v>
          </cell>
        </row>
        <row r="266">
          <cell r="A266">
            <v>44927</v>
          </cell>
        </row>
        <row r="267">
          <cell r="A267">
            <v>44977</v>
          </cell>
        </row>
        <row r="268">
          <cell r="A268">
            <v>44978</v>
          </cell>
        </row>
        <row r="269">
          <cell r="A269">
            <v>45023</v>
          </cell>
        </row>
        <row r="270">
          <cell r="A270">
            <v>45037</v>
          </cell>
        </row>
        <row r="271">
          <cell r="A271">
            <v>45047</v>
          </cell>
        </row>
        <row r="272">
          <cell r="A272">
            <v>45085</v>
          </cell>
        </row>
        <row r="273">
          <cell r="A273">
            <v>45176</v>
          </cell>
        </row>
        <row r="274">
          <cell r="A274">
            <v>45211</v>
          </cell>
        </row>
        <row r="275">
          <cell r="A275">
            <v>45232</v>
          </cell>
        </row>
        <row r="276">
          <cell r="A276">
            <v>45245</v>
          </cell>
        </row>
        <row r="277">
          <cell r="A277">
            <v>45285</v>
          </cell>
        </row>
        <row r="278">
          <cell r="A278">
            <v>45292</v>
          </cell>
        </row>
        <row r="279">
          <cell r="A279">
            <v>45334</v>
          </cell>
        </row>
        <row r="280">
          <cell r="A280">
            <v>45335</v>
          </cell>
        </row>
        <row r="281">
          <cell r="A281">
            <v>45380</v>
          </cell>
        </row>
        <row r="282">
          <cell r="A282">
            <v>45403</v>
          </cell>
        </row>
        <row r="283">
          <cell r="A283">
            <v>45413</v>
          </cell>
        </row>
        <row r="284">
          <cell r="A284">
            <v>45442</v>
          </cell>
        </row>
        <row r="285">
          <cell r="A285">
            <v>45542</v>
          </cell>
        </row>
        <row r="286">
          <cell r="A286">
            <v>45577</v>
          </cell>
        </row>
        <row r="287">
          <cell r="A287">
            <v>45598</v>
          </cell>
        </row>
        <row r="288">
          <cell r="A288">
            <v>45611</v>
          </cell>
        </row>
        <row r="289">
          <cell r="A289">
            <v>45651</v>
          </cell>
        </row>
        <row r="290">
          <cell r="A290">
            <v>45658</v>
          </cell>
        </row>
        <row r="291">
          <cell r="A291">
            <v>45719</v>
          </cell>
        </row>
        <row r="292">
          <cell r="A292">
            <v>45720</v>
          </cell>
        </row>
        <row r="293">
          <cell r="A293">
            <v>45765</v>
          </cell>
        </row>
        <row r="294">
          <cell r="A294">
            <v>45768</v>
          </cell>
        </row>
        <row r="295">
          <cell r="A295">
            <v>45778</v>
          </cell>
        </row>
        <row r="296">
          <cell r="A296">
            <v>45827</v>
          </cell>
        </row>
        <row r="297">
          <cell r="A297">
            <v>45907</v>
          </cell>
        </row>
        <row r="298">
          <cell r="A298">
            <v>45942</v>
          </cell>
        </row>
        <row r="299">
          <cell r="A299">
            <v>45963</v>
          </cell>
        </row>
        <row r="300">
          <cell r="A300">
            <v>45976</v>
          </cell>
        </row>
        <row r="301">
          <cell r="A301">
            <v>46016</v>
          </cell>
        </row>
        <row r="302">
          <cell r="A302">
            <v>46023</v>
          </cell>
        </row>
        <row r="303">
          <cell r="A303">
            <v>46069</v>
          </cell>
        </row>
        <row r="304">
          <cell r="A304">
            <v>46070</v>
          </cell>
        </row>
        <row r="305">
          <cell r="A305">
            <v>46115</v>
          </cell>
        </row>
        <row r="306">
          <cell r="A306">
            <v>46133</v>
          </cell>
        </row>
        <row r="307">
          <cell r="A307">
            <v>46143</v>
          </cell>
        </row>
        <row r="308">
          <cell r="A308">
            <v>46177</v>
          </cell>
        </row>
        <row r="309">
          <cell r="A309">
            <v>46272</v>
          </cell>
        </row>
        <row r="310">
          <cell r="A310">
            <v>46307</v>
          </cell>
        </row>
        <row r="311">
          <cell r="A311">
            <v>46328</v>
          </cell>
        </row>
        <row r="312">
          <cell r="A312">
            <v>46341</v>
          </cell>
        </row>
        <row r="313">
          <cell r="A313">
            <v>46381</v>
          </cell>
        </row>
        <row r="314">
          <cell r="A314">
            <v>46388</v>
          </cell>
        </row>
        <row r="315">
          <cell r="A315">
            <v>46426</v>
          </cell>
        </row>
        <row r="316">
          <cell r="A316">
            <v>46427</v>
          </cell>
        </row>
        <row r="317">
          <cell r="A317">
            <v>46472</v>
          </cell>
        </row>
        <row r="318">
          <cell r="A318">
            <v>46498</v>
          </cell>
        </row>
        <row r="319">
          <cell r="A319">
            <v>46508</v>
          </cell>
        </row>
        <row r="320">
          <cell r="A320">
            <v>46534</v>
          </cell>
        </row>
        <row r="321">
          <cell r="A321">
            <v>46637</v>
          </cell>
        </row>
        <row r="322">
          <cell r="A322">
            <v>46672</v>
          </cell>
        </row>
        <row r="323">
          <cell r="A323">
            <v>46693</v>
          </cell>
        </row>
        <row r="324">
          <cell r="A324">
            <v>46706</v>
          </cell>
        </row>
        <row r="325">
          <cell r="A325">
            <v>46746</v>
          </cell>
        </row>
        <row r="326">
          <cell r="A326">
            <v>46753</v>
          </cell>
        </row>
        <row r="327">
          <cell r="A327">
            <v>46811</v>
          </cell>
        </row>
        <row r="328">
          <cell r="A328">
            <v>46812</v>
          </cell>
        </row>
        <row r="329">
          <cell r="A329">
            <v>46857</v>
          </cell>
        </row>
        <row r="330">
          <cell r="A330">
            <v>46864</v>
          </cell>
        </row>
        <row r="331">
          <cell r="A331">
            <v>46874</v>
          </cell>
        </row>
        <row r="332">
          <cell r="A332">
            <v>46919</v>
          </cell>
        </row>
        <row r="333">
          <cell r="A333">
            <v>47003</v>
          </cell>
        </row>
        <row r="334">
          <cell r="A334">
            <v>47038</v>
          </cell>
        </row>
        <row r="335">
          <cell r="A335">
            <v>47059</v>
          </cell>
        </row>
        <row r="336">
          <cell r="A336">
            <v>47072</v>
          </cell>
        </row>
        <row r="337">
          <cell r="A337">
            <v>47112</v>
          </cell>
        </row>
        <row r="338">
          <cell r="A338">
            <v>47119</v>
          </cell>
        </row>
        <row r="339">
          <cell r="A339">
            <v>47161</v>
          </cell>
        </row>
        <row r="340">
          <cell r="A340">
            <v>47162</v>
          </cell>
        </row>
        <row r="341">
          <cell r="A341">
            <v>47207</v>
          </cell>
        </row>
        <row r="342">
          <cell r="A342">
            <v>47229</v>
          </cell>
        </row>
        <row r="343">
          <cell r="A343">
            <v>47239</v>
          </cell>
        </row>
        <row r="344">
          <cell r="A344">
            <v>47269</v>
          </cell>
        </row>
        <row r="345">
          <cell r="A345">
            <v>47368</v>
          </cell>
        </row>
        <row r="346">
          <cell r="A346">
            <v>47403</v>
          </cell>
        </row>
        <row r="347">
          <cell r="A347">
            <v>47424</v>
          </cell>
        </row>
        <row r="348">
          <cell r="A348">
            <v>47437</v>
          </cell>
        </row>
        <row r="349">
          <cell r="A349">
            <v>47477</v>
          </cell>
        </row>
        <row r="350">
          <cell r="A350">
            <v>47484</v>
          </cell>
        </row>
        <row r="351">
          <cell r="A351">
            <v>47546</v>
          </cell>
        </row>
        <row r="352">
          <cell r="A352">
            <v>47547</v>
          </cell>
        </row>
        <row r="353">
          <cell r="A353">
            <v>47592</v>
          </cell>
        </row>
        <row r="354">
          <cell r="A354">
            <v>47594</v>
          </cell>
        </row>
        <row r="355">
          <cell r="A355">
            <v>47604</v>
          </cell>
        </row>
        <row r="356">
          <cell r="A356">
            <v>47654</v>
          </cell>
        </row>
        <row r="357">
          <cell r="A357">
            <v>47733</v>
          </cell>
        </row>
        <row r="358">
          <cell r="A358">
            <v>47768</v>
          </cell>
        </row>
        <row r="359">
          <cell r="A359">
            <v>47789</v>
          </cell>
        </row>
        <row r="360">
          <cell r="A360">
            <v>47802</v>
          </cell>
        </row>
        <row r="361">
          <cell r="A361">
            <v>47842</v>
          </cell>
        </row>
        <row r="362">
          <cell r="A362">
            <v>47849</v>
          </cell>
        </row>
        <row r="363">
          <cell r="A363">
            <v>47903</v>
          </cell>
        </row>
        <row r="364">
          <cell r="A364">
            <v>47904</v>
          </cell>
        </row>
        <row r="365">
          <cell r="A365">
            <v>47949</v>
          </cell>
        </row>
        <row r="366">
          <cell r="A366">
            <v>47959</v>
          </cell>
        </row>
        <row r="367">
          <cell r="A367">
            <v>47969</v>
          </cell>
        </row>
        <row r="368">
          <cell r="A368">
            <v>48011</v>
          </cell>
        </row>
        <row r="369">
          <cell r="A369">
            <v>48098</v>
          </cell>
        </row>
        <row r="370">
          <cell r="A370">
            <v>48133</v>
          </cell>
        </row>
        <row r="371">
          <cell r="A371">
            <v>48154</v>
          </cell>
        </row>
        <row r="372">
          <cell r="A372">
            <v>48167</v>
          </cell>
        </row>
        <row r="373">
          <cell r="A373">
            <v>48207</v>
          </cell>
        </row>
        <row r="374">
          <cell r="A374">
            <v>48214</v>
          </cell>
        </row>
        <row r="375">
          <cell r="A375">
            <v>48253</v>
          </cell>
        </row>
        <row r="376">
          <cell r="A376">
            <v>48254</v>
          </cell>
        </row>
        <row r="377">
          <cell r="A377">
            <v>48299</v>
          </cell>
        </row>
        <row r="378">
          <cell r="A378">
            <v>48325</v>
          </cell>
        </row>
        <row r="379">
          <cell r="A379">
            <v>48335</v>
          </cell>
        </row>
        <row r="380">
          <cell r="A380">
            <v>48361</v>
          </cell>
        </row>
        <row r="381">
          <cell r="A381">
            <v>48464</v>
          </cell>
        </row>
        <row r="382">
          <cell r="A382">
            <v>48499</v>
          </cell>
        </row>
        <row r="383">
          <cell r="A383">
            <v>48520</v>
          </cell>
        </row>
        <row r="384">
          <cell r="A384">
            <v>48533</v>
          </cell>
        </row>
        <row r="385">
          <cell r="A385">
            <v>48573</v>
          </cell>
        </row>
        <row r="386">
          <cell r="A386">
            <v>48580</v>
          </cell>
        </row>
        <row r="387">
          <cell r="A387">
            <v>48638</v>
          </cell>
        </row>
        <row r="388">
          <cell r="A388">
            <v>48639</v>
          </cell>
        </row>
        <row r="389">
          <cell r="A389">
            <v>48684</v>
          </cell>
        </row>
        <row r="390">
          <cell r="A390">
            <v>48690</v>
          </cell>
        </row>
        <row r="391">
          <cell r="A391">
            <v>48700</v>
          </cell>
        </row>
        <row r="392">
          <cell r="A392">
            <v>48746</v>
          </cell>
        </row>
        <row r="393">
          <cell r="A393">
            <v>48829</v>
          </cell>
        </row>
        <row r="394">
          <cell r="A394">
            <v>48864</v>
          </cell>
        </row>
        <row r="395">
          <cell r="A395">
            <v>48885</v>
          </cell>
        </row>
        <row r="396">
          <cell r="A396">
            <v>48898</v>
          </cell>
        </row>
        <row r="397">
          <cell r="A397">
            <v>48938</v>
          </cell>
        </row>
        <row r="398">
          <cell r="A398">
            <v>48945</v>
          </cell>
        </row>
        <row r="399">
          <cell r="A399">
            <v>48995</v>
          </cell>
        </row>
        <row r="400">
          <cell r="A400">
            <v>48996</v>
          </cell>
        </row>
        <row r="401">
          <cell r="A401">
            <v>49041</v>
          </cell>
        </row>
        <row r="402">
          <cell r="A402">
            <v>49055</v>
          </cell>
        </row>
        <row r="403">
          <cell r="A403">
            <v>49065</v>
          </cell>
        </row>
        <row r="404">
          <cell r="A404">
            <v>49103</v>
          </cell>
        </row>
        <row r="405">
          <cell r="A405">
            <v>49194</v>
          </cell>
        </row>
        <row r="406">
          <cell r="A406">
            <v>49229</v>
          </cell>
        </row>
        <row r="407">
          <cell r="A407">
            <v>49250</v>
          </cell>
        </row>
        <row r="408">
          <cell r="A408">
            <v>49263</v>
          </cell>
        </row>
        <row r="409">
          <cell r="A409">
            <v>49303</v>
          </cell>
        </row>
        <row r="410">
          <cell r="A410">
            <v>49310</v>
          </cell>
        </row>
        <row r="411">
          <cell r="A411">
            <v>49345</v>
          </cell>
        </row>
        <row r="412">
          <cell r="A412">
            <v>49346</v>
          </cell>
        </row>
        <row r="413">
          <cell r="A413">
            <v>49391</v>
          </cell>
        </row>
        <row r="414">
          <cell r="A414">
            <v>49420</v>
          </cell>
        </row>
        <row r="415">
          <cell r="A415">
            <v>49430</v>
          </cell>
        </row>
        <row r="416">
          <cell r="A416">
            <v>49453</v>
          </cell>
        </row>
        <row r="417">
          <cell r="A417">
            <v>49559</v>
          </cell>
        </row>
        <row r="418">
          <cell r="A418">
            <v>49594</v>
          </cell>
        </row>
        <row r="419">
          <cell r="A419">
            <v>49615</v>
          </cell>
        </row>
        <row r="420">
          <cell r="A420">
            <v>49628</v>
          </cell>
        </row>
        <row r="421">
          <cell r="A421">
            <v>49668</v>
          </cell>
        </row>
        <row r="422">
          <cell r="A422">
            <v>49675</v>
          </cell>
        </row>
        <row r="423">
          <cell r="A423">
            <v>49730</v>
          </cell>
        </row>
        <row r="424">
          <cell r="A424">
            <v>49731</v>
          </cell>
        </row>
        <row r="425">
          <cell r="A425">
            <v>49776</v>
          </cell>
        </row>
        <row r="426">
          <cell r="A426">
            <v>49786</v>
          </cell>
        </row>
        <row r="427">
          <cell r="A427">
            <v>49796</v>
          </cell>
        </row>
        <row r="428">
          <cell r="A428">
            <v>49838</v>
          </cell>
        </row>
        <row r="429">
          <cell r="A429">
            <v>49925</v>
          </cell>
        </row>
        <row r="430">
          <cell r="A430">
            <v>49960</v>
          </cell>
        </row>
        <row r="431">
          <cell r="A431">
            <v>49981</v>
          </cell>
        </row>
        <row r="432">
          <cell r="A432">
            <v>49994</v>
          </cell>
        </row>
        <row r="433">
          <cell r="A433">
            <v>50034</v>
          </cell>
        </row>
        <row r="434">
          <cell r="A434">
            <v>50041</v>
          </cell>
        </row>
        <row r="435">
          <cell r="A435">
            <v>50087</v>
          </cell>
        </row>
        <row r="436">
          <cell r="A436">
            <v>50088</v>
          </cell>
        </row>
        <row r="437">
          <cell r="A437">
            <v>50133</v>
          </cell>
        </row>
        <row r="438">
          <cell r="A438">
            <v>50151</v>
          </cell>
        </row>
        <row r="439">
          <cell r="A439">
            <v>50161</v>
          </cell>
        </row>
        <row r="440">
          <cell r="A440">
            <v>50195</v>
          </cell>
        </row>
        <row r="441">
          <cell r="A441">
            <v>50290</v>
          </cell>
        </row>
        <row r="442">
          <cell r="A442">
            <v>50325</v>
          </cell>
        </row>
        <row r="443">
          <cell r="A443">
            <v>50346</v>
          </cell>
        </row>
        <row r="444">
          <cell r="A444">
            <v>50359</v>
          </cell>
        </row>
        <row r="445">
          <cell r="A445">
            <v>50399</v>
          </cell>
        </row>
        <row r="446">
          <cell r="A446">
            <v>50406</v>
          </cell>
        </row>
        <row r="447">
          <cell r="A447">
            <v>50472</v>
          </cell>
        </row>
        <row r="448">
          <cell r="A448">
            <v>50473</v>
          </cell>
        </row>
        <row r="449">
          <cell r="A449">
            <v>50516</v>
          </cell>
        </row>
        <row r="450">
          <cell r="A450">
            <v>50518</v>
          </cell>
        </row>
        <row r="451">
          <cell r="A451">
            <v>50526</v>
          </cell>
        </row>
        <row r="452">
          <cell r="A452">
            <v>50580</v>
          </cell>
        </row>
        <row r="453">
          <cell r="A453">
            <v>50655</v>
          </cell>
        </row>
        <row r="454">
          <cell r="A454">
            <v>50690</v>
          </cell>
        </row>
        <row r="455">
          <cell r="A455">
            <v>50711</v>
          </cell>
        </row>
        <row r="456">
          <cell r="A456">
            <v>50724</v>
          </cell>
        </row>
        <row r="457">
          <cell r="A457">
            <v>50764</v>
          </cell>
        </row>
        <row r="458">
          <cell r="A458">
            <v>50771</v>
          </cell>
        </row>
        <row r="459">
          <cell r="A459">
            <v>50822</v>
          </cell>
        </row>
        <row r="460">
          <cell r="A460">
            <v>50823</v>
          </cell>
        </row>
        <row r="461">
          <cell r="A461">
            <v>50868</v>
          </cell>
        </row>
        <row r="462">
          <cell r="A462">
            <v>50881</v>
          </cell>
        </row>
        <row r="463">
          <cell r="A463">
            <v>50891</v>
          </cell>
        </row>
        <row r="464">
          <cell r="A464">
            <v>50930</v>
          </cell>
        </row>
        <row r="465">
          <cell r="A465">
            <v>51020</v>
          </cell>
        </row>
        <row r="466">
          <cell r="A466">
            <v>51055</v>
          </cell>
        </row>
        <row r="467">
          <cell r="A467">
            <v>51076</v>
          </cell>
        </row>
        <row r="468">
          <cell r="A468">
            <v>51089</v>
          </cell>
        </row>
        <row r="469">
          <cell r="A469">
            <v>51129</v>
          </cell>
        </row>
        <row r="470">
          <cell r="A470">
            <v>51136</v>
          </cell>
        </row>
        <row r="471">
          <cell r="A471">
            <v>51179</v>
          </cell>
        </row>
        <row r="472">
          <cell r="A472">
            <v>51180</v>
          </cell>
        </row>
        <row r="473">
          <cell r="A473">
            <v>51225</v>
          </cell>
        </row>
        <row r="474">
          <cell r="A474">
            <v>51247</v>
          </cell>
        </row>
        <row r="475">
          <cell r="A475">
            <v>51257</v>
          </cell>
        </row>
        <row r="476">
          <cell r="A476">
            <v>51287</v>
          </cell>
        </row>
        <row r="477">
          <cell r="A477">
            <v>51386</v>
          </cell>
        </row>
        <row r="478">
          <cell r="A478">
            <v>51421</v>
          </cell>
        </row>
        <row r="479">
          <cell r="A479">
            <v>51442</v>
          </cell>
        </row>
        <row r="480">
          <cell r="A480">
            <v>51455</v>
          </cell>
        </row>
        <row r="481">
          <cell r="A481">
            <v>51495</v>
          </cell>
        </row>
        <row r="482">
          <cell r="A482">
            <v>51502</v>
          </cell>
        </row>
        <row r="483">
          <cell r="A483">
            <v>51564</v>
          </cell>
        </row>
        <row r="484">
          <cell r="A484">
            <v>51565</v>
          </cell>
        </row>
        <row r="485">
          <cell r="A485">
            <v>51610</v>
          </cell>
        </row>
        <row r="486">
          <cell r="A486">
            <v>51612</v>
          </cell>
        </row>
        <row r="487">
          <cell r="A487">
            <v>51622</v>
          </cell>
        </row>
        <row r="488">
          <cell r="A488">
            <v>51672</v>
          </cell>
        </row>
        <row r="489">
          <cell r="A489">
            <v>51751</v>
          </cell>
        </row>
        <row r="490">
          <cell r="A490">
            <v>51786</v>
          </cell>
        </row>
        <row r="491">
          <cell r="A491">
            <v>51807</v>
          </cell>
        </row>
        <row r="492">
          <cell r="A492">
            <v>51820</v>
          </cell>
        </row>
        <row r="493">
          <cell r="A493">
            <v>51860</v>
          </cell>
        </row>
        <row r="494">
          <cell r="A494">
            <v>51867</v>
          </cell>
        </row>
        <row r="495">
          <cell r="A495">
            <v>51914</v>
          </cell>
        </row>
        <row r="496">
          <cell r="A496">
            <v>51915</v>
          </cell>
        </row>
        <row r="497">
          <cell r="A497">
            <v>51960</v>
          </cell>
        </row>
        <row r="498">
          <cell r="A498">
            <v>51977</v>
          </cell>
        </row>
        <row r="499">
          <cell r="A499">
            <v>51987</v>
          </cell>
        </row>
        <row r="500">
          <cell r="A500">
            <v>52022</v>
          </cell>
        </row>
        <row r="501">
          <cell r="A501">
            <v>52116</v>
          </cell>
        </row>
        <row r="502">
          <cell r="A502">
            <v>52151</v>
          </cell>
        </row>
        <row r="503">
          <cell r="A503">
            <v>52172</v>
          </cell>
        </row>
        <row r="504">
          <cell r="A504">
            <v>52185</v>
          </cell>
        </row>
        <row r="505">
          <cell r="A505">
            <v>52225</v>
          </cell>
        </row>
        <row r="506">
          <cell r="A506">
            <v>52232</v>
          </cell>
        </row>
        <row r="507">
          <cell r="A507">
            <v>52271</v>
          </cell>
        </row>
        <row r="508">
          <cell r="A508">
            <v>52272</v>
          </cell>
        </row>
        <row r="509">
          <cell r="A509">
            <v>52317</v>
          </cell>
        </row>
        <row r="510">
          <cell r="A510">
            <v>52342</v>
          </cell>
        </row>
        <row r="511">
          <cell r="A511">
            <v>52352</v>
          </cell>
        </row>
        <row r="512">
          <cell r="A512">
            <v>52379</v>
          </cell>
        </row>
        <row r="513">
          <cell r="A513">
            <v>52481</v>
          </cell>
        </row>
        <row r="514">
          <cell r="A514">
            <v>52516</v>
          </cell>
        </row>
        <row r="515">
          <cell r="A515">
            <v>52537</v>
          </cell>
        </row>
        <row r="516">
          <cell r="A516">
            <v>52550</v>
          </cell>
        </row>
        <row r="517">
          <cell r="A517">
            <v>52590</v>
          </cell>
        </row>
        <row r="518">
          <cell r="A518">
            <v>52597</v>
          </cell>
        </row>
        <row r="519">
          <cell r="A519">
            <v>52656</v>
          </cell>
        </row>
        <row r="520">
          <cell r="A520">
            <v>52657</v>
          </cell>
        </row>
        <row r="521">
          <cell r="A521">
            <v>52702</v>
          </cell>
        </row>
        <row r="522">
          <cell r="A522">
            <v>52708</v>
          </cell>
        </row>
        <row r="523">
          <cell r="A523">
            <v>52718</v>
          </cell>
        </row>
        <row r="524">
          <cell r="A524">
            <v>52764</v>
          </cell>
        </row>
        <row r="525">
          <cell r="A525">
            <v>52847</v>
          </cell>
        </row>
        <row r="526">
          <cell r="A526">
            <v>52882</v>
          </cell>
        </row>
        <row r="527">
          <cell r="A527">
            <v>52903</v>
          </cell>
        </row>
        <row r="528">
          <cell r="A528">
            <v>52916</v>
          </cell>
        </row>
        <row r="529">
          <cell r="A529">
            <v>52956</v>
          </cell>
        </row>
        <row r="530">
          <cell r="A530">
            <v>52963</v>
          </cell>
        </row>
        <row r="531">
          <cell r="A531">
            <v>53013</v>
          </cell>
        </row>
        <row r="532">
          <cell r="A532">
            <v>53014</v>
          </cell>
        </row>
        <row r="533">
          <cell r="A533">
            <v>53059</v>
          </cell>
        </row>
        <row r="534">
          <cell r="A534">
            <v>53073</v>
          </cell>
        </row>
        <row r="535">
          <cell r="A535">
            <v>53083</v>
          </cell>
        </row>
        <row r="536">
          <cell r="A536">
            <v>53121</v>
          </cell>
        </row>
        <row r="537">
          <cell r="A537">
            <v>53212</v>
          </cell>
        </row>
        <row r="538">
          <cell r="A538">
            <v>53247</v>
          </cell>
        </row>
        <row r="539">
          <cell r="A539">
            <v>53268</v>
          </cell>
        </row>
        <row r="540">
          <cell r="A540">
            <v>53281</v>
          </cell>
        </row>
        <row r="541">
          <cell r="A541">
            <v>53321</v>
          </cell>
        </row>
        <row r="542">
          <cell r="A542">
            <v>53328</v>
          </cell>
        </row>
        <row r="543">
          <cell r="A543">
            <v>53363</v>
          </cell>
        </row>
        <row r="544">
          <cell r="A544">
            <v>53364</v>
          </cell>
        </row>
        <row r="545">
          <cell r="A545">
            <v>53409</v>
          </cell>
        </row>
        <row r="546">
          <cell r="A546">
            <v>53438</v>
          </cell>
        </row>
        <row r="547">
          <cell r="A547">
            <v>53448</v>
          </cell>
        </row>
        <row r="548">
          <cell r="A548">
            <v>53471</v>
          </cell>
        </row>
        <row r="549">
          <cell r="A549">
            <v>53577</v>
          </cell>
        </row>
        <row r="550">
          <cell r="A550">
            <v>53612</v>
          </cell>
        </row>
        <row r="551">
          <cell r="A551">
            <v>53633</v>
          </cell>
        </row>
        <row r="552">
          <cell r="A552">
            <v>53646</v>
          </cell>
        </row>
        <row r="553">
          <cell r="A553">
            <v>53686</v>
          </cell>
        </row>
        <row r="554">
          <cell r="A554">
            <v>53693</v>
          </cell>
        </row>
        <row r="555">
          <cell r="A555">
            <v>53748</v>
          </cell>
        </row>
        <row r="556">
          <cell r="A556">
            <v>53749</v>
          </cell>
        </row>
        <row r="557">
          <cell r="A557">
            <v>53794</v>
          </cell>
        </row>
        <row r="558">
          <cell r="A558">
            <v>53803</v>
          </cell>
        </row>
        <row r="559">
          <cell r="A559">
            <v>53813</v>
          </cell>
        </row>
        <row r="560">
          <cell r="A560">
            <v>53856</v>
          </cell>
        </row>
        <row r="561">
          <cell r="A561">
            <v>53942</v>
          </cell>
        </row>
        <row r="562">
          <cell r="A562">
            <v>53977</v>
          </cell>
        </row>
        <row r="563">
          <cell r="A563">
            <v>53998</v>
          </cell>
        </row>
        <row r="564">
          <cell r="A564">
            <v>54011</v>
          </cell>
        </row>
        <row r="565">
          <cell r="A565">
            <v>54051</v>
          </cell>
        </row>
        <row r="566">
          <cell r="A566">
            <v>54058</v>
          </cell>
        </row>
        <row r="567">
          <cell r="A567">
            <v>54105</v>
          </cell>
        </row>
        <row r="568">
          <cell r="A568">
            <v>54106</v>
          </cell>
        </row>
        <row r="569">
          <cell r="A569">
            <v>54151</v>
          </cell>
        </row>
        <row r="570">
          <cell r="A570">
            <v>54169</v>
          </cell>
        </row>
        <row r="571">
          <cell r="A571">
            <v>54179</v>
          </cell>
        </row>
        <row r="572">
          <cell r="A572">
            <v>54213</v>
          </cell>
        </row>
        <row r="573">
          <cell r="A573">
            <v>54308</v>
          </cell>
        </row>
        <row r="574">
          <cell r="A574">
            <v>54343</v>
          </cell>
        </row>
        <row r="575">
          <cell r="A575">
            <v>54364</v>
          </cell>
        </row>
        <row r="576">
          <cell r="A576">
            <v>54377</v>
          </cell>
        </row>
        <row r="577">
          <cell r="A577">
            <v>54417</v>
          </cell>
        </row>
        <row r="578">
          <cell r="A578">
            <v>54424</v>
          </cell>
        </row>
        <row r="579">
          <cell r="A579">
            <v>54483</v>
          </cell>
        </row>
        <row r="580">
          <cell r="A580">
            <v>54484</v>
          </cell>
        </row>
        <row r="581">
          <cell r="A581">
            <v>54529</v>
          </cell>
        </row>
        <row r="582">
          <cell r="A582">
            <v>54534</v>
          </cell>
        </row>
        <row r="583">
          <cell r="A583">
            <v>54544</v>
          </cell>
        </row>
        <row r="584">
          <cell r="A584">
            <v>54591</v>
          </cell>
        </row>
        <row r="585">
          <cell r="A585">
            <v>54673</v>
          </cell>
        </row>
        <row r="586">
          <cell r="A586">
            <v>54708</v>
          </cell>
        </row>
        <row r="587">
          <cell r="A587">
            <v>54729</v>
          </cell>
        </row>
        <row r="588">
          <cell r="A588">
            <v>54742</v>
          </cell>
        </row>
        <row r="589">
          <cell r="A589">
            <v>54782</v>
          </cell>
        </row>
        <row r="590">
          <cell r="A590">
            <v>54789</v>
          </cell>
        </row>
        <row r="591">
          <cell r="A591">
            <v>54840</v>
          </cell>
        </row>
        <row r="592">
          <cell r="A592">
            <v>54841</v>
          </cell>
        </row>
        <row r="593">
          <cell r="A593">
            <v>54886</v>
          </cell>
        </row>
        <row r="594">
          <cell r="A594">
            <v>54899</v>
          </cell>
        </row>
        <row r="595">
          <cell r="A595">
            <v>54909</v>
          </cell>
        </row>
        <row r="596">
          <cell r="A596">
            <v>54948</v>
          </cell>
        </row>
        <row r="597">
          <cell r="A597">
            <v>55038</v>
          </cell>
        </row>
        <row r="598">
          <cell r="A598">
            <v>55073</v>
          </cell>
        </row>
        <row r="599">
          <cell r="A599">
            <v>55094</v>
          </cell>
        </row>
        <row r="600">
          <cell r="A600">
            <v>55107</v>
          </cell>
        </row>
        <row r="601">
          <cell r="A601">
            <v>55147</v>
          </cell>
        </row>
        <row r="602">
          <cell r="A602">
            <v>55154</v>
          </cell>
        </row>
        <row r="603">
          <cell r="A603">
            <v>55197</v>
          </cell>
        </row>
        <row r="604">
          <cell r="A604">
            <v>55198</v>
          </cell>
        </row>
        <row r="605">
          <cell r="A605">
            <v>55243</v>
          </cell>
        </row>
        <row r="606">
          <cell r="A606">
            <v>55264</v>
          </cell>
        </row>
        <row r="607">
          <cell r="A607">
            <v>55274</v>
          </cell>
        </row>
        <row r="608">
          <cell r="A608">
            <v>55305</v>
          </cell>
        </row>
        <row r="609">
          <cell r="A609">
            <v>55403</v>
          </cell>
        </row>
        <row r="610">
          <cell r="A610">
            <v>55438</v>
          </cell>
        </row>
        <row r="611">
          <cell r="A611">
            <v>55459</v>
          </cell>
        </row>
        <row r="612">
          <cell r="A612">
            <v>55472</v>
          </cell>
        </row>
        <row r="613">
          <cell r="A613">
            <v>55512</v>
          </cell>
        </row>
        <row r="614">
          <cell r="A614">
            <v>55519</v>
          </cell>
        </row>
        <row r="615">
          <cell r="A615">
            <v>55582</v>
          </cell>
        </row>
        <row r="616">
          <cell r="A616">
            <v>55583</v>
          </cell>
        </row>
        <row r="617">
          <cell r="A617">
            <v>55628</v>
          </cell>
        </row>
        <row r="618">
          <cell r="A618">
            <v>55630</v>
          </cell>
        </row>
        <row r="619">
          <cell r="A619">
            <v>55640</v>
          </cell>
        </row>
        <row r="620">
          <cell r="A620">
            <v>55690</v>
          </cell>
        </row>
        <row r="621">
          <cell r="A621">
            <v>55769</v>
          </cell>
        </row>
        <row r="622">
          <cell r="A622">
            <v>55804</v>
          </cell>
        </row>
        <row r="623">
          <cell r="A623">
            <v>55825</v>
          </cell>
        </row>
        <row r="624">
          <cell r="A624">
            <v>55838</v>
          </cell>
        </row>
        <row r="625">
          <cell r="A625">
            <v>55878</v>
          </cell>
        </row>
        <row r="626">
          <cell r="A626">
            <v>55885</v>
          </cell>
        </row>
        <row r="627">
          <cell r="A627">
            <v>55932</v>
          </cell>
        </row>
        <row r="628">
          <cell r="A628">
            <v>55933</v>
          </cell>
        </row>
        <row r="629">
          <cell r="A629">
            <v>55978</v>
          </cell>
        </row>
        <row r="630">
          <cell r="A630">
            <v>55995</v>
          </cell>
        </row>
        <row r="631">
          <cell r="A631">
            <v>56005</v>
          </cell>
        </row>
        <row r="632">
          <cell r="A632">
            <v>56040</v>
          </cell>
        </row>
        <row r="633">
          <cell r="A633">
            <v>56134</v>
          </cell>
        </row>
        <row r="634">
          <cell r="A634">
            <v>56169</v>
          </cell>
        </row>
        <row r="635">
          <cell r="A635">
            <v>56190</v>
          </cell>
        </row>
        <row r="636">
          <cell r="A636">
            <v>56203</v>
          </cell>
        </row>
        <row r="637">
          <cell r="A637">
            <v>56243</v>
          </cell>
        </row>
        <row r="638">
          <cell r="A638">
            <v>56250</v>
          </cell>
        </row>
        <row r="639">
          <cell r="A639">
            <v>56289</v>
          </cell>
        </row>
        <row r="640">
          <cell r="A640">
            <v>56290</v>
          </cell>
        </row>
        <row r="641">
          <cell r="A641">
            <v>56335</v>
          </cell>
        </row>
        <row r="642">
          <cell r="A642">
            <v>56360</v>
          </cell>
        </row>
        <row r="643">
          <cell r="A643">
            <v>56370</v>
          </cell>
        </row>
        <row r="644">
          <cell r="A644">
            <v>56397</v>
          </cell>
        </row>
        <row r="645">
          <cell r="A645">
            <v>56499</v>
          </cell>
        </row>
        <row r="646">
          <cell r="A646">
            <v>56534</v>
          </cell>
        </row>
        <row r="647">
          <cell r="A647">
            <v>56555</v>
          </cell>
        </row>
        <row r="648">
          <cell r="A648">
            <v>56568</v>
          </cell>
        </row>
        <row r="649">
          <cell r="A649">
            <v>56608</v>
          </cell>
        </row>
        <row r="650">
          <cell r="A650">
            <v>56615</v>
          </cell>
        </row>
        <row r="651">
          <cell r="A651">
            <v>56674</v>
          </cell>
        </row>
        <row r="652">
          <cell r="A652">
            <v>56675</v>
          </cell>
        </row>
        <row r="653">
          <cell r="A653">
            <v>56720</v>
          </cell>
        </row>
        <row r="654">
          <cell r="A654">
            <v>56725</v>
          </cell>
        </row>
        <row r="655">
          <cell r="A655">
            <v>56735</v>
          </cell>
        </row>
        <row r="656">
          <cell r="A656">
            <v>56782</v>
          </cell>
        </row>
        <row r="657">
          <cell r="A657">
            <v>56864</v>
          </cell>
        </row>
        <row r="658">
          <cell r="A658">
            <v>56899</v>
          </cell>
        </row>
        <row r="659">
          <cell r="A659">
            <v>56920</v>
          </cell>
        </row>
        <row r="660">
          <cell r="A660">
            <v>56933</v>
          </cell>
        </row>
        <row r="661">
          <cell r="A661">
            <v>56973</v>
          </cell>
        </row>
        <row r="662">
          <cell r="A662">
            <v>56980</v>
          </cell>
        </row>
        <row r="663">
          <cell r="A663">
            <v>57024</v>
          </cell>
        </row>
        <row r="664">
          <cell r="A664">
            <v>57025</v>
          </cell>
        </row>
        <row r="665">
          <cell r="A665">
            <v>57070</v>
          </cell>
        </row>
        <row r="666">
          <cell r="A666">
            <v>57091</v>
          </cell>
        </row>
        <row r="667">
          <cell r="A667">
            <v>57101</v>
          </cell>
        </row>
        <row r="668">
          <cell r="A668">
            <v>57132</v>
          </cell>
        </row>
        <row r="669">
          <cell r="A669">
            <v>57230</v>
          </cell>
        </row>
        <row r="670">
          <cell r="A670">
            <v>57265</v>
          </cell>
        </row>
        <row r="671">
          <cell r="A671">
            <v>57286</v>
          </cell>
        </row>
        <row r="672">
          <cell r="A672">
            <v>57299</v>
          </cell>
        </row>
        <row r="673">
          <cell r="A673">
            <v>57339</v>
          </cell>
        </row>
        <row r="674">
          <cell r="A674">
            <v>57346</v>
          </cell>
        </row>
        <row r="675">
          <cell r="A675">
            <v>57409</v>
          </cell>
        </row>
        <row r="676">
          <cell r="A676">
            <v>57410</v>
          </cell>
        </row>
        <row r="677">
          <cell r="A677">
            <v>57455</v>
          </cell>
        </row>
        <row r="678">
          <cell r="A678">
            <v>57456</v>
          </cell>
        </row>
        <row r="679">
          <cell r="A679">
            <v>57466</v>
          </cell>
        </row>
        <row r="680">
          <cell r="A680">
            <v>57517</v>
          </cell>
        </row>
        <row r="681">
          <cell r="A681">
            <v>57595</v>
          </cell>
        </row>
        <row r="682">
          <cell r="A682">
            <v>57630</v>
          </cell>
        </row>
        <row r="683">
          <cell r="A683">
            <v>57651</v>
          </cell>
        </row>
        <row r="684">
          <cell r="A684">
            <v>57664</v>
          </cell>
        </row>
        <row r="685">
          <cell r="A685">
            <v>57704</v>
          </cell>
        </row>
        <row r="686">
          <cell r="A686">
            <v>57711</v>
          </cell>
        </row>
        <row r="687">
          <cell r="A687">
            <v>57766</v>
          </cell>
        </row>
        <row r="688">
          <cell r="A688">
            <v>57767</v>
          </cell>
        </row>
        <row r="689">
          <cell r="A689">
            <v>57812</v>
          </cell>
        </row>
        <row r="690">
          <cell r="A690">
            <v>57821</v>
          </cell>
        </row>
        <row r="691">
          <cell r="A691">
            <v>57831</v>
          </cell>
        </row>
        <row r="692">
          <cell r="A692">
            <v>57874</v>
          </cell>
        </row>
        <row r="693">
          <cell r="A693">
            <v>57960</v>
          </cell>
        </row>
        <row r="694">
          <cell r="A694">
            <v>57995</v>
          </cell>
        </row>
        <row r="695">
          <cell r="A695">
            <v>58016</v>
          </cell>
        </row>
        <row r="696">
          <cell r="A696">
            <v>58029</v>
          </cell>
        </row>
        <row r="697">
          <cell r="A697">
            <v>58069</v>
          </cell>
        </row>
        <row r="698">
          <cell r="A698">
            <v>58076</v>
          </cell>
        </row>
        <row r="699">
          <cell r="A699">
            <v>58116</v>
          </cell>
        </row>
        <row r="700">
          <cell r="A700">
            <v>58117</v>
          </cell>
        </row>
        <row r="701">
          <cell r="A701">
            <v>58162</v>
          </cell>
        </row>
        <row r="702">
          <cell r="A702">
            <v>58186</v>
          </cell>
        </row>
        <row r="703">
          <cell r="A703">
            <v>58196</v>
          </cell>
        </row>
        <row r="704">
          <cell r="A704">
            <v>58224</v>
          </cell>
        </row>
        <row r="705">
          <cell r="A705">
            <v>58325</v>
          </cell>
        </row>
        <row r="706">
          <cell r="A706">
            <v>58360</v>
          </cell>
        </row>
        <row r="707">
          <cell r="A707">
            <v>58381</v>
          </cell>
        </row>
        <row r="708">
          <cell r="A708">
            <v>58394</v>
          </cell>
        </row>
        <row r="709">
          <cell r="A709">
            <v>58434</v>
          </cell>
        </row>
        <row r="710">
          <cell r="A710">
            <v>58441</v>
          </cell>
        </row>
        <row r="711">
          <cell r="A711">
            <v>58501</v>
          </cell>
        </row>
        <row r="712">
          <cell r="A712">
            <v>58502</v>
          </cell>
        </row>
        <row r="713">
          <cell r="A713">
            <v>58547</v>
          </cell>
        </row>
        <row r="714">
          <cell r="A714">
            <v>58552</v>
          </cell>
        </row>
        <row r="715">
          <cell r="A715">
            <v>58562</v>
          </cell>
        </row>
        <row r="716">
          <cell r="A716">
            <v>58609</v>
          </cell>
        </row>
        <row r="717">
          <cell r="A717">
            <v>58691</v>
          </cell>
        </row>
        <row r="718">
          <cell r="A718">
            <v>58726</v>
          </cell>
        </row>
        <row r="719">
          <cell r="A719">
            <v>58747</v>
          </cell>
        </row>
        <row r="720">
          <cell r="A720">
            <v>58760</v>
          </cell>
        </row>
        <row r="721">
          <cell r="A721">
            <v>58800</v>
          </cell>
        </row>
        <row r="722">
          <cell r="A722">
            <v>58807</v>
          </cell>
        </row>
        <row r="723">
          <cell r="A723">
            <v>58858</v>
          </cell>
        </row>
        <row r="724">
          <cell r="A724">
            <v>58859</v>
          </cell>
        </row>
        <row r="725">
          <cell r="A725">
            <v>58904</v>
          </cell>
        </row>
        <row r="726">
          <cell r="A726">
            <v>58917</v>
          </cell>
        </row>
        <row r="727">
          <cell r="A727">
            <v>58927</v>
          </cell>
        </row>
        <row r="728">
          <cell r="A728">
            <v>58966</v>
          </cell>
        </row>
        <row r="729">
          <cell r="A729">
            <v>59056</v>
          </cell>
        </row>
        <row r="730">
          <cell r="A730">
            <v>59091</v>
          </cell>
        </row>
        <row r="731">
          <cell r="A731">
            <v>59112</v>
          </cell>
        </row>
        <row r="732">
          <cell r="A732">
            <v>59125</v>
          </cell>
        </row>
        <row r="733">
          <cell r="A733">
            <v>59165</v>
          </cell>
        </row>
        <row r="734">
          <cell r="A734">
            <v>59172</v>
          </cell>
        </row>
        <row r="735">
          <cell r="A735">
            <v>59208</v>
          </cell>
        </row>
        <row r="736">
          <cell r="A736">
            <v>59209</v>
          </cell>
        </row>
        <row r="737">
          <cell r="A737">
            <v>59254</v>
          </cell>
        </row>
        <row r="738">
          <cell r="A738">
            <v>59282</v>
          </cell>
        </row>
        <row r="739">
          <cell r="A739">
            <v>59292</v>
          </cell>
        </row>
        <row r="740">
          <cell r="A740">
            <v>59316</v>
          </cell>
        </row>
        <row r="741">
          <cell r="A741">
            <v>59421</v>
          </cell>
        </row>
        <row r="742">
          <cell r="A742">
            <v>59456</v>
          </cell>
        </row>
        <row r="743">
          <cell r="A743">
            <v>59477</v>
          </cell>
        </row>
        <row r="744">
          <cell r="A744">
            <v>59490</v>
          </cell>
        </row>
        <row r="745">
          <cell r="A745">
            <v>59530</v>
          </cell>
        </row>
        <row r="746">
          <cell r="A746">
            <v>59537</v>
          </cell>
        </row>
        <row r="747">
          <cell r="A747">
            <v>59593</v>
          </cell>
        </row>
        <row r="748">
          <cell r="A748">
            <v>59594</v>
          </cell>
        </row>
        <row r="749">
          <cell r="A749">
            <v>59639</v>
          </cell>
        </row>
        <row r="750">
          <cell r="A750">
            <v>59647</v>
          </cell>
        </row>
        <row r="751">
          <cell r="A751">
            <v>59657</v>
          </cell>
        </row>
        <row r="752">
          <cell r="A752">
            <v>59701</v>
          </cell>
        </row>
        <row r="753">
          <cell r="A753">
            <v>59786</v>
          </cell>
        </row>
        <row r="754">
          <cell r="A754">
            <v>59821</v>
          </cell>
        </row>
        <row r="755">
          <cell r="A755">
            <v>59842</v>
          </cell>
        </row>
        <row r="756">
          <cell r="A756">
            <v>59855</v>
          </cell>
        </row>
        <row r="757">
          <cell r="A757">
            <v>59895</v>
          </cell>
        </row>
        <row r="758">
          <cell r="A758">
            <v>59902</v>
          </cell>
        </row>
        <row r="759">
          <cell r="A759">
            <v>59950</v>
          </cell>
        </row>
        <row r="760">
          <cell r="A760">
            <v>59951</v>
          </cell>
        </row>
        <row r="761">
          <cell r="A761">
            <v>59996</v>
          </cell>
        </row>
        <row r="762">
          <cell r="A762">
            <v>60013</v>
          </cell>
        </row>
        <row r="763">
          <cell r="A763">
            <v>60023</v>
          </cell>
        </row>
        <row r="764">
          <cell r="A764">
            <v>60058</v>
          </cell>
        </row>
        <row r="765">
          <cell r="A765">
            <v>60152</v>
          </cell>
        </row>
        <row r="766">
          <cell r="A766">
            <v>60187</v>
          </cell>
        </row>
        <row r="767">
          <cell r="A767">
            <v>60208</v>
          </cell>
        </row>
        <row r="768">
          <cell r="A768">
            <v>60221</v>
          </cell>
        </row>
        <row r="769">
          <cell r="A769">
            <v>60261</v>
          </cell>
        </row>
        <row r="770">
          <cell r="A770">
            <v>60268</v>
          </cell>
        </row>
        <row r="771">
          <cell r="A771">
            <v>60307</v>
          </cell>
        </row>
        <row r="772">
          <cell r="A772">
            <v>60308</v>
          </cell>
        </row>
        <row r="773">
          <cell r="A773">
            <v>60353</v>
          </cell>
        </row>
        <row r="774">
          <cell r="A774">
            <v>60378</v>
          </cell>
        </row>
        <row r="775">
          <cell r="A775">
            <v>60388</v>
          </cell>
        </row>
        <row r="776">
          <cell r="A776">
            <v>60415</v>
          </cell>
        </row>
        <row r="777">
          <cell r="A777">
            <v>60517</v>
          </cell>
        </row>
        <row r="778">
          <cell r="A778">
            <v>60552</v>
          </cell>
        </row>
        <row r="779">
          <cell r="A779">
            <v>60573</v>
          </cell>
        </row>
        <row r="780">
          <cell r="A780">
            <v>60586</v>
          </cell>
        </row>
        <row r="781">
          <cell r="A781">
            <v>60626</v>
          </cell>
        </row>
        <row r="782">
          <cell r="A782">
            <v>60633</v>
          </cell>
        </row>
        <row r="783">
          <cell r="A783">
            <v>60685</v>
          </cell>
        </row>
        <row r="784">
          <cell r="A784">
            <v>60686</v>
          </cell>
        </row>
        <row r="785">
          <cell r="A785">
            <v>60731</v>
          </cell>
        </row>
        <row r="786">
          <cell r="A786">
            <v>60743</v>
          </cell>
        </row>
        <row r="787">
          <cell r="A787">
            <v>60753</v>
          </cell>
        </row>
        <row r="788">
          <cell r="A788">
            <v>60793</v>
          </cell>
        </row>
        <row r="789">
          <cell r="A789">
            <v>60882</v>
          </cell>
        </row>
        <row r="790">
          <cell r="A790">
            <v>60917</v>
          </cell>
        </row>
        <row r="791">
          <cell r="A791">
            <v>60938</v>
          </cell>
        </row>
        <row r="792">
          <cell r="A792">
            <v>60951</v>
          </cell>
        </row>
        <row r="793">
          <cell r="A793">
            <v>60991</v>
          </cell>
        </row>
        <row r="794">
          <cell r="A794">
            <v>60998</v>
          </cell>
        </row>
        <row r="795">
          <cell r="A795">
            <v>61042</v>
          </cell>
        </row>
        <row r="796">
          <cell r="A796">
            <v>61043</v>
          </cell>
        </row>
        <row r="797">
          <cell r="A797">
            <v>61088</v>
          </cell>
        </row>
        <row r="798">
          <cell r="A798">
            <v>61108</v>
          </cell>
        </row>
        <row r="799">
          <cell r="A799">
            <v>61118</v>
          </cell>
        </row>
        <row r="800">
          <cell r="A800">
            <v>61150</v>
          </cell>
        </row>
        <row r="801">
          <cell r="A801">
            <v>61247</v>
          </cell>
        </row>
        <row r="802">
          <cell r="A802">
            <v>61282</v>
          </cell>
        </row>
        <row r="803">
          <cell r="A803">
            <v>61303</v>
          </cell>
        </row>
        <row r="804">
          <cell r="A804">
            <v>61316</v>
          </cell>
        </row>
        <row r="805">
          <cell r="A805">
            <v>61356</v>
          </cell>
        </row>
        <row r="806">
          <cell r="A806">
            <v>61363</v>
          </cell>
        </row>
        <row r="807">
          <cell r="A807">
            <v>61427</v>
          </cell>
        </row>
        <row r="808">
          <cell r="A808">
            <v>61428</v>
          </cell>
        </row>
        <row r="809">
          <cell r="A809">
            <v>61473</v>
          </cell>
        </row>
        <row r="810">
          <cell r="A810">
            <v>61474</v>
          </cell>
        </row>
        <row r="811">
          <cell r="A811">
            <v>61484</v>
          </cell>
        </row>
        <row r="812">
          <cell r="A812">
            <v>61535</v>
          </cell>
        </row>
        <row r="813">
          <cell r="A813">
            <v>61613</v>
          </cell>
        </row>
        <row r="814">
          <cell r="A814">
            <v>61648</v>
          </cell>
        </row>
        <row r="815">
          <cell r="A815">
            <v>61669</v>
          </cell>
        </row>
        <row r="816">
          <cell r="A816">
            <v>61682</v>
          </cell>
        </row>
        <row r="817">
          <cell r="A817">
            <v>61722</v>
          </cell>
        </row>
        <row r="818">
          <cell r="A818">
            <v>61729</v>
          </cell>
        </row>
        <row r="819">
          <cell r="A819">
            <v>61784</v>
          </cell>
        </row>
        <row r="820">
          <cell r="A820">
            <v>61785</v>
          </cell>
        </row>
        <row r="821">
          <cell r="A821">
            <v>61830</v>
          </cell>
        </row>
        <row r="822">
          <cell r="A822">
            <v>61839</v>
          </cell>
        </row>
        <row r="823">
          <cell r="A823">
            <v>61849</v>
          </cell>
        </row>
        <row r="824">
          <cell r="A824">
            <v>61892</v>
          </cell>
        </row>
        <row r="825">
          <cell r="A825">
            <v>61978</v>
          </cell>
        </row>
        <row r="826">
          <cell r="A826">
            <v>62013</v>
          </cell>
        </row>
        <row r="827">
          <cell r="A827">
            <v>62034</v>
          </cell>
        </row>
        <row r="828">
          <cell r="A828">
            <v>62047</v>
          </cell>
        </row>
        <row r="829">
          <cell r="A829">
            <v>62087</v>
          </cell>
        </row>
        <row r="830">
          <cell r="A830">
            <v>62094</v>
          </cell>
        </row>
        <row r="831">
          <cell r="A831">
            <v>62134</v>
          </cell>
        </row>
        <row r="832">
          <cell r="A832">
            <v>62135</v>
          </cell>
        </row>
        <row r="833">
          <cell r="A833">
            <v>62180</v>
          </cell>
        </row>
        <row r="834">
          <cell r="A834">
            <v>62204</v>
          </cell>
        </row>
        <row r="835">
          <cell r="A835">
            <v>62214</v>
          </cell>
        </row>
        <row r="836">
          <cell r="A836">
            <v>62242</v>
          </cell>
        </row>
        <row r="837">
          <cell r="A837">
            <v>62343</v>
          </cell>
        </row>
        <row r="838">
          <cell r="A838">
            <v>62378</v>
          </cell>
        </row>
        <row r="839">
          <cell r="A839">
            <v>62399</v>
          </cell>
        </row>
        <row r="840">
          <cell r="A840">
            <v>62412</v>
          </cell>
        </row>
        <row r="841">
          <cell r="A841">
            <v>62452</v>
          </cell>
        </row>
        <row r="842">
          <cell r="A842">
            <v>62459</v>
          </cell>
        </row>
        <row r="843">
          <cell r="A843">
            <v>62519</v>
          </cell>
        </row>
        <row r="844">
          <cell r="A844">
            <v>62520</v>
          </cell>
        </row>
        <row r="845">
          <cell r="A845">
            <v>62565</v>
          </cell>
        </row>
        <row r="846">
          <cell r="A846">
            <v>62569</v>
          </cell>
        </row>
        <row r="847">
          <cell r="A847">
            <v>62579</v>
          </cell>
        </row>
        <row r="848">
          <cell r="A848">
            <v>62627</v>
          </cell>
        </row>
        <row r="849">
          <cell r="A849">
            <v>62708</v>
          </cell>
        </row>
        <row r="850">
          <cell r="A850">
            <v>62743</v>
          </cell>
        </row>
        <row r="851">
          <cell r="A851">
            <v>62764</v>
          </cell>
        </row>
        <row r="852">
          <cell r="A852">
            <v>62777</v>
          </cell>
        </row>
        <row r="853">
          <cell r="A853">
            <v>62817</v>
          </cell>
        </row>
        <row r="854">
          <cell r="A854">
            <v>62824</v>
          </cell>
        </row>
        <row r="855">
          <cell r="A855">
            <v>62876</v>
          </cell>
        </row>
        <row r="856">
          <cell r="A856">
            <v>62877</v>
          </cell>
        </row>
        <row r="857">
          <cell r="A857">
            <v>62922</v>
          </cell>
        </row>
        <row r="858">
          <cell r="A858">
            <v>62935</v>
          </cell>
        </row>
        <row r="859">
          <cell r="A859">
            <v>62945</v>
          </cell>
        </row>
        <row r="860">
          <cell r="A860">
            <v>62984</v>
          </cell>
        </row>
        <row r="861">
          <cell r="A861">
            <v>63074</v>
          </cell>
        </row>
        <row r="862">
          <cell r="A862">
            <v>63109</v>
          </cell>
        </row>
        <row r="863">
          <cell r="A863">
            <v>63130</v>
          </cell>
        </row>
        <row r="864">
          <cell r="A864">
            <v>63143</v>
          </cell>
        </row>
        <row r="865">
          <cell r="A865">
            <v>63183</v>
          </cell>
        </row>
        <row r="866">
          <cell r="A866">
            <v>63190</v>
          </cell>
        </row>
        <row r="867">
          <cell r="A867">
            <v>63226</v>
          </cell>
        </row>
        <row r="868">
          <cell r="A868">
            <v>63227</v>
          </cell>
        </row>
        <row r="869">
          <cell r="A869">
            <v>63272</v>
          </cell>
        </row>
        <row r="870">
          <cell r="A870">
            <v>63300</v>
          </cell>
        </row>
        <row r="871">
          <cell r="A871">
            <v>63310</v>
          </cell>
        </row>
        <row r="872">
          <cell r="A872">
            <v>63334</v>
          </cell>
        </row>
        <row r="873">
          <cell r="A873">
            <v>63439</v>
          </cell>
        </row>
        <row r="874">
          <cell r="A874">
            <v>63474</v>
          </cell>
        </row>
        <row r="875">
          <cell r="A875">
            <v>63495</v>
          </cell>
        </row>
        <row r="876">
          <cell r="A876">
            <v>63508</v>
          </cell>
        </row>
        <row r="877">
          <cell r="A877">
            <v>63548</v>
          </cell>
        </row>
        <row r="878">
          <cell r="A878">
            <v>63555</v>
          </cell>
        </row>
        <row r="879">
          <cell r="A879">
            <v>63611</v>
          </cell>
        </row>
        <row r="880">
          <cell r="A880">
            <v>63612</v>
          </cell>
        </row>
        <row r="881">
          <cell r="A881">
            <v>63657</v>
          </cell>
        </row>
        <row r="882">
          <cell r="A882">
            <v>63665</v>
          </cell>
        </row>
        <row r="883">
          <cell r="A883">
            <v>63675</v>
          </cell>
        </row>
        <row r="884">
          <cell r="A884">
            <v>63719</v>
          </cell>
        </row>
        <row r="885">
          <cell r="A885">
            <v>63804</v>
          </cell>
        </row>
        <row r="886">
          <cell r="A886">
            <v>63839</v>
          </cell>
        </row>
        <row r="887">
          <cell r="A887">
            <v>63860</v>
          </cell>
        </row>
        <row r="888">
          <cell r="A888">
            <v>63873</v>
          </cell>
        </row>
        <row r="889">
          <cell r="A889">
            <v>63913</v>
          </cell>
        </row>
        <row r="890">
          <cell r="A890">
            <v>63920</v>
          </cell>
        </row>
        <row r="891">
          <cell r="A891">
            <v>63968</v>
          </cell>
        </row>
        <row r="892">
          <cell r="A892">
            <v>63969</v>
          </cell>
        </row>
        <row r="893">
          <cell r="A893">
            <v>64014</v>
          </cell>
        </row>
        <row r="894">
          <cell r="A894">
            <v>64030</v>
          </cell>
        </row>
        <row r="895">
          <cell r="A895">
            <v>64040</v>
          </cell>
        </row>
        <row r="896">
          <cell r="A896">
            <v>64076</v>
          </cell>
        </row>
        <row r="897">
          <cell r="A897">
            <v>64169</v>
          </cell>
        </row>
        <row r="898">
          <cell r="A898">
            <v>64204</v>
          </cell>
        </row>
        <row r="899">
          <cell r="A899">
            <v>64225</v>
          </cell>
        </row>
        <row r="900">
          <cell r="A900">
            <v>64238</v>
          </cell>
        </row>
        <row r="901">
          <cell r="A901">
            <v>64278</v>
          </cell>
        </row>
        <row r="902">
          <cell r="A902">
            <v>64285</v>
          </cell>
        </row>
        <row r="903">
          <cell r="A903">
            <v>64346</v>
          </cell>
        </row>
        <row r="904">
          <cell r="A904">
            <v>64347</v>
          </cell>
        </row>
        <row r="905">
          <cell r="A905">
            <v>64392</v>
          </cell>
        </row>
        <row r="906">
          <cell r="A906">
            <v>64396</v>
          </cell>
        </row>
        <row r="907">
          <cell r="A907">
            <v>64406</v>
          </cell>
        </row>
        <row r="908">
          <cell r="A908">
            <v>64454</v>
          </cell>
        </row>
        <row r="909">
          <cell r="A909">
            <v>64535</v>
          </cell>
        </row>
        <row r="910">
          <cell r="A910">
            <v>64570</v>
          </cell>
        </row>
        <row r="911">
          <cell r="A911">
            <v>64591</v>
          </cell>
        </row>
        <row r="912">
          <cell r="A912">
            <v>64604</v>
          </cell>
        </row>
        <row r="913">
          <cell r="A913">
            <v>64644</v>
          </cell>
        </row>
        <row r="914">
          <cell r="A914">
            <v>64651</v>
          </cell>
        </row>
        <row r="915">
          <cell r="A915">
            <v>64703</v>
          </cell>
        </row>
        <row r="916">
          <cell r="A916">
            <v>64704</v>
          </cell>
        </row>
        <row r="917">
          <cell r="A917">
            <v>64749</v>
          </cell>
        </row>
        <row r="918">
          <cell r="A918">
            <v>64761</v>
          </cell>
        </row>
        <row r="919">
          <cell r="A919">
            <v>64771</v>
          </cell>
        </row>
        <row r="920">
          <cell r="A920">
            <v>64811</v>
          </cell>
        </row>
        <row r="921">
          <cell r="A921">
            <v>64900</v>
          </cell>
        </row>
        <row r="922">
          <cell r="A922">
            <v>64935</v>
          </cell>
        </row>
        <row r="923">
          <cell r="A923">
            <v>64956</v>
          </cell>
        </row>
        <row r="924">
          <cell r="A924">
            <v>64969</v>
          </cell>
        </row>
        <row r="925">
          <cell r="A925">
            <v>65009</v>
          </cell>
        </row>
        <row r="926">
          <cell r="A926">
            <v>65016</v>
          </cell>
        </row>
        <row r="927">
          <cell r="A927">
            <v>65060</v>
          </cell>
        </row>
        <row r="928">
          <cell r="A928">
            <v>65061</v>
          </cell>
        </row>
        <row r="929">
          <cell r="A929">
            <v>65106</v>
          </cell>
        </row>
        <row r="930">
          <cell r="A930">
            <v>65126</v>
          </cell>
        </row>
        <row r="931">
          <cell r="A931">
            <v>65136</v>
          </cell>
        </row>
        <row r="932">
          <cell r="A932">
            <v>65168</v>
          </cell>
        </row>
        <row r="933">
          <cell r="A933">
            <v>65265</v>
          </cell>
        </row>
        <row r="934">
          <cell r="A934">
            <v>65300</v>
          </cell>
        </row>
        <row r="935">
          <cell r="A935">
            <v>65321</v>
          </cell>
        </row>
        <row r="936">
          <cell r="A936">
            <v>65334</v>
          </cell>
        </row>
        <row r="937">
          <cell r="A937">
            <v>65374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Eduardo Amaral" id="{87CF4EBF-8BA3-426F-AB5B-EF77EC28B643}" userId="1bfa2ac83e16c31e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" dT="2022-02-06T18:47:00.51" personId="{87CF4EBF-8BA3-426F-AB5B-EF77EC28B643}" id="{4B8A4EB9-4371-491D-A0EA-A6C05E3F22FD}">
    <text>IBGE
Tabela 6612 - Valores encadeados a preços de 1995
Tabela 6613 - Valores encadeados a preços de 1995 com ajuste sazonal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B5607-37AD-45B8-9F12-5C0FB25A57C8}">
  <sheetPr codeName="Planilha4"/>
  <dimension ref="A1:CC126"/>
  <sheetViews>
    <sheetView tabSelected="1" zoomScaleNormal="100" workbookViewId="0">
      <selection activeCell="A4" sqref="A4"/>
    </sheetView>
  </sheetViews>
  <sheetFormatPr defaultRowHeight="15" x14ac:dyDescent="0.25"/>
  <cols>
    <col min="1" max="1" width="11.85546875" bestFit="1" customWidth="1"/>
    <col min="2" max="23" width="12.140625" customWidth="1"/>
    <col min="24" max="24" width="5.140625" customWidth="1"/>
    <col min="25" max="45" width="12.42578125" customWidth="1"/>
    <col min="46" max="46" width="5.140625" customWidth="1"/>
    <col min="47" max="47" width="12.28515625" bestFit="1" customWidth="1"/>
    <col min="48" max="48" width="11.140625" bestFit="1" customWidth="1"/>
    <col min="49" max="49" width="10.140625" bestFit="1" customWidth="1"/>
    <col min="50" max="50" width="11.140625" bestFit="1" customWidth="1"/>
    <col min="51" max="51" width="10.140625" bestFit="1" customWidth="1"/>
    <col min="52" max="52" width="11.140625" bestFit="1" customWidth="1"/>
    <col min="53" max="53" width="12.28515625" bestFit="1" customWidth="1"/>
    <col min="54" max="54" width="11.140625" bestFit="1" customWidth="1"/>
    <col min="55" max="55" width="10.140625" bestFit="1" customWidth="1"/>
    <col min="56" max="60" width="11.140625" bestFit="1" customWidth="1"/>
    <col min="61" max="61" width="12.28515625" bestFit="1" customWidth="1"/>
    <col min="62" max="62" width="11.140625" bestFit="1" customWidth="1"/>
    <col min="63" max="64" width="12.28515625" bestFit="1" customWidth="1"/>
    <col min="65" max="68" width="11.140625" bestFit="1" customWidth="1"/>
    <col min="70" max="70" width="11" bestFit="1" customWidth="1"/>
  </cols>
  <sheetData>
    <row r="1" spans="1:81" x14ac:dyDescent="0.25">
      <c r="A1" s="6" t="s">
        <v>9</v>
      </c>
      <c r="AU1" s="6" t="s">
        <v>7</v>
      </c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CB1" s="6" t="s">
        <v>7</v>
      </c>
      <c r="CC1" s="6"/>
    </row>
    <row r="2" spans="1:81" x14ac:dyDescent="0.25">
      <c r="A2" s="6" t="s">
        <v>6</v>
      </c>
      <c r="B2" s="17" t="s">
        <v>159</v>
      </c>
      <c r="C2" s="17" t="s">
        <v>159</v>
      </c>
      <c r="D2" s="17" t="s">
        <v>159</v>
      </c>
      <c r="E2" s="17" t="s">
        <v>159</v>
      </c>
      <c r="F2" s="17" t="s">
        <v>159</v>
      </c>
      <c r="G2" s="17" t="s">
        <v>159</v>
      </c>
      <c r="H2" s="17" t="s">
        <v>159</v>
      </c>
      <c r="I2" s="17" t="s">
        <v>159</v>
      </c>
      <c r="J2" s="17" t="s">
        <v>159</v>
      </c>
      <c r="K2" s="17" t="s">
        <v>159</v>
      </c>
      <c r="L2" s="17" t="s">
        <v>159</v>
      </c>
      <c r="M2" s="17" t="s">
        <v>159</v>
      </c>
      <c r="N2" s="17" t="s">
        <v>159</v>
      </c>
      <c r="O2" s="17" t="s">
        <v>159</v>
      </c>
      <c r="P2" s="17" t="s">
        <v>159</v>
      </c>
      <c r="Q2" s="17" t="s">
        <v>159</v>
      </c>
      <c r="R2" s="17" t="s">
        <v>159</v>
      </c>
      <c r="S2" s="17" t="s">
        <v>159</v>
      </c>
      <c r="T2" s="17" t="s">
        <v>159</v>
      </c>
      <c r="U2" s="17" t="s">
        <v>159</v>
      </c>
      <c r="V2" s="17" t="s">
        <v>159</v>
      </c>
      <c r="W2" s="17" t="s">
        <v>159</v>
      </c>
      <c r="Y2" s="17" t="s">
        <v>3</v>
      </c>
      <c r="Z2" s="17" t="s">
        <v>3</v>
      </c>
      <c r="AA2" s="17" t="s">
        <v>3</v>
      </c>
      <c r="AB2" s="17" t="s">
        <v>3</v>
      </c>
      <c r="AC2" s="17" t="s">
        <v>3</v>
      </c>
      <c r="AD2" s="17" t="s">
        <v>3</v>
      </c>
      <c r="AE2" s="17" t="s">
        <v>3</v>
      </c>
      <c r="AF2" s="17" t="s">
        <v>3</v>
      </c>
      <c r="AG2" s="17" t="s">
        <v>3</v>
      </c>
      <c r="AH2" s="17" t="s">
        <v>3</v>
      </c>
      <c r="AI2" s="17" t="s">
        <v>3</v>
      </c>
      <c r="AJ2" s="17" t="s">
        <v>3</v>
      </c>
      <c r="AK2" s="17" t="s">
        <v>3</v>
      </c>
      <c r="AL2" s="17" t="s">
        <v>3</v>
      </c>
      <c r="AM2" s="17" t="s">
        <v>3</v>
      </c>
      <c r="AN2" s="17" t="s">
        <v>3</v>
      </c>
      <c r="AO2" s="17" t="s">
        <v>3</v>
      </c>
      <c r="AP2" s="17" t="s">
        <v>3</v>
      </c>
      <c r="AQ2" s="17" t="s">
        <v>3</v>
      </c>
      <c r="AR2" s="17" t="s">
        <v>3</v>
      </c>
      <c r="AS2" s="17" t="s">
        <v>3</v>
      </c>
      <c r="AU2" s="6" t="str">
        <f>'BR OBS'!B5</f>
        <v>Agropecuária - total</v>
      </c>
      <c r="AV2" s="6" t="str">
        <f>'BR OBS'!C5</f>
        <v>Indústria - total</v>
      </c>
      <c r="AW2" s="6" t="str">
        <f>'BR OBS'!D5</f>
        <v>Indústrias extrativas</v>
      </c>
      <c r="AX2" s="6" t="str">
        <f>'BR OBS'!E5</f>
        <v>Indústrias de transformação</v>
      </c>
      <c r="AY2" s="6" t="str">
        <f>'BR OBS'!F5</f>
        <v>Eletricidade e gás, água, esgoto, atividades de gestão de resíduos</v>
      </c>
      <c r="AZ2" s="6" t="str">
        <f>'BR OBS'!G5</f>
        <v>Construção</v>
      </c>
      <c r="BA2" s="6" t="str">
        <f>'BR OBS'!H5</f>
        <v>Serviços - total</v>
      </c>
      <c r="BB2" s="6" t="str">
        <f>'BR OBS'!I5</f>
        <v>Comércio</v>
      </c>
      <c r="BC2" s="6" t="str">
        <f>'BR OBS'!J5</f>
        <v>Transporte, armazenagem e correio</v>
      </c>
      <c r="BD2" s="6" t="str">
        <f>'BR OBS'!K5</f>
        <v>Informação e comunicação</v>
      </c>
      <c r="BE2" s="6" t="str">
        <f>'BR OBS'!L5</f>
        <v>Atividades financeiras, de seguros e serviços relacionados</v>
      </c>
      <c r="BF2" s="6" t="str">
        <f>'BR OBS'!M5</f>
        <v>Atividades imobiliárias</v>
      </c>
      <c r="BG2" s="6" t="str">
        <f>'BR OBS'!N5</f>
        <v>Outras atividades de serviços</v>
      </c>
      <c r="BH2" s="6" t="str">
        <f>'BR OBS'!O5</f>
        <v>Administração, saúde e educação públicas e seguridade social</v>
      </c>
      <c r="BI2" s="6" t="str">
        <f>'BR OBS'!P5</f>
        <v>Valor adicionado a preços básicos</v>
      </c>
      <c r="BJ2" s="6" t="str">
        <f>'BR OBS'!Q5</f>
        <v>Impostos líquidos sobre produtos</v>
      </c>
      <c r="BK2" s="6" t="str">
        <f>'BR OBS'!R5</f>
        <v>PIB a preços de mercado</v>
      </c>
      <c r="BL2" s="6" t="str">
        <f>'BR OBS'!S5</f>
        <v>Despesa de consumo das famílias</v>
      </c>
      <c r="BM2" s="6" t="str">
        <f>'BR OBS'!T5</f>
        <v>Despesa de consumo da administração pública</v>
      </c>
      <c r="BN2" s="6" t="str">
        <f>'BR OBS'!U5</f>
        <v>Formação bruta de capital fixo</v>
      </c>
      <c r="BO2" s="6" t="str">
        <f>'BR OBS'!V5</f>
        <v>Exportação de bens e serviços</v>
      </c>
      <c r="BP2" s="6" t="str">
        <f>'BR OBS'!W5</f>
        <v>Importação de bens e serviços (-)</v>
      </c>
      <c r="CB2" s="6" t="str">
        <f>BK2</f>
        <v>PIB a preços de mercado</v>
      </c>
    </row>
    <row r="3" spans="1:81" ht="29.25" customHeight="1" x14ac:dyDescent="0.25">
      <c r="A3" s="7" t="s">
        <v>4</v>
      </c>
      <c r="B3" s="12" t="str">
        <f>'BR OBS'!B5&amp;" OBS"</f>
        <v>Agropecuária - total OBS</v>
      </c>
      <c r="C3" s="12" t="str">
        <f>'BR OBS'!C5&amp;" OBS"</f>
        <v>Indústria - total OBS</v>
      </c>
      <c r="D3" s="12" t="str">
        <f>'BR OBS'!D5&amp;" OBS"</f>
        <v>Indústrias extrativas OBS</v>
      </c>
      <c r="E3" s="12" t="str">
        <f>'BR OBS'!E5&amp;" OBS"</f>
        <v>Indústrias de transformação OBS</v>
      </c>
      <c r="F3" s="12" t="str">
        <f>'BR OBS'!F5&amp;" OBS"</f>
        <v>Eletricidade e gás, água, esgoto, atividades de gestão de resíduos OBS</v>
      </c>
      <c r="G3" s="12" t="str">
        <f>'BR OBS'!G5&amp;" OBS"</f>
        <v>Construção OBS</v>
      </c>
      <c r="H3" s="12" t="str">
        <f>'BR OBS'!H5&amp;" OBS"</f>
        <v>Serviços - total OBS</v>
      </c>
      <c r="I3" s="12" t="str">
        <f>'BR OBS'!I5&amp;" OBS"</f>
        <v>Comércio OBS</v>
      </c>
      <c r="J3" s="12" t="str">
        <f>'BR OBS'!J5&amp;" OBS"</f>
        <v>Transporte, armazenagem e correio OBS</v>
      </c>
      <c r="K3" s="12" t="str">
        <f>'BR OBS'!K5&amp;" OBS"</f>
        <v>Informação e comunicação OBS</v>
      </c>
      <c r="L3" s="12" t="str">
        <f>'BR OBS'!L5&amp;" OBS"</f>
        <v>Atividades financeiras, de seguros e serviços relacionados OBS</v>
      </c>
      <c r="M3" s="12" t="str">
        <f>'BR OBS'!M5&amp;" OBS"</f>
        <v>Atividades imobiliárias OBS</v>
      </c>
      <c r="N3" s="12" t="str">
        <f>'BR OBS'!N5&amp;" OBS"</f>
        <v>Outras atividades de serviços OBS</v>
      </c>
      <c r="O3" s="12" t="str">
        <f>'BR OBS'!O5&amp;" OBS"</f>
        <v>Administração, saúde e educação públicas e seguridade social OBS</v>
      </c>
      <c r="P3" s="12" t="str">
        <f>'BR OBS'!P5&amp;" OBS"</f>
        <v>Valor adicionado a preços básicos OBS</v>
      </c>
      <c r="Q3" s="12" t="str">
        <f>'BR OBS'!Q5&amp;" OBS"</f>
        <v>Impostos líquidos sobre produtos OBS</v>
      </c>
      <c r="R3" s="12" t="str">
        <f>'BR OBS'!R5&amp;" OBS"</f>
        <v>PIB a preços de mercado OBS</v>
      </c>
      <c r="S3" s="12" t="str">
        <f>'BR OBS'!S5&amp;" OBS"</f>
        <v>Despesa de consumo das famílias OBS</v>
      </c>
      <c r="T3" s="12" t="str">
        <f>'BR OBS'!T5&amp;" OBS"</f>
        <v>Despesa de consumo da administração pública OBS</v>
      </c>
      <c r="U3" s="12" t="str">
        <f>'BR OBS'!U5&amp;" OBS"</f>
        <v>Formação bruta de capital fixo OBS</v>
      </c>
      <c r="V3" s="12" t="str">
        <f>'BR OBS'!V5&amp;" OBS"</f>
        <v>Exportação de bens e serviços OBS</v>
      </c>
      <c r="W3" s="12" t="str">
        <f>'BR OBS'!W5&amp;" OBS"</f>
        <v>Importação de bens e serviços (-) OBS</v>
      </c>
      <c r="X3" s="14"/>
      <c r="Y3" s="12" t="str">
        <f>'BR SA'!B5&amp;" SA"</f>
        <v>Agropecuária - total SA</v>
      </c>
      <c r="Z3" s="12" t="str">
        <f>'BR SA'!C5&amp;" SA"</f>
        <v>Indústria - total SA</v>
      </c>
      <c r="AA3" s="12" t="str">
        <f>'BR SA'!D5&amp;" SA"</f>
        <v>Indústrias extrativas SA</v>
      </c>
      <c r="AB3" s="12" t="str">
        <f>'BR SA'!E5&amp;" SA"</f>
        <v>Indústrias de transformação SA</v>
      </c>
      <c r="AC3" s="12" t="str">
        <f>'BR SA'!F5&amp;" SA"</f>
        <v>Eletricidade e gás, água, esgoto, atividades de gestão de resíduos SA</v>
      </c>
      <c r="AD3" s="12" t="str">
        <f>'BR SA'!G5&amp;" SA"</f>
        <v>Construção SA</v>
      </c>
      <c r="AE3" s="12" t="str">
        <f>'BR SA'!H5&amp;" SA"</f>
        <v>Serviços - total SA</v>
      </c>
      <c r="AF3" s="12" t="str">
        <f>'BR SA'!I5&amp;" SA"</f>
        <v>Comércio SA</v>
      </c>
      <c r="AG3" s="12" t="str">
        <f>'BR SA'!J5&amp;" SA"</f>
        <v>Transporte, armazenagem e correio SA</v>
      </c>
      <c r="AH3" s="12" t="str">
        <f>'BR SA'!K5&amp;" SA"</f>
        <v>Informação e comunicação SA</v>
      </c>
      <c r="AI3" s="12" t="str">
        <f>'BR SA'!L5&amp;" SA"</f>
        <v>Atividades financeiras, de seguros e serviços relacionados SA</v>
      </c>
      <c r="AJ3" s="12" t="str">
        <f>'BR SA'!M5&amp;" SA"</f>
        <v>Atividades imobiliárias SA</v>
      </c>
      <c r="AK3" s="12" t="str">
        <f>'BR SA'!N5&amp;" SA"</f>
        <v>Outras atividades de serviços SA</v>
      </c>
      <c r="AL3" s="12" t="str">
        <f>'BR SA'!O5&amp;" SA"</f>
        <v>Administração, saúde e educação públicas e seguridade social SA</v>
      </c>
      <c r="AM3" s="12" t="str">
        <f>'BR SA'!P5&amp;" SA"</f>
        <v>Valor adicionado a preços básicos SA</v>
      </c>
      <c r="AN3" s="12" t="str">
        <f>'BR SA'!Q5&amp;" SA"</f>
        <v>PIB a preços de mercado SA</v>
      </c>
      <c r="AO3" s="12" t="str">
        <f>'BR SA'!R5&amp;" SA"</f>
        <v>Despesa de consumo das famílias SA</v>
      </c>
      <c r="AP3" s="12" t="str">
        <f>'BR SA'!S5&amp;" SA"</f>
        <v>Despesa de consumo da administração pública SA</v>
      </c>
      <c r="AQ3" s="12" t="str">
        <f>'BR SA'!T5&amp;" SA"</f>
        <v>Formação bruta de capital fixo SA</v>
      </c>
      <c r="AR3" s="12" t="str">
        <f>'BR SA'!U5&amp;" SA"</f>
        <v>Exportação de bens e serviços SA</v>
      </c>
      <c r="AS3" s="12" t="str">
        <f>'BR SA'!V5&amp;" SA"</f>
        <v>Importação de bens e serviços (-) SA</v>
      </c>
      <c r="AU3" s="7" t="s">
        <v>3</v>
      </c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R3" s="7" t="s">
        <v>147</v>
      </c>
      <c r="CB3" s="7" t="s">
        <v>3</v>
      </c>
    </row>
    <row r="4" spans="1:81" x14ac:dyDescent="0.25">
      <c r="A4" s="8">
        <v>35065</v>
      </c>
      <c r="B4" s="9">
        <f>'BR OBS'!B6</f>
        <v>9316</v>
      </c>
      <c r="C4" s="9">
        <f>'BR OBS'!C6</f>
        <v>38457</v>
      </c>
      <c r="D4" s="9">
        <f>'BR OBS'!D6</f>
        <v>1107</v>
      </c>
      <c r="E4" s="9">
        <f>'BR OBS'!E6</f>
        <v>22989</v>
      </c>
      <c r="F4" s="9">
        <f>'BR OBS'!F6</f>
        <v>3835</v>
      </c>
      <c r="G4" s="9">
        <f>'BR OBS'!G6</f>
        <v>10525</v>
      </c>
      <c r="H4" s="9">
        <f>'BR OBS'!H6</f>
        <v>100853</v>
      </c>
      <c r="I4" s="9">
        <f>'BR OBS'!I6</f>
        <v>12732</v>
      </c>
      <c r="J4" s="9">
        <f>'BR OBS'!J6</f>
        <v>5031</v>
      </c>
      <c r="K4" s="9">
        <f>'BR OBS'!K6</f>
        <v>3741</v>
      </c>
      <c r="L4" s="9">
        <f>'BR OBS'!L6</f>
        <v>15329</v>
      </c>
      <c r="M4" s="9">
        <f>'BR OBS'!M6</f>
        <v>15373</v>
      </c>
      <c r="N4" s="9">
        <f>'BR OBS'!N6</f>
        <v>22400</v>
      </c>
      <c r="O4" s="9">
        <f>'BR OBS'!O6</f>
        <v>26247</v>
      </c>
      <c r="P4" s="9">
        <f>'BR OBS'!P6</f>
        <v>148626</v>
      </c>
      <c r="Q4" s="9">
        <f>'BR OBS'!Q6</f>
        <v>22294</v>
      </c>
      <c r="R4" s="9">
        <f>'BR OBS'!R6</f>
        <v>170920</v>
      </c>
      <c r="S4" s="9">
        <f>'BR OBS'!S6</f>
        <v>108013</v>
      </c>
      <c r="T4" s="9">
        <f>'BR OBS'!T6</f>
        <v>35503</v>
      </c>
      <c r="U4" s="9">
        <f>'BR OBS'!U6</f>
        <v>33267</v>
      </c>
      <c r="V4" s="9">
        <f>'BR OBS'!V6</f>
        <v>12645</v>
      </c>
      <c r="W4" s="9">
        <f>'BR OBS'!W6</f>
        <v>13697</v>
      </c>
      <c r="X4" s="9"/>
      <c r="Y4" s="9">
        <f>'BR SA'!B6</f>
        <v>8434</v>
      </c>
      <c r="Z4" s="9">
        <f>'BR SA'!C6</f>
        <v>41666</v>
      </c>
      <c r="AA4" s="9">
        <f>'BR SA'!D6</f>
        <v>1147</v>
      </c>
      <c r="AB4" s="9">
        <f>'BR SA'!E6</f>
        <v>25474</v>
      </c>
      <c r="AC4" s="9">
        <f>'BR SA'!F6</f>
        <v>3786</v>
      </c>
      <c r="AD4" s="9">
        <f>'BR SA'!G6</f>
        <v>11041</v>
      </c>
      <c r="AE4" s="9">
        <f>'BR SA'!H6</f>
        <v>103204</v>
      </c>
      <c r="AF4" s="9">
        <f>'BR SA'!I6</f>
        <v>13918</v>
      </c>
      <c r="AG4" s="9">
        <f>'BR SA'!J6</f>
        <v>5537</v>
      </c>
      <c r="AH4" s="9">
        <f>'BR SA'!K6</f>
        <v>3801</v>
      </c>
      <c r="AI4" s="9">
        <f>'BR SA'!L6</f>
        <v>16564</v>
      </c>
      <c r="AJ4" s="9">
        <f>'BR SA'!M6</f>
        <v>15362</v>
      </c>
      <c r="AK4" s="9">
        <f>'BR SA'!N6</f>
        <v>22997</v>
      </c>
      <c r="AL4" s="9">
        <f>'BR SA'!O6</f>
        <v>26090</v>
      </c>
      <c r="AM4" s="9">
        <f>'BR SA'!P6</f>
        <v>152567</v>
      </c>
      <c r="AN4" s="9">
        <f>'BR SA'!Q6</f>
        <v>175710</v>
      </c>
      <c r="AO4" s="9">
        <f>'BR SA'!R6</f>
        <v>110244</v>
      </c>
      <c r="AP4" s="9">
        <f>'BR SA'!S6</f>
        <v>36626</v>
      </c>
      <c r="AQ4" s="9">
        <f>'BR SA'!T6</f>
        <v>34636</v>
      </c>
      <c r="AR4" s="9">
        <f>'BR SA'!U6</f>
        <v>13272</v>
      </c>
      <c r="AS4" s="9">
        <f>'BR SA'!V6</f>
        <v>15275</v>
      </c>
      <c r="AU4" s="10" cm="1">
        <f t="array" ref="AU4:BP107">ROUND(xlDESSAZ($A$4:$A$107,$B$4:$W$107,$AU$3,,,Specs!$B$3),0)</f>
        <v>8434</v>
      </c>
      <c r="AV4" s="10">
        <v>41667</v>
      </c>
      <c r="AW4" s="9">
        <v>1147</v>
      </c>
      <c r="AX4" s="10">
        <v>25474</v>
      </c>
      <c r="AY4" s="9">
        <v>3786</v>
      </c>
      <c r="AZ4" s="10">
        <v>10977</v>
      </c>
      <c r="BA4" s="9">
        <v>103204</v>
      </c>
      <c r="BB4" s="10">
        <v>13918</v>
      </c>
      <c r="BC4" s="9">
        <v>5537</v>
      </c>
      <c r="BD4" s="10">
        <v>3801</v>
      </c>
      <c r="BE4" s="9">
        <v>16564</v>
      </c>
      <c r="BF4" s="10">
        <v>15401</v>
      </c>
      <c r="BG4" s="9">
        <v>22989</v>
      </c>
      <c r="BH4" s="10">
        <v>26104</v>
      </c>
      <c r="BI4" s="9">
        <v>152566</v>
      </c>
      <c r="BJ4" s="10">
        <v>23308</v>
      </c>
      <c r="BK4" s="9">
        <v>175711</v>
      </c>
      <c r="BL4" s="9">
        <v>110243</v>
      </c>
      <c r="BM4" s="10">
        <v>36627</v>
      </c>
      <c r="BN4" s="9">
        <v>34637</v>
      </c>
      <c r="BO4" s="10">
        <v>13271</v>
      </c>
      <c r="BP4" s="9">
        <v>15275</v>
      </c>
      <c r="BQ4" s="4"/>
      <c r="BR4" s="5">
        <f t="shared" ref="BR4:BR35" si="0">(AU4-Y4)/Y4</f>
        <v>0</v>
      </c>
      <c r="CB4" cm="1">
        <f t="array" ref="CB4:CB107">ROUND(xlDESSAZ($A$4:$A$107,$AN$4:$AN$107,$CB$3,,,Specs!$B$3),0)</f>
        <v>175863</v>
      </c>
    </row>
    <row r="5" spans="1:81" x14ac:dyDescent="0.25">
      <c r="A5" s="8">
        <v>35156</v>
      </c>
      <c r="B5" s="9">
        <f>'BR OBS'!B7</f>
        <v>9332</v>
      </c>
      <c r="C5" s="9">
        <f>'BR OBS'!C7</f>
        <v>40402</v>
      </c>
      <c r="D5" s="9">
        <f>'BR OBS'!D7</f>
        <v>1102</v>
      </c>
      <c r="E5" s="9">
        <f>'BR OBS'!E7</f>
        <v>24655</v>
      </c>
      <c r="F5" s="9">
        <f>'BR OBS'!F7</f>
        <v>3772</v>
      </c>
      <c r="G5" s="9">
        <f>'BR OBS'!G7</f>
        <v>10873</v>
      </c>
      <c r="H5" s="9">
        <f>'BR OBS'!H7</f>
        <v>103181</v>
      </c>
      <c r="I5" s="9">
        <f>'BR OBS'!I7</f>
        <v>13999</v>
      </c>
      <c r="J5" s="9">
        <f>'BR OBS'!J7</f>
        <v>5345</v>
      </c>
      <c r="K5" s="9">
        <f>'BR OBS'!K7</f>
        <v>3843</v>
      </c>
      <c r="L5" s="9">
        <f>'BR OBS'!L7</f>
        <v>14880</v>
      </c>
      <c r="M5" s="9">
        <f>'BR OBS'!M7</f>
        <v>15480</v>
      </c>
      <c r="N5" s="9">
        <f>'BR OBS'!N7</f>
        <v>22773</v>
      </c>
      <c r="O5" s="9">
        <f>'BR OBS'!O7</f>
        <v>26862</v>
      </c>
      <c r="P5" s="9">
        <f>'BR OBS'!P7</f>
        <v>152915</v>
      </c>
      <c r="Q5" s="9">
        <f>'BR OBS'!Q7</f>
        <v>23793</v>
      </c>
      <c r="R5" s="9">
        <f>'BR OBS'!R7</f>
        <v>176709</v>
      </c>
      <c r="S5" s="9">
        <f>'BR OBS'!S7</f>
        <v>112161</v>
      </c>
      <c r="T5" s="9">
        <f>'BR OBS'!T7</f>
        <v>36963</v>
      </c>
      <c r="U5" s="9">
        <f>'BR OBS'!U7</f>
        <v>36228</v>
      </c>
      <c r="V5" s="9">
        <f>'BR OBS'!V7</f>
        <v>13904</v>
      </c>
      <c r="W5" s="9">
        <f>'BR OBS'!W7</f>
        <v>16388</v>
      </c>
      <c r="X5" s="9"/>
      <c r="Y5" s="9">
        <f>'BR SA'!B7</f>
        <v>8543</v>
      </c>
      <c r="Z5" s="9">
        <f>'BR SA'!C7</f>
        <v>40183</v>
      </c>
      <c r="AA5" s="9">
        <f>'BR SA'!D7</f>
        <v>1147</v>
      </c>
      <c r="AB5" s="9">
        <f>'BR SA'!E7</f>
        <v>24177</v>
      </c>
      <c r="AC5" s="9">
        <f>'BR SA'!F7</f>
        <v>3833</v>
      </c>
      <c r="AD5" s="9">
        <f>'BR SA'!G7</f>
        <v>10936</v>
      </c>
      <c r="AE5" s="9">
        <f>'BR SA'!H7</f>
        <v>104807</v>
      </c>
      <c r="AF5" s="9">
        <f>'BR SA'!I7</f>
        <v>13937</v>
      </c>
      <c r="AG5" s="9">
        <f>'BR SA'!J7</f>
        <v>5418</v>
      </c>
      <c r="AH5" s="9">
        <f>'BR SA'!K7</f>
        <v>3887</v>
      </c>
      <c r="AI5" s="9">
        <f>'BR SA'!L7</f>
        <v>16607</v>
      </c>
      <c r="AJ5" s="9">
        <f>'BR SA'!M7</f>
        <v>15460</v>
      </c>
      <c r="AK5" s="9">
        <f>'BR SA'!N7</f>
        <v>23083</v>
      </c>
      <c r="AL5" s="9">
        <f>'BR SA'!O7</f>
        <v>26610</v>
      </c>
      <c r="AM5" s="9">
        <f>'BR SA'!P7</f>
        <v>153572</v>
      </c>
      <c r="AN5" s="9">
        <f>'BR SA'!Q7</f>
        <v>177259</v>
      </c>
      <c r="AO5" s="9">
        <f>'BR SA'!R7</f>
        <v>113482</v>
      </c>
      <c r="AP5" s="9">
        <f>'BR SA'!S7</f>
        <v>37219</v>
      </c>
      <c r="AQ5" s="9">
        <f>'BR SA'!T7</f>
        <v>35385</v>
      </c>
      <c r="AR5" s="9">
        <f>'BR SA'!U7</f>
        <v>12763</v>
      </c>
      <c r="AS5" s="9">
        <f>'BR SA'!V7</f>
        <v>16672</v>
      </c>
      <c r="AU5" s="9">
        <v>8542</v>
      </c>
      <c r="AV5" s="9">
        <v>40183</v>
      </c>
      <c r="AW5" s="9">
        <v>1147</v>
      </c>
      <c r="AX5" s="9">
        <v>24176</v>
      </c>
      <c r="AY5" s="9">
        <v>3833</v>
      </c>
      <c r="AZ5" s="9">
        <v>10926</v>
      </c>
      <c r="BA5" s="9">
        <v>104807</v>
      </c>
      <c r="BB5" s="9">
        <v>13937</v>
      </c>
      <c r="BC5" s="9">
        <v>5417</v>
      </c>
      <c r="BD5" s="9">
        <v>3887</v>
      </c>
      <c r="BE5" s="9">
        <v>16607</v>
      </c>
      <c r="BF5" s="9">
        <v>15465</v>
      </c>
      <c r="BG5" s="9">
        <v>23083</v>
      </c>
      <c r="BH5" s="9">
        <v>26608</v>
      </c>
      <c r="BI5" s="9">
        <v>153571</v>
      </c>
      <c r="BJ5" s="9">
        <v>23927</v>
      </c>
      <c r="BK5" s="9">
        <v>177259</v>
      </c>
      <c r="BL5" s="9">
        <v>113482</v>
      </c>
      <c r="BM5" s="9">
        <v>37216</v>
      </c>
      <c r="BN5" s="9">
        <v>35386</v>
      </c>
      <c r="BO5" s="9">
        <v>12762</v>
      </c>
      <c r="BP5" s="9">
        <v>16672</v>
      </c>
      <c r="BQ5" s="4"/>
      <c r="BR5" s="5">
        <f t="shared" si="0"/>
        <v>-1.1705489874751258E-4</v>
      </c>
      <c r="CB5">
        <v>177335</v>
      </c>
    </row>
    <row r="6" spans="1:81" x14ac:dyDescent="0.25">
      <c r="A6" s="8">
        <v>35247</v>
      </c>
      <c r="B6" s="9">
        <f>'BR OBS'!B8</f>
        <v>9562</v>
      </c>
      <c r="C6" s="9">
        <f>'BR OBS'!C8</f>
        <v>46061</v>
      </c>
      <c r="D6" s="9">
        <f>'BR OBS'!D8</f>
        <v>1119</v>
      </c>
      <c r="E6" s="9">
        <f>'BR OBS'!E8</f>
        <v>29571</v>
      </c>
      <c r="F6" s="9">
        <f>'BR OBS'!F8</f>
        <v>3817</v>
      </c>
      <c r="G6" s="9">
        <f>'BR OBS'!G8</f>
        <v>11555</v>
      </c>
      <c r="H6" s="9">
        <f>'BR OBS'!H8</f>
        <v>108484</v>
      </c>
      <c r="I6" s="9">
        <f>'BR OBS'!I8</f>
        <v>15155</v>
      </c>
      <c r="J6" s="9">
        <f>'BR OBS'!J8</f>
        <v>5910</v>
      </c>
      <c r="K6" s="9">
        <f>'BR OBS'!K8</f>
        <v>3986</v>
      </c>
      <c r="L6" s="9">
        <f>'BR OBS'!L8</f>
        <v>17653</v>
      </c>
      <c r="M6" s="9">
        <f>'BR OBS'!M8</f>
        <v>15500</v>
      </c>
      <c r="N6" s="9">
        <f>'BR OBS'!N8</f>
        <v>23450</v>
      </c>
      <c r="O6" s="9">
        <f>'BR OBS'!O8</f>
        <v>26830</v>
      </c>
      <c r="P6" s="9">
        <f>'BR OBS'!P8</f>
        <v>164107</v>
      </c>
      <c r="Q6" s="9">
        <f>'BR OBS'!Q8</f>
        <v>25737</v>
      </c>
      <c r="R6" s="9">
        <f>'BR OBS'!R8</f>
        <v>189844</v>
      </c>
      <c r="S6" s="9">
        <f>'BR OBS'!S8</f>
        <v>117771</v>
      </c>
      <c r="T6" s="9">
        <f>'BR OBS'!T8</f>
        <v>38784</v>
      </c>
      <c r="U6" s="9">
        <f>'BR OBS'!U8</f>
        <v>37688</v>
      </c>
      <c r="V6" s="9">
        <f>'BR OBS'!V8</f>
        <v>14175</v>
      </c>
      <c r="W6" s="9">
        <f>'BR OBS'!W8</f>
        <v>19099</v>
      </c>
      <c r="X6" s="9"/>
      <c r="Y6" s="9">
        <f>'BR SA'!B8</f>
        <v>9006</v>
      </c>
      <c r="Z6" s="9">
        <f>'BR SA'!C8</f>
        <v>43756</v>
      </c>
      <c r="AA6" s="9">
        <f>'BR SA'!D8</f>
        <v>1087</v>
      </c>
      <c r="AB6" s="9">
        <f>'BR SA'!E8</f>
        <v>27885</v>
      </c>
      <c r="AC6" s="9">
        <f>'BR SA'!F8</f>
        <v>3853</v>
      </c>
      <c r="AD6" s="9">
        <f>'BR SA'!G8</f>
        <v>11023</v>
      </c>
      <c r="AE6" s="9">
        <f>'BR SA'!H8</f>
        <v>106569</v>
      </c>
      <c r="AF6" s="9">
        <f>'BR SA'!I8</f>
        <v>14310</v>
      </c>
      <c r="AG6" s="9">
        <f>'BR SA'!J8</f>
        <v>5592</v>
      </c>
      <c r="AH6" s="9">
        <f>'BR SA'!K8</f>
        <v>4047</v>
      </c>
      <c r="AI6" s="9">
        <f>'BR SA'!L8</f>
        <v>16606</v>
      </c>
      <c r="AJ6" s="9">
        <f>'BR SA'!M8</f>
        <v>15600</v>
      </c>
      <c r="AK6" s="9">
        <f>'BR SA'!N8</f>
        <v>23156</v>
      </c>
      <c r="AL6" s="9">
        <f>'BR SA'!O8</f>
        <v>26751</v>
      </c>
      <c r="AM6" s="9">
        <f>'BR SA'!P8</f>
        <v>159426</v>
      </c>
      <c r="AN6" s="9">
        <f>'BR SA'!Q8</f>
        <v>184212</v>
      </c>
      <c r="AO6" s="9">
        <f>'BR SA'!R8</f>
        <v>116582</v>
      </c>
      <c r="AP6" s="9">
        <f>'BR SA'!S8</f>
        <v>38513</v>
      </c>
      <c r="AQ6" s="9">
        <f>'BR SA'!T8</f>
        <v>36668</v>
      </c>
      <c r="AR6" s="9">
        <f>'BR SA'!U8</f>
        <v>12680</v>
      </c>
      <c r="AS6" s="9">
        <f>'BR SA'!V8</f>
        <v>17897</v>
      </c>
      <c r="AU6" s="9">
        <v>9006</v>
      </c>
      <c r="AV6" s="9">
        <v>43756</v>
      </c>
      <c r="AW6" s="9">
        <v>1087</v>
      </c>
      <c r="AX6" s="9">
        <v>27886</v>
      </c>
      <c r="AY6" s="9">
        <v>3854</v>
      </c>
      <c r="AZ6" s="9">
        <v>11014</v>
      </c>
      <c r="BA6" s="9">
        <v>106569</v>
      </c>
      <c r="BB6" s="9">
        <v>14310</v>
      </c>
      <c r="BC6" s="9">
        <v>5592</v>
      </c>
      <c r="BD6" s="9">
        <v>4047</v>
      </c>
      <c r="BE6" s="9">
        <v>16606</v>
      </c>
      <c r="BF6" s="9">
        <v>15611</v>
      </c>
      <c r="BG6" s="9">
        <v>23154</v>
      </c>
      <c r="BH6" s="9">
        <v>26755</v>
      </c>
      <c r="BI6" s="9">
        <v>159426</v>
      </c>
      <c r="BJ6" s="9">
        <v>24661</v>
      </c>
      <c r="BK6" s="9">
        <v>184212</v>
      </c>
      <c r="BL6" s="9">
        <v>116582</v>
      </c>
      <c r="BM6" s="9">
        <v>38507</v>
      </c>
      <c r="BN6" s="9">
        <v>36668</v>
      </c>
      <c r="BO6" s="9">
        <v>12680</v>
      </c>
      <c r="BP6" s="9">
        <v>17897</v>
      </c>
      <c r="BQ6" s="4"/>
      <c r="BR6" s="5">
        <f t="shared" si="0"/>
        <v>0</v>
      </c>
      <c r="CB6">
        <v>184065</v>
      </c>
    </row>
    <row r="7" spans="1:81" x14ac:dyDescent="0.25">
      <c r="A7" s="8">
        <v>35339</v>
      </c>
      <c r="B7" s="9">
        <f>'BR OBS'!B9</f>
        <v>8216</v>
      </c>
      <c r="C7" s="9">
        <f>'BR OBS'!C9</f>
        <v>41760</v>
      </c>
      <c r="D7" s="9">
        <f>'BR OBS'!D9</f>
        <v>1191</v>
      </c>
      <c r="E7" s="9">
        <f>'BR OBS'!E9</f>
        <v>25535</v>
      </c>
      <c r="F7" s="9">
        <f>'BR OBS'!F9</f>
        <v>3981</v>
      </c>
      <c r="G7" s="9">
        <f>'BR OBS'!G9</f>
        <v>11054</v>
      </c>
      <c r="H7" s="9">
        <f>'BR OBS'!H9</f>
        <v>107248</v>
      </c>
      <c r="I7" s="9">
        <f>'BR OBS'!I9</f>
        <v>14838</v>
      </c>
      <c r="J7" s="9">
        <f>'BR OBS'!J9</f>
        <v>5644</v>
      </c>
      <c r="K7" s="9">
        <f>'BR OBS'!K9</f>
        <v>4147</v>
      </c>
      <c r="L7" s="9">
        <f>'BR OBS'!L9</f>
        <v>17097</v>
      </c>
      <c r="M7" s="9">
        <f>'BR OBS'!M9</f>
        <v>15286</v>
      </c>
      <c r="N7" s="9">
        <f>'BR OBS'!N9</f>
        <v>23870</v>
      </c>
      <c r="O7" s="9">
        <f>'BR OBS'!O9</f>
        <v>26367</v>
      </c>
      <c r="P7" s="9">
        <f>'BR OBS'!P9</f>
        <v>157224</v>
      </c>
      <c r="Q7" s="9">
        <f>'BR OBS'!Q9</f>
        <v>26889</v>
      </c>
      <c r="R7" s="9">
        <f>'BR OBS'!R9</f>
        <v>184113</v>
      </c>
      <c r="S7" s="9">
        <f>'BR OBS'!S9</f>
        <v>126373</v>
      </c>
      <c r="T7" s="9">
        <f>'BR OBS'!T9</f>
        <v>33803</v>
      </c>
      <c r="U7" s="9">
        <f>'BR OBS'!U9</f>
        <v>37749</v>
      </c>
      <c r="V7" s="9">
        <f>'BR OBS'!V9</f>
        <v>12205</v>
      </c>
      <c r="W7" s="9">
        <f>'BR OBS'!W9</f>
        <v>21306</v>
      </c>
      <c r="X7" s="9"/>
      <c r="Y7" s="9">
        <f>'BR SA'!B9</f>
        <v>11104</v>
      </c>
      <c r="Z7" s="9">
        <f>'BR SA'!C9</f>
        <v>41096</v>
      </c>
      <c r="AA7" s="9">
        <f>'BR SA'!D9</f>
        <v>1140</v>
      </c>
      <c r="AB7" s="9">
        <f>'BR SA'!E9</f>
        <v>25211</v>
      </c>
      <c r="AC7" s="9">
        <f>'BR SA'!F9</f>
        <v>3933</v>
      </c>
      <c r="AD7" s="9">
        <f>'BR SA'!G9</f>
        <v>11007</v>
      </c>
      <c r="AE7" s="9">
        <f>'BR SA'!H9</f>
        <v>104217</v>
      </c>
      <c r="AF7" s="9">
        <f>'BR SA'!I9</f>
        <v>14531</v>
      </c>
      <c r="AG7" s="9">
        <f>'BR SA'!J9</f>
        <v>5382</v>
      </c>
      <c r="AH7" s="9">
        <f>'BR SA'!K9</f>
        <v>3949</v>
      </c>
      <c r="AI7" s="9">
        <f>'BR SA'!L9</f>
        <v>15183</v>
      </c>
      <c r="AJ7" s="9">
        <f>'BR SA'!M9</f>
        <v>15218</v>
      </c>
      <c r="AK7" s="9">
        <f>'BR SA'!N9</f>
        <v>23030</v>
      </c>
      <c r="AL7" s="9">
        <f>'BR SA'!O9</f>
        <v>26596</v>
      </c>
      <c r="AM7" s="9">
        <f>'BR SA'!P9</f>
        <v>155611</v>
      </c>
      <c r="AN7" s="9">
        <f>'BR SA'!Q9</f>
        <v>182320</v>
      </c>
      <c r="AO7" s="9">
        <f>'BR SA'!R9</f>
        <v>122730</v>
      </c>
      <c r="AP7" s="9">
        <f>'BR SA'!S9</f>
        <v>32696</v>
      </c>
      <c r="AQ7" s="9">
        <f>'BR SA'!T9</f>
        <v>38226</v>
      </c>
      <c r="AR7" s="9">
        <f>'BR SA'!U9</f>
        <v>13284</v>
      </c>
      <c r="AS7" s="9">
        <f>'BR SA'!V9</f>
        <v>19850</v>
      </c>
      <c r="AU7" s="9">
        <v>11104</v>
      </c>
      <c r="AV7" s="9">
        <v>41096</v>
      </c>
      <c r="AW7" s="9">
        <v>1140</v>
      </c>
      <c r="AX7" s="9">
        <v>25212</v>
      </c>
      <c r="AY7" s="9">
        <v>3933</v>
      </c>
      <c r="AZ7" s="9">
        <v>10963</v>
      </c>
      <c r="BA7" s="9">
        <v>104217</v>
      </c>
      <c r="BB7" s="9">
        <v>14531</v>
      </c>
      <c r="BC7" s="9">
        <v>5383</v>
      </c>
      <c r="BD7" s="9">
        <v>3949</v>
      </c>
      <c r="BE7" s="9">
        <v>15183</v>
      </c>
      <c r="BF7" s="9">
        <v>15242</v>
      </c>
      <c r="BG7" s="9">
        <v>23023</v>
      </c>
      <c r="BH7" s="9">
        <v>26600</v>
      </c>
      <c r="BI7" s="9">
        <v>155610</v>
      </c>
      <c r="BJ7" s="9">
        <v>26392</v>
      </c>
      <c r="BK7" s="9">
        <v>182320</v>
      </c>
      <c r="BL7" s="9">
        <v>122729</v>
      </c>
      <c r="BM7" s="9">
        <v>32707</v>
      </c>
      <c r="BN7" s="9">
        <v>38226</v>
      </c>
      <c r="BO7" s="9">
        <v>13284</v>
      </c>
      <c r="BP7" s="9">
        <v>19849</v>
      </c>
      <c r="BQ7" s="4"/>
      <c r="BR7" s="5">
        <f t="shared" si="0"/>
        <v>0</v>
      </c>
      <c r="CB7">
        <v>182249</v>
      </c>
    </row>
    <row r="8" spans="1:81" x14ac:dyDescent="0.25">
      <c r="A8" s="8">
        <v>35431</v>
      </c>
      <c r="B8" s="9">
        <f>'BR OBS'!B10</f>
        <v>9966</v>
      </c>
      <c r="C8" s="9">
        <f>'BR OBS'!C10</f>
        <v>39719</v>
      </c>
      <c r="D8" s="9">
        <f>'BR OBS'!D10</f>
        <v>1097</v>
      </c>
      <c r="E8" s="9">
        <f>'BR OBS'!E10</f>
        <v>23619</v>
      </c>
      <c r="F8" s="9">
        <f>'BR OBS'!F10</f>
        <v>4054</v>
      </c>
      <c r="G8" s="9">
        <f>'BR OBS'!G10</f>
        <v>10859</v>
      </c>
      <c r="H8" s="9">
        <f>'BR OBS'!H10</f>
        <v>102784</v>
      </c>
      <c r="I8" s="9">
        <f>'BR OBS'!I10</f>
        <v>13312</v>
      </c>
      <c r="J8" s="9">
        <f>'BR OBS'!J10</f>
        <v>5083</v>
      </c>
      <c r="K8" s="9">
        <f>'BR OBS'!K10</f>
        <v>3915</v>
      </c>
      <c r="L8" s="9">
        <f>'BR OBS'!L10</f>
        <v>15588</v>
      </c>
      <c r="M8" s="9">
        <f>'BR OBS'!M10</f>
        <v>15582</v>
      </c>
      <c r="N8" s="9">
        <f>'BR OBS'!N10</f>
        <v>22595</v>
      </c>
      <c r="O8" s="9">
        <f>'BR OBS'!O10</f>
        <v>26433</v>
      </c>
      <c r="P8" s="9">
        <f>'BR OBS'!P10</f>
        <v>152448</v>
      </c>
      <c r="Q8" s="9">
        <f>'BR OBS'!Q10</f>
        <v>24295</v>
      </c>
      <c r="R8" s="9">
        <f>'BR OBS'!R10</f>
        <v>176732</v>
      </c>
      <c r="S8" s="9">
        <f>'BR OBS'!S10</f>
        <v>116540</v>
      </c>
      <c r="T8" s="9">
        <f>'BR OBS'!T10</f>
        <v>35941</v>
      </c>
      <c r="U8" s="9">
        <f>'BR OBS'!U10</f>
        <v>37013</v>
      </c>
      <c r="V8" s="9">
        <f>'BR OBS'!V10</f>
        <v>12584</v>
      </c>
      <c r="W8" s="9">
        <f>'BR OBS'!W10</f>
        <v>17469</v>
      </c>
      <c r="X8" s="9"/>
      <c r="Y8" s="9">
        <f>'BR SA'!B10</f>
        <v>9020</v>
      </c>
      <c r="Z8" s="9">
        <f>'BR SA'!C10</f>
        <v>43231</v>
      </c>
      <c r="AA8" s="9">
        <f>'BR SA'!D10</f>
        <v>1154</v>
      </c>
      <c r="AB8" s="9">
        <f>'BR SA'!E10</f>
        <v>26103</v>
      </c>
      <c r="AC8" s="9">
        <f>'BR SA'!F10</f>
        <v>4003</v>
      </c>
      <c r="AD8" s="9">
        <f>'BR SA'!G10</f>
        <v>11391</v>
      </c>
      <c r="AE8" s="9">
        <f>'BR SA'!H10</f>
        <v>106636</v>
      </c>
      <c r="AF8" s="9">
        <f>'BR SA'!I10</f>
        <v>14540</v>
      </c>
      <c r="AG8" s="9">
        <f>'BR SA'!J10</f>
        <v>5638</v>
      </c>
      <c r="AH8" s="9">
        <f>'BR SA'!K10</f>
        <v>4021</v>
      </c>
      <c r="AI8" s="9">
        <f>'BR SA'!L10</f>
        <v>16824</v>
      </c>
      <c r="AJ8" s="9">
        <f>'BR SA'!M10</f>
        <v>15567</v>
      </c>
      <c r="AK8" s="9">
        <f>'BR SA'!N10</f>
        <v>23474</v>
      </c>
      <c r="AL8" s="9">
        <f>'BR SA'!O10</f>
        <v>26589</v>
      </c>
      <c r="AM8" s="9">
        <f>'BR SA'!P10</f>
        <v>158330</v>
      </c>
      <c r="AN8" s="9">
        <f>'BR SA'!Q10</f>
        <v>184101</v>
      </c>
      <c r="AO8" s="9">
        <f>'BR SA'!R10</f>
        <v>120252</v>
      </c>
      <c r="AP8" s="9">
        <f>'BR SA'!S10</f>
        <v>37059</v>
      </c>
      <c r="AQ8" s="9">
        <f>'BR SA'!T10</f>
        <v>38660</v>
      </c>
      <c r="AR8" s="9">
        <f>'BR SA'!U10</f>
        <v>13935</v>
      </c>
      <c r="AS8" s="9">
        <f>'BR SA'!V10</f>
        <v>19812</v>
      </c>
      <c r="AU8" s="9">
        <v>9020</v>
      </c>
      <c r="AV8" s="9">
        <v>43232</v>
      </c>
      <c r="AW8" s="9">
        <v>1155</v>
      </c>
      <c r="AX8" s="9">
        <v>26103</v>
      </c>
      <c r="AY8" s="9">
        <v>4004</v>
      </c>
      <c r="AZ8" s="9">
        <v>11471</v>
      </c>
      <c r="BA8" s="9">
        <v>106636</v>
      </c>
      <c r="BB8" s="9">
        <v>14539</v>
      </c>
      <c r="BC8" s="9">
        <v>5638</v>
      </c>
      <c r="BD8" s="9">
        <v>4021</v>
      </c>
      <c r="BE8" s="9">
        <v>16824</v>
      </c>
      <c r="BF8" s="9">
        <v>15560</v>
      </c>
      <c r="BG8" s="9">
        <v>23475</v>
      </c>
      <c r="BH8" s="9">
        <v>26580</v>
      </c>
      <c r="BI8" s="9">
        <v>158330</v>
      </c>
      <c r="BJ8" s="9">
        <v>25907</v>
      </c>
      <c r="BK8" s="9">
        <v>184101</v>
      </c>
      <c r="BL8" s="9">
        <v>120252</v>
      </c>
      <c r="BM8" s="9">
        <v>37058</v>
      </c>
      <c r="BN8" s="9">
        <v>38660</v>
      </c>
      <c r="BO8" s="9">
        <v>13935</v>
      </c>
      <c r="BP8" s="9">
        <v>19812</v>
      </c>
      <c r="BQ8" s="4"/>
      <c r="BR8" s="5">
        <f t="shared" si="0"/>
        <v>0</v>
      </c>
      <c r="CB8">
        <v>184229</v>
      </c>
    </row>
    <row r="9" spans="1:81" x14ac:dyDescent="0.25">
      <c r="A9" s="8">
        <v>35521</v>
      </c>
      <c r="B9" s="9">
        <f>'BR OBS'!B11</f>
        <v>9744</v>
      </c>
      <c r="C9" s="9">
        <f>'BR OBS'!C11</f>
        <v>43648</v>
      </c>
      <c r="D9" s="9">
        <f>'BR OBS'!D11</f>
        <v>1142</v>
      </c>
      <c r="E9" s="9">
        <f>'BR OBS'!E11</f>
        <v>26918</v>
      </c>
      <c r="F9" s="9">
        <f>'BR OBS'!F11</f>
        <v>3972</v>
      </c>
      <c r="G9" s="9">
        <f>'BR OBS'!G11</f>
        <v>11614</v>
      </c>
      <c r="H9" s="9">
        <f>'BR OBS'!H11</f>
        <v>105502</v>
      </c>
      <c r="I9" s="9">
        <f>'BR OBS'!I11</f>
        <v>14758</v>
      </c>
      <c r="J9" s="9">
        <f>'BR OBS'!J11</f>
        <v>5790</v>
      </c>
      <c r="K9" s="9">
        <f>'BR OBS'!K11</f>
        <v>4069</v>
      </c>
      <c r="L9" s="9">
        <f>'BR OBS'!L11</f>
        <v>15052</v>
      </c>
      <c r="M9" s="9">
        <f>'BR OBS'!M11</f>
        <v>15696</v>
      </c>
      <c r="N9" s="9">
        <f>'BR OBS'!N11</f>
        <v>23288</v>
      </c>
      <c r="O9" s="9">
        <f>'BR OBS'!O11</f>
        <v>26703</v>
      </c>
      <c r="P9" s="9">
        <f>'BR OBS'!P11</f>
        <v>158775</v>
      </c>
      <c r="Q9" s="9">
        <f>'BR OBS'!Q11</f>
        <v>26438</v>
      </c>
      <c r="R9" s="9">
        <f>'BR OBS'!R11</f>
        <v>185109</v>
      </c>
      <c r="S9" s="9">
        <f>'BR OBS'!S11</f>
        <v>118882</v>
      </c>
      <c r="T9" s="9">
        <f>'BR OBS'!T11</f>
        <v>36670</v>
      </c>
      <c r="U9" s="9">
        <f>'BR OBS'!U11</f>
        <v>40104</v>
      </c>
      <c r="V9" s="9">
        <f>'BR OBS'!V11</f>
        <v>15898</v>
      </c>
      <c r="W9" s="9">
        <f>'BR OBS'!W11</f>
        <v>20293</v>
      </c>
      <c r="X9" s="9"/>
      <c r="Y9" s="9">
        <f>'BR SA'!B11</f>
        <v>8878</v>
      </c>
      <c r="Z9" s="9">
        <f>'BR SA'!C11</f>
        <v>43076</v>
      </c>
      <c r="AA9" s="9">
        <f>'BR SA'!D11</f>
        <v>1171</v>
      </c>
      <c r="AB9" s="9">
        <f>'BR SA'!E11</f>
        <v>26434</v>
      </c>
      <c r="AC9" s="9">
        <f>'BR SA'!F11</f>
        <v>4030</v>
      </c>
      <c r="AD9" s="9">
        <f>'BR SA'!G11</f>
        <v>11678</v>
      </c>
      <c r="AE9" s="9">
        <f>'BR SA'!H11</f>
        <v>106892</v>
      </c>
      <c r="AF9" s="9">
        <f>'BR SA'!I11</f>
        <v>14668</v>
      </c>
      <c r="AG9" s="9">
        <f>'BR SA'!J11</f>
        <v>5816</v>
      </c>
      <c r="AH9" s="9">
        <f>'BR SA'!K11</f>
        <v>4116</v>
      </c>
      <c r="AI9" s="9">
        <f>'BR SA'!L11</f>
        <v>16775</v>
      </c>
      <c r="AJ9" s="9">
        <f>'BR SA'!M11</f>
        <v>15682</v>
      </c>
      <c r="AK9" s="9">
        <f>'BR SA'!N11</f>
        <v>23606</v>
      </c>
      <c r="AL9" s="9">
        <f>'BR SA'!O11</f>
        <v>26454</v>
      </c>
      <c r="AM9" s="9">
        <f>'BR SA'!P11</f>
        <v>159404</v>
      </c>
      <c r="AN9" s="9">
        <f>'BR SA'!Q11</f>
        <v>185375</v>
      </c>
      <c r="AO9" s="9">
        <f>'BR SA'!R11</f>
        <v>120273</v>
      </c>
      <c r="AP9" s="9">
        <f>'BR SA'!S11</f>
        <v>36911</v>
      </c>
      <c r="AQ9" s="9">
        <f>'BR SA'!T11</f>
        <v>39002</v>
      </c>
      <c r="AR9" s="9">
        <f>'BR SA'!U11</f>
        <v>14801</v>
      </c>
      <c r="AS9" s="9">
        <f>'BR SA'!V11</f>
        <v>20626</v>
      </c>
      <c r="AU9" s="9">
        <v>8878</v>
      </c>
      <c r="AV9" s="9">
        <v>43076</v>
      </c>
      <c r="AW9" s="9">
        <v>1171</v>
      </c>
      <c r="AX9" s="9">
        <v>26434</v>
      </c>
      <c r="AY9" s="9">
        <v>4031</v>
      </c>
      <c r="AZ9" s="9">
        <v>11667</v>
      </c>
      <c r="BA9" s="9">
        <v>106891</v>
      </c>
      <c r="BB9" s="9">
        <v>14668</v>
      </c>
      <c r="BC9" s="9">
        <v>5816</v>
      </c>
      <c r="BD9" s="9">
        <v>4115</v>
      </c>
      <c r="BE9" s="9">
        <v>16775</v>
      </c>
      <c r="BF9" s="9">
        <v>15685</v>
      </c>
      <c r="BG9" s="9">
        <v>23606</v>
      </c>
      <c r="BH9" s="9">
        <v>26464</v>
      </c>
      <c r="BI9" s="9">
        <v>159404</v>
      </c>
      <c r="BJ9" s="9">
        <v>26392</v>
      </c>
      <c r="BK9" s="9">
        <v>185374</v>
      </c>
      <c r="BL9" s="9">
        <v>120274</v>
      </c>
      <c r="BM9" s="9">
        <v>36908</v>
      </c>
      <c r="BN9" s="9">
        <v>39002</v>
      </c>
      <c r="BO9" s="9">
        <v>14801</v>
      </c>
      <c r="BP9" s="9">
        <v>20626</v>
      </c>
      <c r="BQ9" s="4"/>
      <c r="BR9" s="5">
        <f t="shared" si="0"/>
        <v>0</v>
      </c>
      <c r="CB9">
        <v>185443</v>
      </c>
    </row>
    <row r="10" spans="1:81" x14ac:dyDescent="0.25">
      <c r="A10" s="8">
        <v>35612</v>
      </c>
      <c r="B10" s="9">
        <f>'BR OBS'!B12</f>
        <v>9703</v>
      </c>
      <c r="C10" s="9">
        <f>'BR OBS'!C12</f>
        <v>46160</v>
      </c>
      <c r="D10" s="9">
        <f>'BR OBS'!D12</f>
        <v>1244</v>
      </c>
      <c r="E10" s="9">
        <f>'BR OBS'!E12</f>
        <v>28202</v>
      </c>
      <c r="F10" s="9">
        <f>'BR OBS'!F12</f>
        <v>4075</v>
      </c>
      <c r="G10" s="9">
        <f>'BR OBS'!G12</f>
        <v>12589</v>
      </c>
      <c r="H10" s="9">
        <f>'BR OBS'!H12</f>
        <v>109863</v>
      </c>
      <c r="I10" s="9">
        <f>'BR OBS'!I12</f>
        <v>15651</v>
      </c>
      <c r="J10" s="9">
        <f>'BR OBS'!J12</f>
        <v>6170</v>
      </c>
      <c r="K10" s="9">
        <f>'BR OBS'!K12</f>
        <v>4093</v>
      </c>
      <c r="L10" s="9">
        <f>'BR OBS'!L12</f>
        <v>17839</v>
      </c>
      <c r="M10" s="9">
        <f>'BR OBS'!M12</f>
        <v>15750</v>
      </c>
      <c r="N10" s="9">
        <f>'BR OBS'!N12</f>
        <v>24075</v>
      </c>
      <c r="O10" s="9">
        <f>'BR OBS'!O12</f>
        <v>26588</v>
      </c>
      <c r="P10" s="9">
        <f>'BR OBS'!P12</f>
        <v>165600</v>
      </c>
      <c r="Q10" s="9">
        <f>'BR OBS'!Q12</f>
        <v>27768</v>
      </c>
      <c r="R10" s="9">
        <f>'BR OBS'!R12</f>
        <v>193245</v>
      </c>
      <c r="S10" s="9">
        <f>'BR OBS'!S12</f>
        <v>120195</v>
      </c>
      <c r="T10" s="9">
        <f>'BR OBS'!T12</f>
        <v>36567</v>
      </c>
      <c r="U10" s="9">
        <f>'BR OBS'!U12</f>
        <v>40896</v>
      </c>
      <c r="V10" s="9">
        <f>'BR OBS'!V12</f>
        <v>16655</v>
      </c>
      <c r="W10" s="9">
        <f>'BR OBS'!W12</f>
        <v>22133</v>
      </c>
      <c r="X10" s="9"/>
      <c r="Y10" s="9">
        <f>'BR SA'!B12</f>
        <v>9170</v>
      </c>
      <c r="Z10" s="9">
        <f>'BR SA'!C12</f>
        <v>43922</v>
      </c>
      <c r="AA10" s="9">
        <f>'BR SA'!D12</f>
        <v>1208</v>
      </c>
      <c r="AB10" s="9">
        <f>'BR SA'!E12</f>
        <v>26554</v>
      </c>
      <c r="AC10" s="9">
        <f>'BR SA'!F12</f>
        <v>4115</v>
      </c>
      <c r="AD10" s="9">
        <f>'BR SA'!G12</f>
        <v>12020</v>
      </c>
      <c r="AE10" s="9">
        <f>'BR SA'!H12</f>
        <v>107960</v>
      </c>
      <c r="AF10" s="9">
        <f>'BR SA'!I12</f>
        <v>14825</v>
      </c>
      <c r="AG10" s="9">
        <f>'BR SA'!J12</f>
        <v>5854</v>
      </c>
      <c r="AH10" s="9">
        <f>'BR SA'!K12</f>
        <v>4151</v>
      </c>
      <c r="AI10" s="9">
        <f>'BR SA'!L12</f>
        <v>16786</v>
      </c>
      <c r="AJ10" s="9">
        <f>'BR SA'!M12</f>
        <v>15846</v>
      </c>
      <c r="AK10" s="9">
        <f>'BR SA'!N12</f>
        <v>23777</v>
      </c>
      <c r="AL10" s="9">
        <f>'BR SA'!O12</f>
        <v>26509</v>
      </c>
      <c r="AM10" s="9">
        <f>'BR SA'!P12</f>
        <v>160982</v>
      </c>
      <c r="AN10" s="9">
        <f>'BR SA'!Q12</f>
        <v>187662</v>
      </c>
      <c r="AO10" s="9">
        <f>'BR SA'!R12</f>
        <v>119036</v>
      </c>
      <c r="AP10" s="9">
        <f>'BR SA'!S12</f>
        <v>36334</v>
      </c>
      <c r="AQ10" s="9">
        <f>'BR SA'!T12</f>
        <v>39861</v>
      </c>
      <c r="AR10" s="9">
        <f>'BR SA'!U12</f>
        <v>15181</v>
      </c>
      <c r="AS10" s="9">
        <f>'BR SA'!V12</f>
        <v>20753</v>
      </c>
      <c r="AU10" s="9">
        <v>9170</v>
      </c>
      <c r="AV10" s="9">
        <v>43922</v>
      </c>
      <c r="AW10" s="9">
        <v>1208</v>
      </c>
      <c r="AX10" s="9">
        <v>26554</v>
      </c>
      <c r="AY10" s="9">
        <v>4115</v>
      </c>
      <c r="AZ10" s="9">
        <v>12007</v>
      </c>
      <c r="BA10" s="9">
        <v>107960</v>
      </c>
      <c r="BB10" s="9">
        <v>14825</v>
      </c>
      <c r="BC10" s="9">
        <v>5855</v>
      </c>
      <c r="BD10" s="9">
        <v>4151</v>
      </c>
      <c r="BE10" s="9">
        <v>16786</v>
      </c>
      <c r="BF10" s="9">
        <v>15862</v>
      </c>
      <c r="BG10" s="9">
        <v>23774</v>
      </c>
      <c r="BH10" s="9">
        <v>26514</v>
      </c>
      <c r="BI10" s="9">
        <v>160982</v>
      </c>
      <c r="BJ10" s="9">
        <v>26641</v>
      </c>
      <c r="BK10" s="9">
        <v>187662</v>
      </c>
      <c r="BL10" s="9">
        <v>119035</v>
      </c>
      <c r="BM10" s="9">
        <v>36328</v>
      </c>
      <c r="BN10" s="9">
        <v>39861</v>
      </c>
      <c r="BO10" s="9">
        <v>15181</v>
      </c>
      <c r="BP10" s="9">
        <v>20752</v>
      </c>
      <c r="BQ10" s="4"/>
      <c r="BR10" s="5">
        <f t="shared" si="0"/>
        <v>0</v>
      </c>
      <c r="CB10">
        <v>187566</v>
      </c>
    </row>
    <row r="11" spans="1:81" x14ac:dyDescent="0.25">
      <c r="A11" s="8">
        <v>35704</v>
      </c>
      <c r="B11" s="9">
        <f>'BR OBS'!B13</f>
        <v>7310</v>
      </c>
      <c r="C11" s="9">
        <f>'BR OBS'!C13</f>
        <v>44446</v>
      </c>
      <c r="D11" s="9">
        <f>'BR OBS'!D13</f>
        <v>1261</v>
      </c>
      <c r="E11" s="9">
        <f>'BR OBS'!E13</f>
        <v>26572</v>
      </c>
      <c r="F11" s="9">
        <f>'BR OBS'!F13</f>
        <v>4214</v>
      </c>
      <c r="G11" s="9">
        <f>'BR OBS'!G13</f>
        <v>12291</v>
      </c>
      <c r="H11" s="9">
        <f>'BR OBS'!H13</f>
        <v>112255</v>
      </c>
      <c r="I11" s="9">
        <f>'BR OBS'!I13</f>
        <v>15190</v>
      </c>
      <c r="J11" s="9">
        <f>'BR OBS'!J13</f>
        <v>6233</v>
      </c>
      <c r="K11" s="9">
        <f>'BR OBS'!K13</f>
        <v>4462</v>
      </c>
      <c r="L11" s="9">
        <f>'BR OBS'!L13</f>
        <v>18642</v>
      </c>
      <c r="M11" s="9">
        <f>'BR OBS'!M13</f>
        <v>16155</v>
      </c>
      <c r="N11" s="9">
        <f>'BR OBS'!N13</f>
        <v>25139</v>
      </c>
      <c r="O11" s="9">
        <f>'BR OBS'!O13</f>
        <v>26536</v>
      </c>
      <c r="P11" s="9">
        <f>'BR OBS'!P13</f>
        <v>164180</v>
      </c>
      <c r="Q11" s="9">
        <f>'BR OBS'!Q13</f>
        <v>26886</v>
      </c>
      <c r="R11" s="9">
        <f>'BR OBS'!R13</f>
        <v>190996</v>
      </c>
      <c r="S11" s="9">
        <f>'BR OBS'!S13</f>
        <v>122785</v>
      </c>
      <c r="T11" s="9">
        <f>'BR OBS'!T13</f>
        <v>37682</v>
      </c>
      <c r="U11" s="9">
        <f>'BR OBS'!U13</f>
        <v>39120</v>
      </c>
      <c r="V11" s="9">
        <f>'BR OBS'!V13</f>
        <v>13626</v>
      </c>
      <c r="W11" s="9">
        <f>'BR OBS'!W13</f>
        <v>20883</v>
      </c>
      <c r="X11" s="9"/>
      <c r="Y11" s="9">
        <f>'BR SA'!B13</f>
        <v>9943</v>
      </c>
      <c r="Z11" s="9">
        <f>'BR SA'!C13</f>
        <v>43768</v>
      </c>
      <c r="AA11" s="9">
        <f>'BR SA'!D13</f>
        <v>1207</v>
      </c>
      <c r="AB11" s="9">
        <f>'BR SA'!E13</f>
        <v>26206</v>
      </c>
      <c r="AC11" s="9">
        <f>'BR SA'!F13</f>
        <v>4169</v>
      </c>
      <c r="AD11" s="9">
        <f>'BR SA'!G13</f>
        <v>12239</v>
      </c>
      <c r="AE11" s="9">
        <f>'BR SA'!H13</f>
        <v>109064</v>
      </c>
      <c r="AF11" s="9">
        <f>'BR SA'!I13</f>
        <v>14880</v>
      </c>
      <c r="AG11" s="9">
        <f>'BR SA'!J13</f>
        <v>5965</v>
      </c>
      <c r="AH11" s="9">
        <f>'BR SA'!K13</f>
        <v>4257</v>
      </c>
      <c r="AI11" s="9">
        <f>'BR SA'!L13</f>
        <v>16747</v>
      </c>
      <c r="AJ11" s="9">
        <f>'BR SA'!M13</f>
        <v>16087</v>
      </c>
      <c r="AK11" s="9">
        <f>'BR SA'!N13</f>
        <v>24249</v>
      </c>
      <c r="AL11" s="9">
        <f>'BR SA'!O13</f>
        <v>26761</v>
      </c>
      <c r="AM11" s="9">
        <f>'BR SA'!P13</f>
        <v>162474</v>
      </c>
      <c r="AN11" s="9">
        <f>'BR SA'!Q13</f>
        <v>189116</v>
      </c>
      <c r="AO11" s="9">
        <f>'BR SA'!R13</f>
        <v>119211</v>
      </c>
      <c r="AP11" s="9">
        <f>'BR SA'!S13</f>
        <v>36570</v>
      </c>
      <c r="AQ11" s="9">
        <f>'BR SA'!T13</f>
        <v>39595</v>
      </c>
      <c r="AR11" s="9">
        <f>'BR SA'!U13</f>
        <v>14533</v>
      </c>
      <c r="AS11" s="9">
        <f>'BR SA'!V13</f>
        <v>19506</v>
      </c>
      <c r="AU11" s="9">
        <v>9942</v>
      </c>
      <c r="AV11" s="9">
        <v>43768</v>
      </c>
      <c r="AW11" s="9">
        <v>1207</v>
      </c>
      <c r="AX11" s="9">
        <v>26206</v>
      </c>
      <c r="AY11" s="9">
        <v>4169</v>
      </c>
      <c r="AZ11" s="9">
        <v>12190</v>
      </c>
      <c r="BA11" s="9">
        <v>109064</v>
      </c>
      <c r="BB11" s="9">
        <v>14881</v>
      </c>
      <c r="BC11" s="9">
        <v>5965</v>
      </c>
      <c r="BD11" s="9">
        <v>4257</v>
      </c>
      <c r="BE11" s="9">
        <v>16747</v>
      </c>
      <c r="BF11" s="9">
        <v>16108</v>
      </c>
      <c r="BG11" s="9">
        <v>24239</v>
      </c>
      <c r="BH11" s="9">
        <v>26765</v>
      </c>
      <c r="BI11" s="9">
        <v>162474</v>
      </c>
      <c r="BJ11" s="9">
        <v>26427</v>
      </c>
      <c r="BK11" s="9">
        <v>189115</v>
      </c>
      <c r="BL11" s="9">
        <v>119211</v>
      </c>
      <c r="BM11" s="9">
        <v>36582</v>
      </c>
      <c r="BN11" s="9">
        <v>39595</v>
      </c>
      <c r="BO11" s="9">
        <v>14533</v>
      </c>
      <c r="BP11" s="9">
        <v>19506</v>
      </c>
      <c r="BQ11" s="4"/>
      <c r="BR11" s="5">
        <f t="shared" si="0"/>
        <v>-1.0057326762546515E-4</v>
      </c>
      <c r="CB11">
        <v>189026</v>
      </c>
    </row>
    <row r="12" spans="1:81" x14ac:dyDescent="0.25">
      <c r="A12" s="8">
        <v>35796</v>
      </c>
      <c r="B12" s="9">
        <f>'BR OBS'!B14</f>
        <v>9825</v>
      </c>
      <c r="C12" s="9">
        <f>'BR OBS'!C14</f>
        <v>39745</v>
      </c>
      <c r="D12" s="9">
        <f>'BR OBS'!D14</f>
        <v>1181</v>
      </c>
      <c r="E12" s="9">
        <f>'BR OBS'!E14</f>
        <v>22616</v>
      </c>
      <c r="F12" s="9">
        <f>'BR OBS'!F14</f>
        <v>4208</v>
      </c>
      <c r="G12" s="9">
        <f>'BR OBS'!G14</f>
        <v>11530</v>
      </c>
      <c r="H12" s="9">
        <f>'BR OBS'!H14</f>
        <v>104221</v>
      </c>
      <c r="I12" s="9">
        <f>'BR OBS'!I14</f>
        <v>13379</v>
      </c>
      <c r="J12" s="9">
        <f>'BR OBS'!J14</f>
        <v>5226</v>
      </c>
      <c r="K12" s="9">
        <f>'BR OBS'!K14</f>
        <v>4091</v>
      </c>
      <c r="L12" s="9">
        <f>'BR OBS'!L14</f>
        <v>15264</v>
      </c>
      <c r="M12" s="9">
        <f>'BR OBS'!M14</f>
        <v>16041</v>
      </c>
      <c r="N12" s="9">
        <f>'BR OBS'!N14</f>
        <v>22824</v>
      </c>
      <c r="O12" s="9">
        <f>'BR OBS'!O14</f>
        <v>26837</v>
      </c>
      <c r="P12" s="9">
        <f>'BR OBS'!P14</f>
        <v>153829</v>
      </c>
      <c r="Q12" s="9">
        <f>'BR OBS'!Q14</f>
        <v>24670</v>
      </c>
      <c r="R12" s="9">
        <f>'BR OBS'!R14</f>
        <v>178513</v>
      </c>
      <c r="S12" s="9">
        <f>'BR OBS'!S14</f>
        <v>115956</v>
      </c>
      <c r="T12" s="9">
        <f>'BR OBS'!T14</f>
        <v>36380</v>
      </c>
      <c r="U12" s="9">
        <f>'BR OBS'!U14</f>
        <v>38304</v>
      </c>
      <c r="V12" s="9">
        <f>'BR OBS'!V14</f>
        <v>13895</v>
      </c>
      <c r="W12" s="9">
        <f>'BR OBS'!W14</f>
        <v>18842</v>
      </c>
      <c r="X12" s="9"/>
      <c r="Y12" s="9">
        <f>'BR SA'!B14</f>
        <v>8866</v>
      </c>
      <c r="Z12" s="9">
        <f>'BR SA'!C14</f>
        <v>42753</v>
      </c>
      <c r="AA12" s="9">
        <f>'BR SA'!D14</f>
        <v>1224</v>
      </c>
      <c r="AB12" s="9">
        <f>'BR SA'!E14</f>
        <v>25100</v>
      </c>
      <c r="AC12" s="9">
        <f>'BR SA'!F14</f>
        <v>4154</v>
      </c>
      <c r="AD12" s="9">
        <f>'BR SA'!G14</f>
        <v>12082</v>
      </c>
      <c r="AE12" s="9">
        <f>'BR SA'!H14</f>
        <v>107866</v>
      </c>
      <c r="AF12" s="9">
        <f>'BR SA'!I14</f>
        <v>14560</v>
      </c>
      <c r="AG12" s="9">
        <f>'BR SA'!J14</f>
        <v>5729</v>
      </c>
      <c r="AH12" s="9">
        <f>'BR SA'!K14</f>
        <v>4201</v>
      </c>
      <c r="AI12" s="9">
        <f>'BR SA'!L14</f>
        <v>16490</v>
      </c>
      <c r="AJ12" s="9">
        <f>'BR SA'!M14</f>
        <v>16021</v>
      </c>
      <c r="AK12" s="9">
        <f>'BR SA'!N14</f>
        <v>23721</v>
      </c>
      <c r="AL12" s="9">
        <f>'BR SA'!O14</f>
        <v>26998</v>
      </c>
      <c r="AM12" s="9">
        <f>'BR SA'!P14</f>
        <v>159730</v>
      </c>
      <c r="AN12" s="9">
        <f>'BR SA'!Q14</f>
        <v>185481</v>
      </c>
      <c r="AO12" s="9">
        <f>'BR SA'!R14</f>
        <v>119627</v>
      </c>
      <c r="AP12" s="9">
        <f>'BR SA'!S14</f>
        <v>37469</v>
      </c>
      <c r="AQ12" s="9">
        <f>'BR SA'!T14</f>
        <v>39731</v>
      </c>
      <c r="AR12" s="9">
        <f>'BR SA'!U14</f>
        <v>15314</v>
      </c>
      <c r="AS12" s="9">
        <f>'BR SA'!V14</f>
        <v>21292</v>
      </c>
      <c r="AU12" s="9">
        <v>8866</v>
      </c>
      <c r="AV12" s="9">
        <v>42753</v>
      </c>
      <c r="AW12" s="9">
        <v>1224</v>
      </c>
      <c r="AX12" s="9">
        <v>25100</v>
      </c>
      <c r="AY12" s="9">
        <v>4154</v>
      </c>
      <c r="AZ12" s="9">
        <v>12168</v>
      </c>
      <c r="BA12" s="9">
        <v>107866</v>
      </c>
      <c r="BB12" s="9">
        <v>14560</v>
      </c>
      <c r="BC12" s="9">
        <v>5729</v>
      </c>
      <c r="BD12" s="9">
        <v>4200</v>
      </c>
      <c r="BE12" s="9">
        <v>16490</v>
      </c>
      <c r="BF12" s="9">
        <v>16014</v>
      </c>
      <c r="BG12" s="9">
        <v>23722</v>
      </c>
      <c r="BH12" s="9">
        <v>27000</v>
      </c>
      <c r="BI12" s="9">
        <v>159731</v>
      </c>
      <c r="BJ12" s="9">
        <v>26079</v>
      </c>
      <c r="BK12" s="9">
        <v>185482</v>
      </c>
      <c r="BL12" s="9">
        <v>119627</v>
      </c>
      <c r="BM12" s="9">
        <v>37465</v>
      </c>
      <c r="BN12" s="9">
        <v>39730</v>
      </c>
      <c r="BO12" s="9">
        <v>15313</v>
      </c>
      <c r="BP12" s="9">
        <v>21292</v>
      </c>
      <c r="BQ12" s="4"/>
      <c r="BR12" s="5">
        <f t="shared" si="0"/>
        <v>0</v>
      </c>
      <c r="CB12">
        <v>185570</v>
      </c>
    </row>
    <row r="13" spans="1:81" x14ac:dyDescent="0.25">
      <c r="A13" s="8">
        <v>35886</v>
      </c>
      <c r="B13" s="9">
        <f>'BR OBS'!B15</f>
        <v>11018</v>
      </c>
      <c r="C13" s="9">
        <f>'BR OBS'!C15</f>
        <v>43525</v>
      </c>
      <c r="D13" s="9">
        <f>'BR OBS'!D15</f>
        <v>1199</v>
      </c>
      <c r="E13" s="9">
        <f>'BR OBS'!E15</f>
        <v>25972</v>
      </c>
      <c r="F13" s="9">
        <f>'BR OBS'!F15</f>
        <v>4066</v>
      </c>
      <c r="G13" s="9">
        <f>'BR OBS'!G15</f>
        <v>12173</v>
      </c>
      <c r="H13" s="9">
        <f>'BR OBS'!H15</f>
        <v>107469</v>
      </c>
      <c r="I13" s="9">
        <f>'BR OBS'!I15</f>
        <v>14834</v>
      </c>
      <c r="J13" s="9">
        <f>'BR OBS'!J15</f>
        <v>5881</v>
      </c>
      <c r="K13" s="9">
        <f>'BR OBS'!K15</f>
        <v>4113</v>
      </c>
      <c r="L13" s="9">
        <f>'BR OBS'!L15</f>
        <v>14821</v>
      </c>
      <c r="M13" s="9">
        <f>'BR OBS'!M15</f>
        <v>16175</v>
      </c>
      <c r="N13" s="9">
        <f>'BR OBS'!N15</f>
        <v>23778</v>
      </c>
      <c r="O13" s="9">
        <f>'BR OBS'!O15</f>
        <v>27467</v>
      </c>
      <c r="P13" s="9">
        <f>'BR OBS'!P15</f>
        <v>161855</v>
      </c>
      <c r="Q13" s="9">
        <f>'BR OBS'!Q15</f>
        <v>26046</v>
      </c>
      <c r="R13" s="9">
        <f>'BR OBS'!R15</f>
        <v>187904</v>
      </c>
      <c r="S13" s="9">
        <f>'BR OBS'!S15</f>
        <v>117598</v>
      </c>
      <c r="T13" s="9">
        <f>'BR OBS'!T15</f>
        <v>37499</v>
      </c>
      <c r="U13" s="9">
        <f>'BR OBS'!U15</f>
        <v>40966</v>
      </c>
      <c r="V13" s="9">
        <f>'BR OBS'!V15</f>
        <v>16662</v>
      </c>
      <c r="W13" s="9">
        <f>'BR OBS'!W15</f>
        <v>19836</v>
      </c>
      <c r="X13" s="9"/>
      <c r="Y13" s="9">
        <f>'BR SA'!B15</f>
        <v>9968</v>
      </c>
      <c r="Z13" s="9">
        <f>'BR SA'!C15</f>
        <v>43383</v>
      </c>
      <c r="AA13" s="9">
        <f>'BR SA'!D15</f>
        <v>1249</v>
      </c>
      <c r="AB13" s="9">
        <f>'BR SA'!E15</f>
        <v>25496</v>
      </c>
      <c r="AC13" s="9">
        <f>'BR SA'!F15</f>
        <v>4124</v>
      </c>
      <c r="AD13" s="9">
        <f>'BR SA'!G15</f>
        <v>12233</v>
      </c>
      <c r="AE13" s="9">
        <f>'BR SA'!H15</f>
        <v>109113</v>
      </c>
      <c r="AF13" s="9">
        <f>'BR SA'!I15</f>
        <v>14729</v>
      </c>
      <c r="AG13" s="9">
        <f>'BR SA'!J15</f>
        <v>5961</v>
      </c>
      <c r="AH13" s="9">
        <f>'BR SA'!K15</f>
        <v>4157</v>
      </c>
      <c r="AI13" s="9">
        <f>'BR SA'!L15</f>
        <v>16539</v>
      </c>
      <c r="AJ13" s="9">
        <f>'BR SA'!M15</f>
        <v>16172</v>
      </c>
      <c r="AK13" s="9">
        <f>'BR SA'!N15</f>
        <v>24090</v>
      </c>
      <c r="AL13" s="9">
        <f>'BR SA'!O15</f>
        <v>27218</v>
      </c>
      <c r="AM13" s="9">
        <f>'BR SA'!P15</f>
        <v>162387</v>
      </c>
      <c r="AN13" s="9">
        <f>'BR SA'!Q15</f>
        <v>188456</v>
      </c>
      <c r="AO13" s="9">
        <f>'BR SA'!R15</f>
        <v>118939</v>
      </c>
      <c r="AP13" s="9">
        <f>'BR SA'!S15</f>
        <v>37718</v>
      </c>
      <c r="AQ13" s="9">
        <f>'BR SA'!T15</f>
        <v>40069</v>
      </c>
      <c r="AR13" s="9">
        <f>'BR SA'!U15</f>
        <v>15747</v>
      </c>
      <c r="AS13" s="9">
        <f>'BR SA'!V15</f>
        <v>20134</v>
      </c>
      <c r="AU13" s="9">
        <v>9968</v>
      </c>
      <c r="AV13" s="9">
        <v>43384</v>
      </c>
      <c r="AW13" s="9">
        <v>1249</v>
      </c>
      <c r="AX13" s="9">
        <v>25496</v>
      </c>
      <c r="AY13" s="9">
        <v>4124</v>
      </c>
      <c r="AZ13" s="9">
        <v>12225</v>
      </c>
      <c r="BA13" s="9">
        <v>109113</v>
      </c>
      <c r="BB13" s="9">
        <v>14729</v>
      </c>
      <c r="BC13" s="9">
        <v>5960</v>
      </c>
      <c r="BD13" s="9">
        <v>4158</v>
      </c>
      <c r="BE13" s="9">
        <v>16539</v>
      </c>
      <c r="BF13" s="9">
        <v>16171</v>
      </c>
      <c r="BG13" s="9">
        <v>24093</v>
      </c>
      <c r="BH13" s="9">
        <v>27216</v>
      </c>
      <c r="BI13" s="9">
        <v>162387</v>
      </c>
      <c r="BJ13" s="9">
        <v>26111</v>
      </c>
      <c r="BK13" s="9">
        <v>188456</v>
      </c>
      <c r="BL13" s="9">
        <v>118939</v>
      </c>
      <c r="BM13" s="9">
        <v>37714</v>
      </c>
      <c r="BN13" s="9">
        <v>40069</v>
      </c>
      <c r="BO13" s="9">
        <v>15747</v>
      </c>
      <c r="BP13" s="9">
        <v>20133</v>
      </c>
      <c r="BQ13" s="4"/>
      <c r="BR13" s="5">
        <f t="shared" si="0"/>
        <v>0</v>
      </c>
      <c r="CB13">
        <v>188544</v>
      </c>
    </row>
    <row r="14" spans="1:81" x14ac:dyDescent="0.25">
      <c r="A14" s="8">
        <v>35977</v>
      </c>
      <c r="B14" s="9">
        <f>'BR OBS'!B16</f>
        <v>10208</v>
      </c>
      <c r="C14" s="9">
        <f>'BR OBS'!C16</f>
        <v>44910</v>
      </c>
      <c r="D14" s="9">
        <f>'BR OBS'!D16</f>
        <v>1267</v>
      </c>
      <c r="E14" s="9">
        <f>'BR OBS'!E16</f>
        <v>26836</v>
      </c>
      <c r="F14" s="9">
        <f>'BR OBS'!F16</f>
        <v>4097</v>
      </c>
      <c r="G14" s="9">
        <f>'BR OBS'!G16</f>
        <v>12592</v>
      </c>
      <c r="H14" s="9">
        <f>'BR OBS'!H16</f>
        <v>111838</v>
      </c>
      <c r="I14" s="9">
        <f>'BR OBS'!I16</f>
        <v>15300</v>
      </c>
      <c r="J14" s="9">
        <f>'BR OBS'!J16</f>
        <v>6302</v>
      </c>
      <c r="K14" s="9">
        <f>'BR OBS'!K16</f>
        <v>4587</v>
      </c>
      <c r="L14" s="9">
        <f>'BR OBS'!L16</f>
        <v>17611</v>
      </c>
      <c r="M14" s="9">
        <f>'BR OBS'!M16</f>
        <v>16147</v>
      </c>
      <c r="N14" s="9">
        <f>'BR OBS'!N16</f>
        <v>24463</v>
      </c>
      <c r="O14" s="9">
        <f>'BR OBS'!O16</f>
        <v>27536</v>
      </c>
      <c r="P14" s="9">
        <f>'BR OBS'!P16</f>
        <v>166900</v>
      </c>
      <c r="Q14" s="9">
        <f>'BR OBS'!Q16</f>
        <v>27058</v>
      </c>
      <c r="R14" s="9">
        <f>'BR OBS'!R16</f>
        <v>193932</v>
      </c>
      <c r="S14" s="9">
        <f>'BR OBS'!S16</f>
        <v>120234</v>
      </c>
      <c r="T14" s="9">
        <f>'BR OBS'!T16</f>
        <v>38533</v>
      </c>
      <c r="U14" s="9">
        <f>'BR OBS'!U16</f>
        <v>40401</v>
      </c>
      <c r="V14" s="9">
        <f>'BR OBS'!V16</f>
        <v>16633</v>
      </c>
      <c r="W14" s="9">
        <f>'BR OBS'!W16</f>
        <v>21671</v>
      </c>
      <c r="X14" s="9"/>
      <c r="Y14" s="9">
        <f>'BR SA'!B16</f>
        <v>9710</v>
      </c>
      <c r="Z14" s="9">
        <f>'BR SA'!C16</f>
        <v>42780</v>
      </c>
      <c r="AA14" s="9">
        <f>'BR SA'!D16</f>
        <v>1229</v>
      </c>
      <c r="AB14" s="9">
        <f>'BR SA'!E16</f>
        <v>25243</v>
      </c>
      <c r="AC14" s="9">
        <f>'BR SA'!F16</f>
        <v>4135</v>
      </c>
      <c r="AD14" s="9">
        <f>'BR SA'!G16</f>
        <v>12051</v>
      </c>
      <c r="AE14" s="9">
        <f>'BR SA'!H16</f>
        <v>109952</v>
      </c>
      <c r="AF14" s="9">
        <f>'BR SA'!I16</f>
        <v>14573</v>
      </c>
      <c r="AG14" s="9">
        <f>'BR SA'!J16</f>
        <v>5994</v>
      </c>
      <c r="AH14" s="9">
        <f>'BR SA'!K16</f>
        <v>4645</v>
      </c>
      <c r="AI14" s="9">
        <f>'BR SA'!L16</f>
        <v>16551</v>
      </c>
      <c r="AJ14" s="9">
        <f>'BR SA'!M16</f>
        <v>16239</v>
      </c>
      <c r="AK14" s="9">
        <f>'BR SA'!N16</f>
        <v>24172</v>
      </c>
      <c r="AL14" s="9">
        <f>'BR SA'!O16</f>
        <v>27448</v>
      </c>
      <c r="AM14" s="9">
        <f>'BR SA'!P16</f>
        <v>162416</v>
      </c>
      <c r="AN14" s="9">
        <f>'BR SA'!Q16</f>
        <v>188588</v>
      </c>
      <c r="AO14" s="9">
        <f>'BR SA'!R16</f>
        <v>119182</v>
      </c>
      <c r="AP14" s="9">
        <f>'BR SA'!S16</f>
        <v>38373</v>
      </c>
      <c r="AQ14" s="9">
        <f>'BR SA'!T16</f>
        <v>39446</v>
      </c>
      <c r="AR14" s="9">
        <f>'BR SA'!U16</f>
        <v>15097</v>
      </c>
      <c r="AS14" s="9">
        <f>'BR SA'!V16</f>
        <v>20329</v>
      </c>
      <c r="AU14" s="9">
        <v>9710</v>
      </c>
      <c r="AV14" s="9">
        <v>42780</v>
      </c>
      <c r="AW14" s="9">
        <v>1229</v>
      </c>
      <c r="AX14" s="9">
        <v>25243</v>
      </c>
      <c r="AY14" s="9">
        <v>4136</v>
      </c>
      <c r="AZ14" s="9">
        <v>12030</v>
      </c>
      <c r="BA14" s="9">
        <v>109952</v>
      </c>
      <c r="BB14" s="9">
        <v>14573</v>
      </c>
      <c r="BC14" s="9">
        <v>5994</v>
      </c>
      <c r="BD14" s="9">
        <v>4645</v>
      </c>
      <c r="BE14" s="9">
        <v>16551</v>
      </c>
      <c r="BF14" s="9">
        <v>16264</v>
      </c>
      <c r="BG14" s="9">
        <v>24167</v>
      </c>
      <c r="BH14" s="9">
        <v>27456</v>
      </c>
      <c r="BI14" s="9">
        <v>162416</v>
      </c>
      <c r="BJ14" s="9">
        <v>26054</v>
      </c>
      <c r="BK14" s="9">
        <v>188587</v>
      </c>
      <c r="BL14" s="9">
        <v>119182</v>
      </c>
      <c r="BM14" s="9">
        <v>38369</v>
      </c>
      <c r="BN14" s="9">
        <v>39446</v>
      </c>
      <c r="BO14" s="9">
        <v>15097</v>
      </c>
      <c r="BP14" s="9">
        <v>20329</v>
      </c>
      <c r="BQ14" s="4"/>
      <c r="BR14" s="5">
        <f t="shared" si="0"/>
        <v>0</v>
      </c>
      <c r="CB14">
        <v>188524</v>
      </c>
    </row>
    <row r="15" spans="1:81" x14ac:dyDescent="0.25">
      <c r="A15" s="8">
        <v>36069</v>
      </c>
      <c r="B15" s="9">
        <f>'BR OBS'!B17</f>
        <v>6923</v>
      </c>
      <c r="C15" s="9">
        <f>'BR OBS'!C17</f>
        <v>42157</v>
      </c>
      <c r="D15" s="9">
        <f>'BR OBS'!D17</f>
        <v>1269</v>
      </c>
      <c r="E15" s="9">
        <f>'BR OBS'!E17</f>
        <v>24790</v>
      </c>
      <c r="F15" s="9">
        <f>'BR OBS'!F17</f>
        <v>4146</v>
      </c>
      <c r="G15" s="9">
        <f>'BR OBS'!G17</f>
        <v>11815</v>
      </c>
      <c r="H15" s="9">
        <f>'BR OBS'!H17</f>
        <v>112995</v>
      </c>
      <c r="I15" s="9">
        <f>'BR OBS'!I17</f>
        <v>14295</v>
      </c>
      <c r="J15" s="9">
        <f>'BR OBS'!J17</f>
        <v>6025</v>
      </c>
      <c r="K15" s="9">
        <f>'BR OBS'!K17</f>
        <v>5063</v>
      </c>
      <c r="L15" s="9">
        <f>'BR OBS'!L17</f>
        <v>18430</v>
      </c>
      <c r="M15" s="9">
        <f>'BR OBS'!M17</f>
        <v>16444</v>
      </c>
      <c r="N15" s="9">
        <f>'BR OBS'!N17</f>
        <v>25076</v>
      </c>
      <c r="O15" s="9">
        <f>'BR OBS'!O17</f>
        <v>27496</v>
      </c>
      <c r="P15" s="9">
        <f>'BR OBS'!P17</f>
        <v>162424</v>
      </c>
      <c r="Q15" s="9">
        <f>'BR OBS'!Q17</f>
        <v>25779</v>
      </c>
      <c r="R15" s="9">
        <f>'BR OBS'!R17</f>
        <v>188256</v>
      </c>
      <c r="S15" s="9">
        <f>'BR OBS'!S17</f>
        <v>121169</v>
      </c>
      <c r="T15" s="9">
        <f>'BR OBS'!T17</f>
        <v>39180</v>
      </c>
      <c r="U15" s="9">
        <f>'BR OBS'!U17</f>
        <v>37203</v>
      </c>
      <c r="V15" s="9">
        <f>'BR OBS'!V17</f>
        <v>14456</v>
      </c>
      <c r="W15" s="9">
        <f>'BR OBS'!W17</f>
        <v>20384</v>
      </c>
      <c r="X15" s="9"/>
      <c r="Y15" s="9">
        <f>'BR SA'!B17</f>
        <v>9500</v>
      </c>
      <c r="Z15" s="9">
        <f>'BR SA'!C17</f>
        <v>41447</v>
      </c>
      <c r="AA15" s="9">
        <f>'BR SA'!D17</f>
        <v>1216</v>
      </c>
      <c r="AB15" s="9">
        <f>'BR SA'!E17</f>
        <v>24343</v>
      </c>
      <c r="AC15" s="9">
        <f>'BR SA'!F17</f>
        <v>4107</v>
      </c>
      <c r="AD15" s="9">
        <f>'BR SA'!G17</f>
        <v>11756</v>
      </c>
      <c r="AE15" s="9">
        <f>'BR SA'!H17</f>
        <v>109781</v>
      </c>
      <c r="AF15" s="9">
        <f>'BR SA'!I17</f>
        <v>13991</v>
      </c>
      <c r="AG15" s="9">
        <f>'BR SA'!J17</f>
        <v>5756</v>
      </c>
      <c r="AH15" s="9">
        <f>'BR SA'!K17</f>
        <v>4842</v>
      </c>
      <c r="AI15" s="9">
        <f>'BR SA'!L17</f>
        <v>16562</v>
      </c>
      <c r="AJ15" s="9">
        <f>'BR SA'!M17</f>
        <v>16370</v>
      </c>
      <c r="AK15" s="9">
        <f>'BR SA'!N17</f>
        <v>24185</v>
      </c>
      <c r="AL15" s="9">
        <f>'BR SA'!O17</f>
        <v>27718</v>
      </c>
      <c r="AM15" s="9">
        <f>'BR SA'!P17</f>
        <v>160730</v>
      </c>
      <c r="AN15" s="9">
        <f>'BR SA'!Q17</f>
        <v>186353</v>
      </c>
      <c r="AO15" s="9">
        <f>'BR SA'!R17</f>
        <v>117630</v>
      </c>
      <c r="AP15" s="9">
        <f>'BR SA'!S17</f>
        <v>38063</v>
      </c>
      <c r="AQ15" s="9">
        <f>'BR SA'!T17</f>
        <v>37654</v>
      </c>
      <c r="AR15" s="9">
        <f>'BR SA'!U17</f>
        <v>15080</v>
      </c>
      <c r="AS15" s="9">
        <f>'BR SA'!V17</f>
        <v>19177</v>
      </c>
      <c r="AU15" s="9">
        <v>9500</v>
      </c>
      <c r="AV15" s="9">
        <v>41447</v>
      </c>
      <c r="AW15" s="9">
        <v>1216</v>
      </c>
      <c r="AX15" s="9">
        <v>24343</v>
      </c>
      <c r="AY15" s="9">
        <v>4107</v>
      </c>
      <c r="AZ15" s="9">
        <v>11716</v>
      </c>
      <c r="BA15" s="9">
        <v>109782</v>
      </c>
      <c r="BB15" s="9">
        <v>13991</v>
      </c>
      <c r="BC15" s="9">
        <v>5756</v>
      </c>
      <c r="BD15" s="9">
        <v>4842</v>
      </c>
      <c r="BE15" s="9">
        <v>16562</v>
      </c>
      <c r="BF15" s="9">
        <v>16385</v>
      </c>
      <c r="BG15" s="9">
        <v>24174</v>
      </c>
      <c r="BH15" s="9">
        <v>27724</v>
      </c>
      <c r="BI15" s="9">
        <v>160730</v>
      </c>
      <c r="BJ15" s="9">
        <v>25405</v>
      </c>
      <c r="BK15" s="9">
        <v>186352</v>
      </c>
      <c r="BL15" s="9">
        <v>117629</v>
      </c>
      <c r="BM15" s="9">
        <v>38081</v>
      </c>
      <c r="BN15" s="9">
        <v>37654</v>
      </c>
      <c r="BO15" s="9">
        <v>15080</v>
      </c>
      <c r="BP15" s="9">
        <v>19177</v>
      </c>
      <c r="BQ15" s="4"/>
      <c r="BR15" s="5">
        <f t="shared" si="0"/>
        <v>0</v>
      </c>
      <c r="CB15">
        <v>186241</v>
      </c>
    </row>
    <row r="16" spans="1:81" x14ac:dyDescent="0.25">
      <c r="A16" s="8">
        <v>36161</v>
      </c>
      <c r="B16" s="9">
        <f>'BR OBS'!B18</f>
        <v>11061</v>
      </c>
      <c r="C16" s="9">
        <f>'BR OBS'!C18</f>
        <v>38061</v>
      </c>
      <c r="D16" s="9">
        <f>'BR OBS'!D18</f>
        <v>1168</v>
      </c>
      <c r="E16" s="9">
        <f>'BR OBS'!E18</f>
        <v>21655</v>
      </c>
      <c r="F16" s="9">
        <f>'BR OBS'!F18</f>
        <v>4124</v>
      </c>
      <c r="G16" s="9">
        <f>'BR OBS'!G18</f>
        <v>10868</v>
      </c>
      <c r="H16" s="9">
        <f>'BR OBS'!H18</f>
        <v>107103</v>
      </c>
      <c r="I16" s="9">
        <f>'BR OBS'!I18</f>
        <v>13038</v>
      </c>
      <c r="J16" s="9">
        <f>'BR OBS'!J18</f>
        <v>5120</v>
      </c>
      <c r="K16" s="9">
        <f>'BR OBS'!K18</f>
        <v>4857</v>
      </c>
      <c r="L16" s="9">
        <f>'BR OBS'!L18</f>
        <v>15364</v>
      </c>
      <c r="M16" s="9">
        <f>'BR OBS'!M18</f>
        <v>16644</v>
      </c>
      <c r="N16" s="9">
        <f>'BR OBS'!N18</f>
        <v>23193</v>
      </c>
      <c r="O16" s="9">
        <f>'BR OBS'!O18</f>
        <v>27901</v>
      </c>
      <c r="P16" s="9">
        <f>'BR OBS'!P18</f>
        <v>156302</v>
      </c>
      <c r="Q16" s="9">
        <f>'BR OBS'!Q18</f>
        <v>23339</v>
      </c>
      <c r="R16" s="9">
        <f>'BR OBS'!R18</f>
        <v>179883</v>
      </c>
      <c r="S16" s="9">
        <f>'BR OBS'!S18</f>
        <v>114870</v>
      </c>
      <c r="T16" s="9">
        <f>'BR OBS'!T18</f>
        <v>36637</v>
      </c>
      <c r="U16" s="9">
        <f>'BR OBS'!U18</f>
        <v>35087</v>
      </c>
      <c r="V16" s="9">
        <f>'BR OBS'!V18</f>
        <v>13882</v>
      </c>
      <c r="W16" s="9">
        <f>'BR OBS'!W18</f>
        <v>15476</v>
      </c>
      <c r="X16" s="9"/>
      <c r="Y16" s="9">
        <f>'BR SA'!B18</f>
        <v>9911</v>
      </c>
      <c r="Z16" s="9">
        <f>'BR SA'!C18</f>
        <v>41280</v>
      </c>
      <c r="AA16" s="9">
        <f>'BR SA'!D18</f>
        <v>1210</v>
      </c>
      <c r="AB16" s="9">
        <f>'BR SA'!E18</f>
        <v>24147</v>
      </c>
      <c r="AC16" s="9">
        <f>'BR SA'!F18</f>
        <v>4067</v>
      </c>
      <c r="AD16" s="9">
        <f>'BR SA'!G18</f>
        <v>11365</v>
      </c>
      <c r="AE16" s="9">
        <f>'BR SA'!H18</f>
        <v>110833</v>
      </c>
      <c r="AF16" s="9">
        <f>'BR SA'!I18</f>
        <v>14090</v>
      </c>
      <c r="AG16" s="9">
        <f>'BR SA'!J18</f>
        <v>5611</v>
      </c>
      <c r="AH16" s="9">
        <f>'BR SA'!K18</f>
        <v>4985</v>
      </c>
      <c r="AI16" s="9">
        <f>'BR SA'!L18</f>
        <v>16573</v>
      </c>
      <c r="AJ16" s="9">
        <f>'BR SA'!M18</f>
        <v>16627</v>
      </c>
      <c r="AK16" s="9">
        <f>'BR SA'!N18</f>
        <v>24104</v>
      </c>
      <c r="AL16" s="9">
        <f>'BR SA'!O18</f>
        <v>28081</v>
      </c>
      <c r="AM16" s="9">
        <f>'BR SA'!P18</f>
        <v>162241</v>
      </c>
      <c r="AN16" s="9">
        <f>'BR SA'!Q18</f>
        <v>186953</v>
      </c>
      <c r="AO16" s="9">
        <f>'BR SA'!R18</f>
        <v>118434</v>
      </c>
      <c r="AP16" s="9">
        <f>'BR SA'!S18</f>
        <v>37666</v>
      </c>
      <c r="AQ16" s="9">
        <f>'BR SA'!T18</f>
        <v>36372</v>
      </c>
      <c r="AR16" s="9">
        <f>'BR SA'!U18</f>
        <v>15467</v>
      </c>
      <c r="AS16" s="9">
        <f>'BR SA'!V18</f>
        <v>17328</v>
      </c>
      <c r="AU16" s="9">
        <v>9911</v>
      </c>
      <c r="AV16" s="9">
        <v>41279</v>
      </c>
      <c r="AW16" s="9">
        <v>1210</v>
      </c>
      <c r="AX16" s="9">
        <v>24146</v>
      </c>
      <c r="AY16" s="9">
        <v>4066</v>
      </c>
      <c r="AZ16" s="9">
        <v>11445</v>
      </c>
      <c r="BA16" s="9">
        <v>110833</v>
      </c>
      <c r="BB16" s="9">
        <v>14090</v>
      </c>
      <c r="BC16" s="9">
        <v>5611</v>
      </c>
      <c r="BD16" s="9">
        <v>4985</v>
      </c>
      <c r="BE16" s="9">
        <v>16572</v>
      </c>
      <c r="BF16" s="9">
        <v>16621</v>
      </c>
      <c r="BG16" s="9">
        <v>24106</v>
      </c>
      <c r="BH16" s="9">
        <v>28080</v>
      </c>
      <c r="BI16" s="9">
        <v>162241</v>
      </c>
      <c r="BJ16" s="9">
        <v>24661</v>
      </c>
      <c r="BK16" s="9">
        <v>186953</v>
      </c>
      <c r="BL16" s="9">
        <v>118434</v>
      </c>
      <c r="BM16" s="9">
        <v>37653</v>
      </c>
      <c r="BN16" s="9">
        <v>36372</v>
      </c>
      <c r="BO16" s="9">
        <v>15467</v>
      </c>
      <c r="BP16" s="9">
        <v>17328</v>
      </c>
      <c r="BQ16" s="4"/>
      <c r="BR16" s="5">
        <f t="shared" si="0"/>
        <v>0</v>
      </c>
      <c r="CB16">
        <v>187034</v>
      </c>
    </row>
    <row r="17" spans="1:80" x14ac:dyDescent="0.25">
      <c r="A17" s="8">
        <v>36251</v>
      </c>
      <c r="B17" s="9">
        <f>'BR OBS'!B19</f>
        <v>11195</v>
      </c>
      <c r="C17" s="9">
        <f>'BR OBS'!C19</f>
        <v>41602</v>
      </c>
      <c r="D17" s="9">
        <f>'BR OBS'!D19</f>
        <v>1109</v>
      </c>
      <c r="E17" s="9">
        <f>'BR OBS'!E19</f>
        <v>24911</v>
      </c>
      <c r="F17" s="9">
        <f>'BR OBS'!F19</f>
        <v>4118</v>
      </c>
      <c r="G17" s="9">
        <f>'BR OBS'!G19</f>
        <v>11369</v>
      </c>
      <c r="H17" s="9">
        <f>'BR OBS'!H19</f>
        <v>109264</v>
      </c>
      <c r="I17" s="9">
        <f>'BR OBS'!I19</f>
        <v>14232</v>
      </c>
      <c r="J17" s="9">
        <f>'BR OBS'!J19</f>
        <v>5384</v>
      </c>
      <c r="K17" s="9">
        <f>'BR OBS'!K19</f>
        <v>5024</v>
      </c>
      <c r="L17" s="9">
        <f>'BR OBS'!L19</f>
        <v>14891</v>
      </c>
      <c r="M17" s="9">
        <f>'BR OBS'!M19</f>
        <v>16595</v>
      </c>
      <c r="N17" s="9">
        <f>'BR OBS'!N19</f>
        <v>23880</v>
      </c>
      <c r="O17" s="9">
        <f>'BR OBS'!O19</f>
        <v>28443</v>
      </c>
      <c r="P17" s="9">
        <f>'BR OBS'!P19</f>
        <v>162014</v>
      </c>
      <c r="Q17" s="9">
        <f>'BR OBS'!Q19</f>
        <v>24992</v>
      </c>
      <c r="R17" s="9">
        <f>'BR OBS'!R19</f>
        <v>187151</v>
      </c>
      <c r="S17" s="9">
        <f>'BR OBS'!S19</f>
        <v>116884</v>
      </c>
      <c r="T17" s="9">
        <f>'BR OBS'!T19</f>
        <v>37870</v>
      </c>
      <c r="U17" s="9">
        <f>'BR OBS'!U19</f>
        <v>36705</v>
      </c>
      <c r="V17" s="9">
        <f>'BR OBS'!V19</f>
        <v>16494</v>
      </c>
      <c r="W17" s="9">
        <f>'BR OBS'!W19</f>
        <v>16868</v>
      </c>
      <c r="X17" s="9"/>
      <c r="Y17" s="9">
        <f>'BR SA'!B19</f>
        <v>10079</v>
      </c>
      <c r="Z17" s="9">
        <f>'BR SA'!C19</f>
        <v>41179</v>
      </c>
      <c r="AA17" s="9">
        <f>'BR SA'!D19</f>
        <v>1154</v>
      </c>
      <c r="AB17" s="9">
        <f>'BR SA'!E19</f>
        <v>24474</v>
      </c>
      <c r="AC17" s="9">
        <f>'BR SA'!F19</f>
        <v>4173</v>
      </c>
      <c r="AD17" s="9">
        <f>'BR SA'!G19</f>
        <v>11427</v>
      </c>
      <c r="AE17" s="9">
        <f>'BR SA'!H19</f>
        <v>110890</v>
      </c>
      <c r="AF17" s="9">
        <f>'BR SA'!I19</f>
        <v>14153</v>
      </c>
      <c r="AG17" s="9">
        <f>'BR SA'!J19</f>
        <v>5459</v>
      </c>
      <c r="AH17" s="9">
        <f>'BR SA'!K19</f>
        <v>5080</v>
      </c>
      <c r="AI17" s="9">
        <f>'BR SA'!L19</f>
        <v>16607</v>
      </c>
      <c r="AJ17" s="9">
        <f>'BR SA'!M19</f>
        <v>16600</v>
      </c>
      <c r="AK17" s="9">
        <f>'BR SA'!N19</f>
        <v>24180</v>
      </c>
      <c r="AL17" s="9">
        <f>'BR SA'!O19</f>
        <v>28189</v>
      </c>
      <c r="AM17" s="9">
        <f>'BR SA'!P19</f>
        <v>162423</v>
      </c>
      <c r="AN17" s="9">
        <f>'BR SA'!Q19</f>
        <v>187412</v>
      </c>
      <c r="AO17" s="9">
        <f>'BR SA'!R19</f>
        <v>118168</v>
      </c>
      <c r="AP17" s="9">
        <f>'BR SA'!S19</f>
        <v>38077</v>
      </c>
      <c r="AQ17" s="9">
        <f>'BR SA'!T19</f>
        <v>35870</v>
      </c>
      <c r="AR17" s="9">
        <f>'BR SA'!U19</f>
        <v>15831</v>
      </c>
      <c r="AS17" s="9">
        <f>'BR SA'!V19</f>
        <v>17113</v>
      </c>
      <c r="AU17" s="9">
        <v>10079</v>
      </c>
      <c r="AV17" s="9">
        <v>41179</v>
      </c>
      <c r="AW17" s="9">
        <v>1154</v>
      </c>
      <c r="AX17" s="9">
        <v>24474</v>
      </c>
      <c r="AY17" s="9">
        <v>4173</v>
      </c>
      <c r="AZ17" s="9">
        <v>11423</v>
      </c>
      <c r="BA17" s="9">
        <v>110890</v>
      </c>
      <c r="BB17" s="9">
        <v>14153</v>
      </c>
      <c r="BC17" s="9">
        <v>5459</v>
      </c>
      <c r="BD17" s="9">
        <v>5080</v>
      </c>
      <c r="BE17" s="9">
        <v>16607</v>
      </c>
      <c r="BF17" s="9">
        <v>16595</v>
      </c>
      <c r="BG17" s="9">
        <v>24188</v>
      </c>
      <c r="BH17" s="9">
        <v>28186</v>
      </c>
      <c r="BI17" s="9">
        <v>162423</v>
      </c>
      <c r="BJ17" s="9">
        <v>24869</v>
      </c>
      <c r="BK17" s="9">
        <v>187412</v>
      </c>
      <c r="BL17" s="9">
        <v>118168</v>
      </c>
      <c r="BM17" s="9">
        <v>38075</v>
      </c>
      <c r="BN17" s="9">
        <v>35870</v>
      </c>
      <c r="BO17" s="9">
        <v>15831</v>
      </c>
      <c r="BP17" s="9">
        <v>17114</v>
      </c>
      <c r="BQ17" s="4"/>
      <c r="BR17" s="5">
        <f t="shared" si="0"/>
        <v>0</v>
      </c>
      <c r="CB17">
        <v>187501</v>
      </c>
    </row>
    <row r="18" spans="1:80" x14ac:dyDescent="0.25">
      <c r="A18" s="8">
        <v>36342</v>
      </c>
      <c r="B18" s="9">
        <f>'BR OBS'!B20</f>
        <v>10564</v>
      </c>
      <c r="C18" s="9">
        <f>'BR OBS'!C20</f>
        <v>43331</v>
      </c>
      <c r="D18" s="9">
        <f>'BR OBS'!D20</f>
        <v>1190</v>
      </c>
      <c r="E18" s="9">
        <f>'BR OBS'!E20</f>
        <v>26010</v>
      </c>
      <c r="F18" s="9">
        <f>'BR OBS'!F20</f>
        <v>4140</v>
      </c>
      <c r="G18" s="9">
        <f>'BR OBS'!G20</f>
        <v>11916</v>
      </c>
      <c r="H18" s="9">
        <f>'BR OBS'!H20</f>
        <v>112829</v>
      </c>
      <c r="I18" s="9">
        <f>'BR OBS'!I20</f>
        <v>14627</v>
      </c>
      <c r="J18" s="9">
        <f>'BR OBS'!J20</f>
        <v>5874</v>
      </c>
      <c r="K18" s="9">
        <f>'BR OBS'!K20</f>
        <v>4908</v>
      </c>
      <c r="L18" s="9">
        <f>'BR OBS'!L20</f>
        <v>17658</v>
      </c>
      <c r="M18" s="9">
        <f>'BR OBS'!M20</f>
        <v>16485</v>
      </c>
      <c r="N18" s="9">
        <f>'BR OBS'!N20</f>
        <v>24647</v>
      </c>
      <c r="O18" s="9">
        <f>'BR OBS'!O20</f>
        <v>28383</v>
      </c>
      <c r="P18" s="9">
        <f>'BR OBS'!P20</f>
        <v>166741</v>
      </c>
      <c r="Q18" s="9">
        <f>'BR OBS'!Q20</f>
        <v>25865</v>
      </c>
      <c r="R18" s="9">
        <f>'BR OBS'!R20</f>
        <v>192737</v>
      </c>
      <c r="S18" s="9">
        <f>'BR OBS'!S20</f>
        <v>120091</v>
      </c>
      <c r="T18" s="9">
        <f>'BR OBS'!T20</f>
        <v>38952</v>
      </c>
      <c r="U18" s="9">
        <f>'BR OBS'!U20</f>
        <v>35816</v>
      </c>
      <c r="V18" s="9">
        <f>'BR OBS'!V20</f>
        <v>17181</v>
      </c>
      <c r="W18" s="9">
        <f>'BR OBS'!W20</f>
        <v>17603</v>
      </c>
      <c r="X18" s="9"/>
      <c r="Y18" s="9">
        <f>'BR SA'!B20</f>
        <v>10130</v>
      </c>
      <c r="Z18" s="9">
        <f>'BR SA'!C20</f>
        <v>41321</v>
      </c>
      <c r="AA18" s="9">
        <f>'BR SA'!D20</f>
        <v>1154</v>
      </c>
      <c r="AB18" s="9">
        <f>'BR SA'!E20</f>
        <v>24454</v>
      </c>
      <c r="AC18" s="9">
        <f>'BR SA'!F20</f>
        <v>4179</v>
      </c>
      <c r="AD18" s="9">
        <f>'BR SA'!G20</f>
        <v>11439</v>
      </c>
      <c r="AE18" s="9">
        <f>'BR SA'!H20</f>
        <v>110977</v>
      </c>
      <c r="AF18" s="9">
        <f>'BR SA'!I20</f>
        <v>14037</v>
      </c>
      <c r="AG18" s="9">
        <f>'BR SA'!J20</f>
        <v>5588</v>
      </c>
      <c r="AH18" s="9">
        <f>'BR SA'!K20</f>
        <v>4957</v>
      </c>
      <c r="AI18" s="9">
        <f>'BR SA'!L20</f>
        <v>16590</v>
      </c>
      <c r="AJ18" s="9">
        <f>'BR SA'!M20</f>
        <v>16571</v>
      </c>
      <c r="AK18" s="9">
        <f>'BR SA'!N20</f>
        <v>24371</v>
      </c>
      <c r="AL18" s="9">
        <f>'BR SA'!O20</f>
        <v>28286</v>
      </c>
      <c r="AM18" s="9">
        <f>'BR SA'!P20</f>
        <v>162440</v>
      </c>
      <c r="AN18" s="9">
        <f>'BR SA'!Q20</f>
        <v>187719</v>
      </c>
      <c r="AO18" s="9">
        <f>'BR SA'!R20</f>
        <v>119173</v>
      </c>
      <c r="AP18" s="9">
        <f>'BR SA'!S20</f>
        <v>38869</v>
      </c>
      <c r="AQ18" s="9">
        <f>'BR SA'!T20</f>
        <v>35046</v>
      </c>
      <c r="AR18" s="9">
        <f>'BR SA'!U20</f>
        <v>15507</v>
      </c>
      <c r="AS18" s="9">
        <f>'BR SA'!V20</f>
        <v>16516</v>
      </c>
      <c r="AU18" s="9">
        <v>10129</v>
      </c>
      <c r="AV18" s="9">
        <v>41320</v>
      </c>
      <c r="AW18" s="9">
        <v>1154</v>
      </c>
      <c r="AX18" s="9">
        <v>24454</v>
      </c>
      <c r="AY18" s="9">
        <v>4179</v>
      </c>
      <c r="AZ18" s="9">
        <v>11413</v>
      </c>
      <c r="BA18" s="9">
        <v>110977</v>
      </c>
      <c r="BB18" s="9">
        <v>14036</v>
      </c>
      <c r="BC18" s="9">
        <v>5588</v>
      </c>
      <c r="BD18" s="9">
        <v>4956</v>
      </c>
      <c r="BE18" s="9">
        <v>16590</v>
      </c>
      <c r="BF18" s="9">
        <v>16606</v>
      </c>
      <c r="BG18" s="9">
        <v>24364</v>
      </c>
      <c r="BH18" s="9">
        <v>28296</v>
      </c>
      <c r="BI18" s="9">
        <v>162439</v>
      </c>
      <c r="BJ18" s="9">
        <v>25044</v>
      </c>
      <c r="BK18" s="9">
        <v>187719</v>
      </c>
      <c r="BL18" s="9">
        <v>119173</v>
      </c>
      <c r="BM18" s="9">
        <v>38867</v>
      </c>
      <c r="BN18" s="9">
        <v>35046</v>
      </c>
      <c r="BO18" s="9">
        <v>15507</v>
      </c>
      <c r="BP18" s="9">
        <v>16516</v>
      </c>
      <c r="BQ18" s="4"/>
      <c r="BR18" s="5">
        <f t="shared" si="0"/>
        <v>-9.871668311944718E-5</v>
      </c>
      <c r="CB18">
        <v>187674</v>
      </c>
    </row>
    <row r="19" spans="1:80" x14ac:dyDescent="0.25">
      <c r="A19" s="8">
        <v>36434</v>
      </c>
      <c r="B19" s="9">
        <f>'BR OBS'!B21</f>
        <v>7633</v>
      </c>
      <c r="C19" s="9">
        <f>'BR OBS'!C21</f>
        <v>42899</v>
      </c>
      <c r="D19" s="9">
        <f>'BR OBS'!D21</f>
        <v>1235</v>
      </c>
      <c r="E19" s="9">
        <f>'BR OBS'!E21</f>
        <v>25770</v>
      </c>
      <c r="F19" s="9">
        <f>'BR OBS'!F21</f>
        <v>4224</v>
      </c>
      <c r="G19" s="9">
        <f>'BR OBS'!G21</f>
        <v>11606</v>
      </c>
      <c r="H19" s="9">
        <f>'BR OBS'!H21</f>
        <v>115272</v>
      </c>
      <c r="I19" s="9">
        <f>'BR OBS'!I21</f>
        <v>14628</v>
      </c>
      <c r="J19" s="9">
        <f>'BR OBS'!J21</f>
        <v>6118</v>
      </c>
      <c r="K19" s="9">
        <f>'BR OBS'!K21</f>
        <v>5386</v>
      </c>
      <c r="L19" s="9">
        <f>'BR OBS'!L21</f>
        <v>18404</v>
      </c>
      <c r="M19" s="9">
        <f>'BR OBS'!M21</f>
        <v>16589</v>
      </c>
      <c r="N19" s="9">
        <f>'BR OBS'!N21</f>
        <v>25572</v>
      </c>
      <c r="O19" s="9">
        <f>'BR OBS'!O21</f>
        <v>28200</v>
      </c>
      <c r="P19" s="9">
        <f>'BR OBS'!P21</f>
        <v>166149</v>
      </c>
      <c r="Q19" s="9">
        <f>'BR OBS'!Q21</f>
        <v>26100</v>
      </c>
      <c r="R19" s="9">
        <f>'BR OBS'!R21</f>
        <v>192337</v>
      </c>
      <c r="S19" s="9">
        <f>'BR OBS'!S21</f>
        <v>124909</v>
      </c>
      <c r="T19" s="9">
        <f>'BR OBS'!T21</f>
        <v>40692</v>
      </c>
      <c r="U19" s="9">
        <f>'BR OBS'!U21</f>
        <v>35343</v>
      </c>
      <c r="V19" s="9">
        <f>'BR OBS'!V21</f>
        <v>17608</v>
      </c>
      <c r="W19" s="9">
        <f>'BR OBS'!W21</f>
        <v>18600</v>
      </c>
      <c r="X19" s="9"/>
      <c r="Y19" s="9">
        <f>'BR SA'!B21</f>
        <v>10518</v>
      </c>
      <c r="Z19" s="9">
        <f>'BR SA'!C21</f>
        <v>42120</v>
      </c>
      <c r="AA19" s="9">
        <f>'BR SA'!D21</f>
        <v>1185</v>
      </c>
      <c r="AB19" s="9">
        <f>'BR SA'!E21</f>
        <v>25222</v>
      </c>
      <c r="AC19" s="9">
        <f>'BR SA'!F21</f>
        <v>4191</v>
      </c>
      <c r="AD19" s="9">
        <f>'BR SA'!G21</f>
        <v>11530</v>
      </c>
      <c r="AE19" s="9">
        <f>'BR SA'!H21</f>
        <v>112030</v>
      </c>
      <c r="AF19" s="9">
        <f>'BR SA'!I21</f>
        <v>14263</v>
      </c>
      <c r="AG19" s="9">
        <f>'BR SA'!J21</f>
        <v>5848</v>
      </c>
      <c r="AH19" s="9">
        <f>'BR SA'!K21</f>
        <v>5163</v>
      </c>
      <c r="AI19" s="9">
        <f>'BR SA'!L21</f>
        <v>16563</v>
      </c>
      <c r="AJ19" s="9">
        <f>'BR SA'!M21</f>
        <v>16512</v>
      </c>
      <c r="AK19" s="9">
        <f>'BR SA'!N21</f>
        <v>24661</v>
      </c>
      <c r="AL19" s="9">
        <f>'BR SA'!O21</f>
        <v>28417</v>
      </c>
      <c r="AM19" s="9">
        <f>'BR SA'!P21</f>
        <v>164429</v>
      </c>
      <c r="AN19" s="9">
        <f>'BR SA'!Q21</f>
        <v>190353</v>
      </c>
      <c r="AO19" s="9">
        <f>'BR SA'!R21</f>
        <v>121282</v>
      </c>
      <c r="AP19" s="9">
        <f>'BR SA'!S21</f>
        <v>39568</v>
      </c>
      <c r="AQ19" s="9">
        <f>'BR SA'!T21</f>
        <v>35734</v>
      </c>
      <c r="AR19" s="9">
        <f>'BR SA'!U21</f>
        <v>17904</v>
      </c>
      <c r="AS19" s="9">
        <f>'BR SA'!V21</f>
        <v>17674</v>
      </c>
      <c r="AU19" s="9">
        <v>10518</v>
      </c>
      <c r="AV19" s="9">
        <v>42120</v>
      </c>
      <c r="AW19" s="9">
        <v>1185</v>
      </c>
      <c r="AX19" s="9">
        <v>25221</v>
      </c>
      <c r="AY19" s="9">
        <v>4191</v>
      </c>
      <c r="AZ19" s="9">
        <v>11498</v>
      </c>
      <c r="BA19" s="9">
        <v>112029</v>
      </c>
      <c r="BB19" s="9">
        <v>14263</v>
      </c>
      <c r="BC19" s="9">
        <v>5848</v>
      </c>
      <c r="BD19" s="9">
        <v>5163</v>
      </c>
      <c r="BE19" s="9">
        <v>16563</v>
      </c>
      <c r="BF19" s="9">
        <v>16520</v>
      </c>
      <c r="BG19" s="9">
        <v>24648</v>
      </c>
      <c r="BH19" s="9">
        <v>28423</v>
      </c>
      <c r="BI19" s="9">
        <v>164429</v>
      </c>
      <c r="BJ19" s="9">
        <v>25820</v>
      </c>
      <c r="BK19" s="9">
        <v>190353</v>
      </c>
      <c r="BL19" s="9">
        <v>121282</v>
      </c>
      <c r="BM19" s="9">
        <v>39588</v>
      </c>
      <c r="BN19" s="9">
        <v>35733</v>
      </c>
      <c r="BO19" s="9">
        <v>17904</v>
      </c>
      <c r="BP19" s="9">
        <v>17674</v>
      </c>
      <c r="BQ19" s="4"/>
      <c r="BR19" s="5">
        <f t="shared" si="0"/>
        <v>0</v>
      </c>
      <c r="CB19">
        <v>190230</v>
      </c>
    </row>
    <row r="20" spans="1:80" x14ac:dyDescent="0.25">
      <c r="A20" s="8">
        <v>36526</v>
      </c>
      <c r="B20" s="9">
        <f>'BR OBS'!B22</f>
        <v>11743</v>
      </c>
      <c r="C20" s="9">
        <f>'BR OBS'!C22</f>
        <v>39804</v>
      </c>
      <c r="D20" s="9">
        <f>'BR OBS'!D22</f>
        <v>1160</v>
      </c>
      <c r="E20" s="9">
        <f>'BR OBS'!E22</f>
        <v>23077</v>
      </c>
      <c r="F20" s="9">
        <f>'BR OBS'!F22</f>
        <v>4364</v>
      </c>
      <c r="G20" s="9">
        <f>'BR OBS'!G22</f>
        <v>10992</v>
      </c>
      <c r="H20" s="9">
        <f>'BR OBS'!H22</f>
        <v>110464</v>
      </c>
      <c r="I20" s="9">
        <f>'BR OBS'!I22</f>
        <v>13568</v>
      </c>
      <c r="J20" s="9">
        <f>'BR OBS'!J22</f>
        <v>5450</v>
      </c>
      <c r="K20" s="9">
        <f>'BR OBS'!K22</f>
        <v>5405</v>
      </c>
      <c r="L20" s="9">
        <f>'BR OBS'!L22</f>
        <v>15733</v>
      </c>
      <c r="M20" s="9">
        <f>'BR OBS'!M22</f>
        <v>16747</v>
      </c>
      <c r="N20" s="9">
        <f>'BR OBS'!N22</f>
        <v>24319</v>
      </c>
      <c r="O20" s="9">
        <f>'BR OBS'!O22</f>
        <v>28283</v>
      </c>
      <c r="P20" s="9">
        <f>'BR OBS'!P22</f>
        <v>161899</v>
      </c>
      <c r="Q20" s="9">
        <f>'BR OBS'!Q22</f>
        <v>25746</v>
      </c>
      <c r="R20" s="9">
        <f>'BR OBS'!R22</f>
        <v>187799</v>
      </c>
      <c r="S20" s="9">
        <f>'BR OBS'!S22</f>
        <v>118332</v>
      </c>
      <c r="T20" s="9">
        <f>'BR OBS'!T22</f>
        <v>37940</v>
      </c>
      <c r="U20" s="9">
        <f>'BR OBS'!U22</f>
        <v>34980</v>
      </c>
      <c r="V20" s="9">
        <f>'BR OBS'!V22</f>
        <v>16754</v>
      </c>
      <c r="W20" s="9">
        <f>'BR OBS'!W22</f>
        <v>16107</v>
      </c>
      <c r="X20" s="9"/>
      <c r="Y20" s="9">
        <f>'BR SA'!B22</f>
        <v>10458</v>
      </c>
      <c r="Z20" s="9">
        <f>'BR SA'!C22</f>
        <v>42672</v>
      </c>
      <c r="AA20" s="9">
        <f>'BR SA'!D22</f>
        <v>1203</v>
      </c>
      <c r="AB20" s="9">
        <f>'BR SA'!E22</f>
        <v>25584</v>
      </c>
      <c r="AC20" s="9">
        <f>'BR SA'!F22</f>
        <v>4303</v>
      </c>
      <c r="AD20" s="9">
        <f>'BR SA'!G22</f>
        <v>11457</v>
      </c>
      <c r="AE20" s="9">
        <f>'BR SA'!H22</f>
        <v>112956</v>
      </c>
      <c r="AF20" s="9">
        <f>'BR SA'!I22</f>
        <v>14566</v>
      </c>
      <c r="AG20" s="9">
        <f>'BR SA'!J22</f>
        <v>5926</v>
      </c>
      <c r="AH20" s="9">
        <f>'BR SA'!K22</f>
        <v>5489</v>
      </c>
      <c r="AI20" s="9">
        <f>'BR SA'!L22</f>
        <v>16922</v>
      </c>
      <c r="AJ20" s="9">
        <f>'BR SA'!M22</f>
        <v>16731</v>
      </c>
      <c r="AK20" s="9">
        <f>'BR SA'!N22</f>
        <v>24966</v>
      </c>
      <c r="AL20" s="9">
        <f>'BR SA'!O22</f>
        <v>28148</v>
      </c>
      <c r="AM20" s="9">
        <f>'BR SA'!P22</f>
        <v>165955</v>
      </c>
      <c r="AN20" s="9">
        <f>'BR SA'!Q22</f>
        <v>192361</v>
      </c>
      <c r="AO20" s="9">
        <f>'BR SA'!R22</f>
        <v>120530</v>
      </c>
      <c r="AP20" s="9">
        <f>'BR SA'!S22</f>
        <v>38921</v>
      </c>
      <c r="AQ20" s="9">
        <f>'BR SA'!T22</f>
        <v>35954</v>
      </c>
      <c r="AR20" s="9">
        <f>'BR SA'!U22</f>
        <v>17841</v>
      </c>
      <c r="AS20" s="9">
        <f>'BR SA'!V22</f>
        <v>17525</v>
      </c>
      <c r="AU20" s="9">
        <v>10458</v>
      </c>
      <c r="AV20" s="9">
        <v>42671</v>
      </c>
      <c r="AW20" s="9">
        <v>1203</v>
      </c>
      <c r="AX20" s="9">
        <v>25584</v>
      </c>
      <c r="AY20" s="9">
        <v>4304</v>
      </c>
      <c r="AZ20" s="9">
        <v>11384</v>
      </c>
      <c r="BA20" s="9">
        <v>112956</v>
      </c>
      <c r="BB20" s="9">
        <v>14567</v>
      </c>
      <c r="BC20" s="9">
        <v>5925</v>
      </c>
      <c r="BD20" s="9">
        <v>5490</v>
      </c>
      <c r="BE20" s="9">
        <v>16922</v>
      </c>
      <c r="BF20" s="9">
        <v>16772</v>
      </c>
      <c r="BG20" s="9">
        <v>24959</v>
      </c>
      <c r="BH20" s="9">
        <v>28155</v>
      </c>
      <c r="BI20" s="9">
        <v>165955</v>
      </c>
      <c r="BJ20" s="9">
        <v>26468</v>
      </c>
      <c r="BK20" s="9">
        <v>192361</v>
      </c>
      <c r="BL20" s="9">
        <v>120530</v>
      </c>
      <c r="BM20" s="9">
        <v>38901</v>
      </c>
      <c r="BN20" s="9">
        <v>35954</v>
      </c>
      <c r="BO20" s="9">
        <v>17841</v>
      </c>
      <c r="BP20" s="9">
        <v>17525</v>
      </c>
      <c r="BQ20" s="4"/>
      <c r="BR20" s="5">
        <f t="shared" si="0"/>
        <v>0</v>
      </c>
      <c r="CB20">
        <v>192443</v>
      </c>
    </row>
    <row r="21" spans="1:80" x14ac:dyDescent="0.25">
      <c r="A21" s="8">
        <v>36617</v>
      </c>
      <c r="B21" s="9">
        <f>'BR OBS'!B23</f>
        <v>11581</v>
      </c>
      <c r="C21" s="9">
        <f>'BR OBS'!C23</f>
        <v>43239</v>
      </c>
      <c r="D21" s="9">
        <f>'BR OBS'!D23</f>
        <v>1181</v>
      </c>
      <c r="E21" s="9">
        <f>'BR OBS'!E23</f>
        <v>26232</v>
      </c>
      <c r="F21" s="9">
        <f>'BR OBS'!F23</f>
        <v>4261</v>
      </c>
      <c r="G21" s="9">
        <f>'BR OBS'!G23</f>
        <v>11497</v>
      </c>
      <c r="H21" s="9">
        <f>'BR OBS'!H23</f>
        <v>112886</v>
      </c>
      <c r="I21" s="9">
        <f>'BR OBS'!I23</f>
        <v>14428</v>
      </c>
      <c r="J21" s="9">
        <f>'BR OBS'!J23</f>
        <v>5918</v>
      </c>
      <c r="K21" s="9">
        <f>'BR OBS'!K23</f>
        <v>5756</v>
      </c>
      <c r="L21" s="9">
        <f>'BR OBS'!L23</f>
        <v>15199</v>
      </c>
      <c r="M21" s="9">
        <f>'BR OBS'!M23</f>
        <v>17000</v>
      </c>
      <c r="N21" s="9">
        <f>'BR OBS'!N23</f>
        <v>24745</v>
      </c>
      <c r="O21" s="9">
        <f>'BR OBS'!O23</f>
        <v>28813</v>
      </c>
      <c r="P21" s="9">
        <f>'BR OBS'!P23</f>
        <v>167611</v>
      </c>
      <c r="Q21" s="9">
        <f>'BR OBS'!Q23</f>
        <v>26825</v>
      </c>
      <c r="R21" s="9">
        <f>'BR OBS'!R23</f>
        <v>194597</v>
      </c>
      <c r="S21" s="9">
        <f>'BR OBS'!S23</f>
        <v>121842</v>
      </c>
      <c r="T21" s="9">
        <f>'BR OBS'!T23</f>
        <v>38367</v>
      </c>
      <c r="U21" s="9">
        <f>'BR OBS'!U23</f>
        <v>38137</v>
      </c>
      <c r="V21" s="9">
        <f>'BR OBS'!V23</f>
        <v>18338</v>
      </c>
      <c r="W21" s="9">
        <f>'BR OBS'!W23</f>
        <v>18100</v>
      </c>
      <c r="X21" s="9"/>
      <c r="Y21" s="9">
        <f>'BR SA'!B23</f>
        <v>10417</v>
      </c>
      <c r="Z21" s="9">
        <f>'BR SA'!C23</f>
        <v>43168</v>
      </c>
      <c r="AA21" s="9">
        <f>'BR SA'!D23</f>
        <v>1226</v>
      </c>
      <c r="AB21" s="9">
        <f>'BR SA'!E23</f>
        <v>25880</v>
      </c>
      <c r="AC21" s="9">
        <f>'BR SA'!F23</f>
        <v>4315</v>
      </c>
      <c r="AD21" s="9">
        <f>'BR SA'!G23</f>
        <v>11581</v>
      </c>
      <c r="AE21" s="9">
        <f>'BR SA'!H23</f>
        <v>114510</v>
      </c>
      <c r="AF21" s="9">
        <f>'BR SA'!I23</f>
        <v>14406</v>
      </c>
      <c r="AG21" s="9">
        <f>'BR SA'!J23</f>
        <v>5982</v>
      </c>
      <c r="AH21" s="9">
        <f>'BR SA'!K23</f>
        <v>5818</v>
      </c>
      <c r="AI21" s="9">
        <f>'BR SA'!L23</f>
        <v>16923</v>
      </c>
      <c r="AJ21" s="9">
        <f>'BR SA'!M23</f>
        <v>17012</v>
      </c>
      <c r="AK21" s="9">
        <f>'BR SA'!N23</f>
        <v>25056</v>
      </c>
      <c r="AL21" s="9">
        <f>'BR SA'!O23</f>
        <v>28559</v>
      </c>
      <c r="AM21" s="9">
        <f>'BR SA'!P23</f>
        <v>167941</v>
      </c>
      <c r="AN21" s="9">
        <f>'BR SA'!Q23</f>
        <v>195053</v>
      </c>
      <c r="AO21" s="9">
        <f>'BR SA'!R23</f>
        <v>123127</v>
      </c>
      <c r="AP21" s="9">
        <f>'BR SA'!S23</f>
        <v>38553</v>
      </c>
      <c r="AQ21" s="9">
        <f>'BR SA'!T23</f>
        <v>37578</v>
      </c>
      <c r="AR21" s="9">
        <f>'BR SA'!U23</f>
        <v>17977</v>
      </c>
      <c r="AS21" s="9">
        <f>'BR SA'!V23</f>
        <v>18320</v>
      </c>
      <c r="AU21" s="9">
        <v>10417</v>
      </c>
      <c r="AV21" s="9">
        <v>43168</v>
      </c>
      <c r="AW21" s="9">
        <v>1226</v>
      </c>
      <c r="AX21" s="9">
        <v>25880</v>
      </c>
      <c r="AY21" s="9">
        <v>4315</v>
      </c>
      <c r="AZ21" s="9">
        <v>11581</v>
      </c>
      <c r="BA21" s="9">
        <v>114510</v>
      </c>
      <c r="BB21" s="9">
        <v>14406</v>
      </c>
      <c r="BC21" s="9">
        <v>5982</v>
      </c>
      <c r="BD21" s="9">
        <v>5818</v>
      </c>
      <c r="BE21" s="9">
        <v>16923</v>
      </c>
      <c r="BF21" s="9">
        <v>17003</v>
      </c>
      <c r="BG21" s="9">
        <v>25068</v>
      </c>
      <c r="BH21" s="9">
        <v>28555</v>
      </c>
      <c r="BI21" s="9">
        <v>167941</v>
      </c>
      <c r="BJ21" s="9">
        <v>26802</v>
      </c>
      <c r="BK21" s="9">
        <v>195053</v>
      </c>
      <c r="BL21" s="9">
        <v>123127</v>
      </c>
      <c r="BM21" s="9">
        <v>38553</v>
      </c>
      <c r="BN21" s="9">
        <v>37578</v>
      </c>
      <c r="BO21" s="9">
        <v>17977</v>
      </c>
      <c r="BP21" s="9">
        <v>18320</v>
      </c>
      <c r="BQ21" s="4"/>
      <c r="BR21" s="5">
        <f t="shared" si="0"/>
        <v>0</v>
      </c>
      <c r="CB21">
        <v>195117</v>
      </c>
    </row>
    <row r="22" spans="1:80" x14ac:dyDescent="0.25">
      <c r="A22" s="8">
        <v>36708</v>
      </c>
      <c r="B22" s="9">
        <f>'BR OBS'!B24</f>
        <v>10722</v>
      </c>
      <c r="C22" s="9">
        <f>'BR OBS'!C24</f>
        <v>45257</v>
      </c>
      <c r="D22" s="9">
        <f>'BR OBS'!D24</f>
        <v>1325</v>
      </c>
      <c r="E22" s="9">
        <f>'BR OBS'!E24</f>
        <v>27488</v>
      </c>
      <c r="F22" s="9">
        <f>'BR OBS'!F24</f>
        <v>4256</v>
      </c>
      <c r="G22" s="9">
        <f>'BR OBS'!G24</f>
        <v>12135</v>
      </c>
      <c r="H22" s="9">
        <f>'BR OBS'!H24</f>
        <v>117702</v>
      </c>
      <c r="I22" s="9">
        <f>'BR OBS'!I24</f>
        <v>15334</v>
      </c>
      <c r="J22" s="9">
        <f>'BR OBS'!J24</f>
        <v>6207</v>
      </c>
      <c r="K22" s="9">
        <f>'BR OBS'!K24</f>
        <v>6051</v>
      </c>
      <c r="L22" s="9">
        <f>'BR OBS'!L24</f>
        <v>18017</v>
      </c>
      <c r="M22" s="9">
        <f>'BR OBS'!M24</f>
        <v>17309</v>
      </c>
      <c r="N22" s="9">
        <f>'BR OBS'!N24</f>
        <v>25391</v>
      </c>
      <c r="O22" s="9">
        <f>'BR OBS'!O24</f>
        <v>28848</v>
      </c>
      <c r="P22" s="9">
        <f>'BR OBS'!P24</f>
        <v>173765</v>
      </c>
      <c r="Q22" s="9">
        <f>'BR OBS'!Q24</f>
        <v>27604</v>
      </c>
      <c r="R22" s="9">
        <f>'BR OBS'!R24</f>
        <v>201535</v>
      </c>
      <c r="S22" s="9">
        <f>'BR OBS'!S24</f>
        <v>125793</v>
      </c>
      <c r="T22" s="9">
        <f>'BR OBS'!T24</f>
        <v>38046</v>
      </c>
      <c r="U22" s="9">
        <f>'BR OBS'!U24</f>
        <v>38250</v>
      </c>
      <c r="V22" s="9">
        <f>'BR OBS'!V24</f>
        <v>20374</v>
      </c>
      <c r="W22" s="9">
        <f>'BR OBS'!W24</f>
        <v>20725</v>
      </c>
      <c r="X22" s="9"/>
      <c r="Y22" s="9">
        <f>'BR SA'!B24</f>
        <v>10321</v>
      </c>
      <c r="Z22" s="9">
        <f>'BR SA'!C24</f>
        <v>43315</v>
      </c>
      <c r="AA22" s="9">
        <f>'BR SA'!D24</f>
        <v>1285</v>
      </c>
      <c r="AB22" s="9">
        <f>'BR SA'!E24</f>
        <v>25921</v>
      </c>
      <c r="AC22" s="9">
        <f>'BR SA'!F24</f>
        <v>4292</v>
      </c>
      <c r="AD22" s="9">
        <f>'BR SA'!G24</f>
        <v>11691</v>
      </c>
      <c r="AE22" s="9">
        <f>'BR SA'!H24</f>
        <v>116003</v>
      </c>
      <c r="AF22" s="9">
        <f>'BR SA'!I24</f>
        <v>14785</v>
      </c>
      <c r="AG22" s="9">
        <f>'BR SA'!J24</f>
        <v>5940</v>
      </c>
      <c r="AH22" s="9">
        <f>'BR SA'!K24</f>
        <v>6095</v>
      </c>
      <c r="AI22" s="9">
        <f>'BR SA'!L24</f>
        <v>16934</v>
      </c>
      <c r="AJ22" s="9">
        <f>'BR SA'!M24</f>
        <v>17388</v>
      </c>
      <c r="AK22" s="9">
        <f>'BR SA'!N24</f>
        <v>25188</v>
      </c>
      <c r="AL22" s="9">
        <f>'BR SA'!O24</f>
        <v>28815</v>
      </c>
      <c r="AM22" s="9">
        <f>'BR SA'!P24</f>
        <v>169986</v>
      </c>
      <c r="AN22" s="9">
        <f>'BR SA'!Q24</f>
        <v>197370</v>
      </c>
      <c r="AO22" s="9">
        <f>'BR SA'!R24</f>
        <v>125025</v>
      </c>
      <c r="AP22" s="9">
        <f>'BR SA'!S24</f>
        <v>38033</v>
      </c>
      <c r="AQ22" s="9">
        <f>'BR SA'!T24</f>
        <v>37484</v>
      </c>
      <c r="AR22" s="9">
        <f>'BR SA'!U24</f>
        <v>19546</v>
      </c>
      <c r="AS22" s="9">
        <f>'BR SA'!V24</f>
        <v>19930</v>
      </c>
      <c r="AU22" s="9">
        <v>10321</v>
      </c>
      <c r="AV22" s="9">
        <v>43315</v>
      </c>
      <c r="AW22" s="9">
        <v>1285</v>
      </c>
      <c r="AX22" s="9">
        <v>25920</v>
      </c>
      <c r="AY22" s="9">
        <v>4292</v>
      </c>
      <c r="AZ22" s="9">
        <v>11731</v>
      </c>
      <c r="BA22" s="9">
        <v>116003</v>
      </c>
      <c r="BB22" s="9">
        <v>14785</v>
      </c>
      <c r="BC22" s="9">
        <v>5940</v>
      </c>
      <c r="BD22" s="9">
        <v>6095</v>
      </c>
      <c r="BE22" s="9">
        <v>16933</v>
      </c>
      <c r="BF22" s="9">
        <v>17306</v>
      </c>
      <c r="BG22" s="9">
        <v>25213</v>
      </c>
      <c r="BH22" s="9">
        <v>28791</v>
      </c>
      <c r="BI22" s="9">
        <v>169985</v>
      </c>
      <c r="BJ22" s="9">
        <v>27131</v>
      </c>
      <c r="BK22" s="9">
        <v>197371</v>
      </c>
      <c r="BL22" s="9">
        <v>125024</v>
      </c>
      <c r="BM22" s="9">
        <v>38032</v>
      </c>
      <c r="BN22" s="9">
        <v>37485</v>
      </c>
      <c r="BO22" s="9">
        <v>19546</v>
      </c>
      <c r="BP22" s="9">
        <v>19929</v>
      </c>
      <c r="BQ22" s="4"/>
      <c r="BR22" s="5">
        <f t="shared" si="0"/>
        <v>0</v>
      </c>
      <c r="CB22">
        <v>197351</v>
      </c>
    </row>
    <row r="23" spans="1:80" x14ac:dyDescent="0.25">
      <c r="A23" s="8">
        <v>36800</v>
      </c>
      <c r="B23" s="9">
        <f>'BR OBS'!B25</f>
        <v>7508</v>
      </c>
      <c r="C23" s="9">
        <f>'BR OBS'!C25</f>
        <v>44913</v>
      </c>
      <c r="D23" s="9">
        <f>'BR OBS'!D25</f>
        <v>1463</v>
      </c>
      <c r="E23" s="9">
        <f>'BR OBS'!E25</f>
        <v>27145</v>
      </c>
      <c r="F23" s="9">
        <f>'BR OBS'!F25</f>
        <v>4416</v>
      </c>
      <c r="G23" s="9">
        <f>'BR OBS'!G25</f>
        <v>11777</v>
      </c>
      <c r="H23" s="9">
        <f>'BR OBS'!H25</f>
        <v>120514</v>
      </c>
      <c r="I23" s="9">
        <f>'BR OBS'!I25</f>
        <v>15736</v>
      </c>
      <c r="J23" s="9">
        <f>'BR OBS'!J25</f>
        <v>6209</v>
      </c>
      <c r="K23" s="9">
        <f>'BR OBS'!K25</f>
        <v>6310</v>
      </c>
      <c r="L23" s="9">
        <f>'BR OBS'!L25</f>
        <v>18831</v>
      </c>
      <c r="M23" s="9">
        <f>'BR OBS'!M25</f>
        <v>17925</v>
      </c>
      <c r="N23" s="9">
        <f>'BR OBS'!N25</f>
        <v>26010</v>
      </c>
      <c r="O23" s="9">
        <f>'BR OBS'!O25</f>
        <v>28861</v>
      </c>
      <c r="P23" s="9">
        <f>'BR OBS'!P25</f>
        <v>173514</v>
      </c>
      <c r="Q23" s="9">
        <f>'BR OBS'!Q25</f>
        <v>27500</v>
      </c>
      <c r="R23" s="9">
        <f>'BR OBS'!R25</f>
        <v>201180</v>
      </c>
      <c r="S23" s="9">
        <f>'BR OBS'!S25</f>
        <v>130011</v>
      </c>
      <c r="T23" s="9">
        <f>'BR OBS'!T25</f>
        <v>39565</v>
      </c>
      <c r="U23" s="9">
        <f>'BR OBS'!U25</f>
        <v>38465</v>
      </c>
      <c r="V23" s="9">
        <f>'BR OBS'!V25</f>
        <v>18079</v>
      </c>
      <c r="W23" s="9">
        <f>'BR OBS'!W25</f>
        <v>21015</v>
      </c>
      <c r="X23" s="9"/>
      <c r="Y23" s="9">
        <f>'BR SA'!B25</f>
        <v>10383</v>
      </c>
      <c r="Z23" s="9">
        <f>'BR SA'!C25</f>
        <v>44011</v>
      </c>
      <c r="AA23" s="9">
        <f>'BR SA'!D25</f>
        <v>1406</v>
      </c>
      <c r="AB23" s="9">
        <f>'BR SA'!E25</f>
        <v>26495</v>
      </c>
      <c r="AC23" s="9">
        <f>'BR SA'!F25</f>
        <v>4388</v>
      </c>
      <c r="AD23" s="9">
        <f>'BR SA'!G25</f>
        <v>11659</v>
      </c>
      <c r="AE23" s="9">
        <f>'BR SA'!H25</f>
        <v>117327</v>
      </c>
      <c r="AF23" s="9">
        <f>'BR SA'!I25</f>
        <v>15289</v>
      </c>
      <c r="AG23" s="9">
        <f>'BR SA'!J25</f>
        <v>5956</v>
      </c>
      <c r="AH23" s="9">
        <f>'BR SA'!K25</f>
        <v>6058</v>
      </c>
      <c r="AI23" s="9">
        <f>'BR SA'!L25</f>
        <v>17007</v>
      </c>
      <c r="AJ23" s="9">
        <f>'BR SA'!M25</f>
        <v>17845</v>
      </c>
      <c r="AK23" s="9">
        <f>'BR SA'!N25</f>
        <v>25160</v>
      </c>
      <c r="AL23" s="9">
        <f>'BR SA'!O25</f>
        <v>29144</v>
      </c>
      <c r="AM23" s="9">
        <f>'BR SA'!P25</f>
        <v>172243</v>
      </c>
      <c r="AN23" s="9">
        <f>'BR SA'!Q25</f>
        <v>199797</v>
      </c>
      <c r="AO23" s="9">
        <f>'BR SA'!R25</f>
        <v>126223</v>
      </c>
      <c r="AP23" s="9">
        <f>'BR SA'!S25</f>
        <v>38430</v>
      </c>
      <c r="AQ23" s="9">
        <f>'BR SA'!T25</f>
        <v>38797</v>
      </c>
      <c r="AR23" s="9">
        <f>'BR SA'!U25</f>
        <v>19125</v>
      </c>
      <c r="AS23" s="9">
        <f>'BR SA'!V25</f>
        <v>20607</v>
      </c>
      <c r="AU23" s="9">
        <v>10383</v>
      </c>
      <c r="AV23" s="9">
        <v>44012</v>
      </c>
      <c r="AW23" s="9">
        <v>1406</v>
      </c>
      <c r="AX23" s="9">
        <v>26495</v>
      </c>
      <c r="AY23" s="9">
        <v>4388</v>
      </c>
      <c r="AZ23" s="9">
        <v>11703</v>
      </c>
      <c r="BA23" s="9">
        <v>117327</v>
      </c>
      <c r="BB23" s="9">
        <v>15289</v>
      </c>
      <c r="BC23" s="9">
        <v>5956</v>
      </c>
      <c r="BD23" s="9">
        <v>6058</v>
      </c>
      <c r="BE23" s="9">
        <v>17007</v>
      </c>
      <c r="BF23" s="9">
        <v>17724</v>
      </c>
      <c r="BG23" s="9">
        <v>25174</v>
      </c>
      <c r="BH23" s="9">
        <v>29114</v>
      </c>
      <c r="BI23" s="9">
        <v>172243</v>
      </c>
      <c r="BJ23" s="9">
        <v>27554</v>
      </c>
      <c r="BK23" s="9">
        <v>199797</v>
      </c>
      <c r="BL23" s="9">
        <v>126223</v>
      </c>
      <c r="BM23" s="9">
        <v>38455</v>
      </c>
      <c r="BN23" s="9">
        <v>38796</v>
      </c>
      <c r="BO23" s="9">
        <v>19125</v>
      </c>
      <c r="BP23" s="9">
        <v>20607</v>
      </c>
      <c r="BQ23" s="4"/>
      <c r="BR23" s="5">
        <f t="shared" si="0"/>
        <v>0</v>
      </c>
      <c r="CB23">
        <v>199692</v>
      </c>
    </row>
    <row r="24" spans="1:80" x14ac:dyDescent="0.25">
      <c r="A24" s="8">
        <v>36892</v>
      </c>
      <c r="B24" s="9">
        <f>'BR OBS'!B26</f>
        <v>12082</v>
      </c>
      <c r="C24" s="9">
        <f>'BR OBS'!C26</f>
        <v>41441</v>
      </c>
      <c r="D24" s="9">
        <f>'BR OBS'!D26</f>
        <v>1264</v>
      </c>
      <c r="E24" s="9">
        <f>'BR OBS'!E26</f>
        <v>24188</v>
      </c>
      <c r="F24" s="9">
        <f>'BR OBS'!F26</f>
        <v>4405</v>
      </c>
      <c r="G24" s="9">
        <f>'BR OBS'!G26</f>
        <v>11378</v>
      </c>
      <c r="H24" s="9">
        <f>'BR OBS'!H26</f>
        <v>113142</v>
      </c>
      <c r="I24" s="9">
        <f>'BR OBS'!I26</f>
        <v>14275</v>
      </c>
      <c r="J24" s="9">
        <f>'BR OBS'!J26</f>
        <v>5478</v>
      </c>
      <c r="K24" s="9">
        <f>'BR OBS'!K26</f>
        <v>5973</v>
      </c>
      <c r="L24" s="9">
        <f>'BR OBS'!L26</f>
        <v>15745</v>
      </c>
      <c r="M24" s="9">
        <f>'BR OBS'!M26</f>
        <v>17536</v>
      </c>
      <c r="N24" s="9">
        <f>'BR OBS'!N26</f>
        <v>23929</v>
      </c>
      <c r="O24" s="9">
        <f>'BR OBS'!O26</f>
        <v>29155</v>
      </c>
      <c r="P24" s="9">
        <f>'BR OBS'!P26</f>
        <v>166540</v>
      </c>
      <c r="Q24" s="9">
        <f>'BR OBS'!Q26</f>
        <v>27604</v>
      </c>
      <c r="R24" s="9">
        <f>'BR OBS'!R26</f>
        <v>194326</v>
      </c>
      <c r="S24" s="9">
        <f>'BR OBS'!S26</f>
        <v>123094</v>
      </c>
      <c r="T24" s="9">
        <f>'BR OBS'!T26</f>
        <v>38350</v>
      </c>
      <c r="U24" s="9">
        <f>'BR OBS'!U26</f>
        <v>38563</v>
      </c>
      <c r="V24" s="9">
        <f>'BR OBS'!V26</f>
        <v>18628</v>
      </c>
      <c r="W24" s="9">
        <f>'BR OBS'!W26</f>
        <v>20019</v>
      </c>
      <c r="X24" s="9"/>
      <c r="Y24" s="9">
        <f>'BR SA'!B26</f>
        <v>10708</v>
      </c>
      <c r="Z24" s="9">
        <f>'BR SA'!C26</f>
        <v>44294</v>
      </c>
      <c r="AA24" s="9">
        <f>'BR SA'!D26</f>
        <v>1312</v>
      </c>
      <c r="AB24" s="9">
        <f>'BR SA'!E26</f>
        <v>26715</v>
      </c>
      <c r="AC24" s="9">
        <f>'BR SA'!F26</f>
        <v>4349</v>
      </c>
      <c r="AD24" s="9">
        <f>'BR SA'!G26</f>
        <v>11822</v>
      </c>
      <c r="AE24" s="9">
        <f>'BR SA'!H26</f>
        <v>116828</v>
      </c>
      <c r="AF24" s="9">
        <f>'BR SA'!I26</f>
        <v>15260</v>
      </c>
      <c r="AG24" s="9">
        <f>'BR SA'!J26</f>
        <v>5930</v>
      </c>
      <c r="AH24" s="9">
        <f>'BR SA'!K26</f>
        <v>6140</v>
      </c>
      <c r="AI24" s="9">
        <f>'BR SA'!L26</f>
        <v>16931</v>
      </c>
      <c r="AJ24" s="9">
        <f>'BR SA'!M26</f>
        <v>17531</v>
      </c>
      <c r="AK24" s="9">
        <f>'BR SA'!N26</f>
        <v>24776</v>
      </c>
      <c r="AL24" s="9">
        <f>'BR SA'!O26</f>
        <v>29307</v>
      </c>
      <c r="AM24" s="9">
        <f>'BR SA'!P26</f>
        <v>172159</v>
      </c>
      <c r="AN24" s="9">
        <f>'BR SA'!Q26</f>
        <v>200537</v>
      </c>
      <c r="AO24" s="9">
        <f>'BR SA'!R26</f>
        <v>126633</v>
      </c>
      <c r="AP24" s="9">
        <f>'BR SA'!S26</f>
        <v>39311</v>
      </c>
      <c r="AQ24" s="9">
        <f>'BR SA'!T26</f>
        <v>39450</v>
      </c>
      <c r="AR24" s="9">
        <f>'BR SA'!U26</f>
        <v>19643</v>
      </c>
      <c r="AS24" s="9">
        <f>'BR SA'!V26</f>
        <v>21412</v>
      </c>
      <c r="AU24" s="9">
        <v>10708</v>
      </c>
      <c r="AV24" s="9">
        <v>44295</v>
      </c>
      <c r="AW24" s="9">
        <v>1312</v>
      </c>
      <c r="AX24" s="9">
        <v>26715</v>
      </c>
      <c r="AY24" s="9">
        <v>4349</v>
      </c>
      <c r="AZ24" s="9">
        <v>11822</v>
      </c>
      <c r="BA24" s="9">
        <v>116828</v>
      </c>
      <c r="BB24" s="9">
        <v>15259</v>
      </c>
      <c r="BC24" s="9">
        <v>5931</v>
      </c>
      <c r="BD24" s="9">
        <v>6141</v>
      </c>
      <c r="BE24" s="9">
        <v>16931</v>
      </c>
      <c r="BF24" s="9">
        <v>17651</v>
      </c>
      <c r="BG24" s="9">
        <v>24748</v>
      </c>
      <c r="BH24" s="9">
        <v>29339</v>
      </c>
      <c r="BI24" s="9">
        <v>172159</v>
      </c>
      <c r="BJ24" s="9">
        <v>28227</v>
      </c>
      <c r="BK24" s="9">
        <v>200537</v>
      </c>
      <c r="BL24" s="9">
        <v>126633</v>
      </c>
      <c r="BM24" s="9">
        <v>39283</v>
      </c>
      <c r="BN24" s="9">
        <v>39450</v>
      </c>
      <c r="BO24" s="9">
        <v>19643</v>
      </c>
      <c r="BP24" s="9">
        <v>21412</v>
      </c>
      <c r="BQ24" s="4"/>
      <c r="BR24" s="5">
        <f t="shared" si="0"/>
        <v>0</v>
      </c>
      <c r="CB24">
        <v>200601</v>
      </c>
    </row>
    <row r="25" spans="1:80" x14ac:dyDescent="0.25">
      <c r="A25" s="8">
        <v>36982</v>
      </c>
      <c r="B25" s="9">
        <f>'BR OBS'!B27</f>
        <v>11932</v>
      </c>
      <c r="C25" s="9">
        <f>'BR OBS'!C27</f>
        <v>43424</v>
      </c>
      <c r="D25" s="9">
        <f>'BR OBS'!D27</f>
        <v>1282</v>
      </c>
      <c r="E25" s="9">
        <f>'BR OBS'!E27</f>
        <v>26428</v>
      </c>
      <c r="F25" s="9">
        <f>'BR OBS'!F27</f>
        <v>4174</v>
      </c>
      <c r="G25" s="9">
        <f>'BR OBS'!G27</f>
        <v>11472</v>
      </c>
      <c r="H25" s="9">
        <f>'BR OBS'!H27</f>
        <v>116478</v>
      </c>
      <c r="I25" s="9">
        <f>'BR OBS'!I27</f>
        <v>15135</v>
      </c>
      <c r="J25" s="9">
        <f>'BR OBS'!J27</f>
        <v>5892</v>
      </c>
      <c r="K25" s="9">
        <f>'BR OBS'!K27</f>
        <v>6177</v>
      </c>
      <c r="L25" s="9">
        <f>'BR OBS'!L27</f>
        <v>15322</v>
      </c>
      <c r="M25" s="9">
        <f>'BR OBS'!M27</f>
        <v>17730</v>
      </c>
      <c r="N25" s="9">
        <f>'BR OBS'!N27</f>
        <v>24977</v>
      </c>
      <c r="O25" s="9">
        <f>'BR OBS'!O27</f>
        <v>29905</v>
      </c>
      <c r="P25" s="9">
        <f>'BR OBS'!P27</f>
        <v>171791</v>
      </c>
      <c r="Q25" s="9">
        <f>'BR OBS'!Q27</f>
        <v>27171</v>
      </c>
      <c r="R25" s="9">
        <f>'BR OBS'!R27</f>
        <v>199123</v>
      </c>
      <c r="S25" s="9">
        <f>'BR OBS'!S27</f>
        <v>125609</v>
      </c>
      <c r="T25" s="9">
        <f>'BR OBS'!T27</f>
        <v>39229</v>
      </c>
      <c r="U25" s="9">
        <f>'BR OBS'!U27</f>
        <v>38914</v>
      </c>
      <c r="V25" s="9">
        <f>'BR OBS'!V27</f>
        <v>20873</v>
      </c>
      <c r="W25" s="9">
        <f>'BR OBS'!W27</f>
        <v>20422</v>
      </c>
      <c r="X25" s="9"/>
      <c r="Y25" s="9">
        <f>'BR SA'!B27</f>
        <v>10729</v>
      </c>
      <c r="Z25" s="9">
        <f>'BR SA'!C27</f>
        <v>43489</v>
      </c>
      <c r="AA25" s="9">
        <f>'BR SA'!D27</f>
        <v>1327</v>
      </c>
      <c r="AB25" s="9">
        <f>'BR SA'!E27</f>
        <v>26211</v>
      </c>
      <c r="AC25" s="9">
        <f>'BR SA'!F27</f>
        <v>4222</v>
      </c>
      <c r="AD25" s="9">
        <f>'BR SA'!G27</f>
        <v>11607</v>
      </c>
      <c r="AE25" s="9">
        <f>'BR SA'!H27</f>
        <v>118034</v>
      </c>
      <c r="AF25" s="9">
        <f>'BR SA'!I27</f>
        <v>15149</v>
      </c>
      <c r="AG25" s="9">
        <f>'BR SA'!J27</f>
        <v>5943</v>
      </c>
      <c r="AH25" s="9">
        <f>'BR SA'!K27</f>
        <v>6248</v>
      </c>
      <c r="AI25" s="9">
        <f>'BR SA'!L27</f>
        <v>17039</v>
      </c>
      <c r="AJ25" s="9">
        <f>'BR SA'!M27</f>
        <v>17744</v>
      </c>
      <c r="AK25" s="9">
        <f>'BR SA'!N27</f>
        <v>25294</v>
      </c>
      <c r="AL25" s="9">
        <f>'BR SA'!O27</f>
        <v>29640</v>
      </c>
      <c r="AM25" s="9">
        <f>'BR SA'!P27</f>
        <v>172053</v>
      </c>
      <c r="AN25" s="9">
        <f>'BR SA'!Q27</f>
        <v>199529</v>
      </c>
      <c r="AO25" s="9">
        <f>'BR SA'!R27</f>
        <v>126916</v>
      </c>
      <c r="AP25" s="9">
        <f>'BR SA'!S27</f>
        <v>39385</v>
      </c>
      <c r="AQ25" s="9">
        <f>'BR SA'!T27</f>
        <v>38591</v>
      </c>
      <c r="AR25" s="9">
        <f>'BR SA'!U27</f>
        <v>20633</v>
      </c>
      <c r="AS25" s="9">
        <f>'BR SA'!V27</f>
        <v>20636</v>
      </c>
      <c r="AU25" s="9">
        <v>10729</v>
      </c>
      <c r="AV25" s="9">
        <v>43489</v>
      </c>
      <c r="AW25" s="9">
        <v>1326</v>
      </c>
      <c r="AX25" s="9">
        <v>26210</v>
      </c>
      <c r="AY25" s="9">
        <v>4222</v>
      </c>
      <c r="AZ25" s="9">
        <v>11607</v>
      </c>
      <c r="BA25" s="9">
        <v>118034</v>
      </c>
      <c r="BB25" s="9">
        <v>15149</v>
      </c>
      <c r="BC25" s="9">
        <v>5943</v>
      </c>
      <c r="BD25" s="9">
        <v>6248</v>
      </c>
      <c r="BE25" s="9">
        <v>17039</v>
      </c>
      <c r="BF25" s="9">
        <v>17735</v>
      </c>
      <c r="BG25" s="9">
        <v>25311</v>
      </c>
      <c r="BH25" s="9">
        <v>29637</v>
      </c>
      <c r="BI25" s="9">
        <v>172052</v>
      </c>
      <c r="BJ25" s="9">
        <v>27189</v>
      </c>
      <c r="BK25" s="9">
        <v>199529</v>
      </c>
      <c r="BL25" s="9">
        <v>126917</v>
      </c>
      <c r="BM25" s="9">
        <v>39389</v>
      </c>
      <c r="BN25" s="9">
        <v>38591</v>
      </c>
      <c r="BO25" s="9">
        <v>20633</v>
      </c>
      <c r="BP25" s="9">
        <v>20636</v>
      </c>
      <c r="BQ25" s="4"/>
      <c r="BR25" s="5">
        <f t="shared" si="0"/>
        <v>0</v>
      </c>
      <c r="CB25">
        <v>199548</v>
      </c>
    </row>
    <row r="26" spans="1:80" x14ac:dyDescent="0.25">
      <c r="A26" s="8">
        <v>37073</v>
      </c>
      <c r="B26" s="9">
        <f>'BR OBS'!B28</f>
        <v>11362</v>
      </c>
      <c r="C26" s="9">
        <f>'BR OBS'!C28</f>
        <v>44071</v>
      </c>
      <c r="D26" s="9">
        <f>'BR OBS'!D28</f>
        <v>1393</v>
      </c>
      <c r="E26" s="9">
        <f>'BR OBS'!E28</f>
        <v>27446</v>
      </c>
      <c r="F26" s="9">
        <f>'BR OBS'!F28</f>
        <v>3668</v>
      </c>
      <c r="G26" s="9">
        <f>'BR OBS'!G28</f>
        <v>11556</v>
      </c>
      <c r="H26" s="9">
        <f>'BR OBS'!H28</f>
        <v>119741</v>
      </c>
      <c r="I26" s="9">
        <f>'BR OBS'!I28</f>
        <v>15505</v>
      </c>
      <c r="J26" s="9">
        <f>'BR OBS'!J28</f>
        <v>6201</v>
      </c>
      <c r="K26" s="9">
        <f>'BR OBS'!K28</f>
        <v>6273</v>
      </c>
      <c r="L26" s="9">
        <f>'BR OBS'!L28</f>
        <v>18265</v>
      </c>
      <c r="M26" s="9">
        <f>'BR OBS'!M28</f>
        <v>17797</v>
      </c>
      <c r="N26" s="9">
        <f>'BR OBS'!N28</f>
        <v>25241</v>
      </c>
      <c r="O26" s="9">
        <f>'BR OBS'!O28</f>
        <v>29974</v>
      </c>
      <c r="P26" s="9">
        <f>'BR OBS'!P28</f>
        <v>175196</v>
      </c>
      <c r="Q26" s="9">
        <f>'BR OBS'!Q28</f>
        <v>27117</v>
      </c>
      <c r="R26" s="9">
        <f>'BR OBS'!R28</f>
        <v>202464</v>
      </c>
      <c r="S26" s="9">
        <f>'BR OBS'!S28</f>
        <v>123497</v>
      </c>
      <c r="T26" s="9">
        <f>'BR OBS'!T28</f>
        <v>39377</v>
      </c>
      <c r="U26" s="9">
        <f>'BR OBS'!U28</f>
        <v>38706</v>
      </c>
      <c r="V26" s="9">
        <f>'BR OBS'!V28</f>
        <v>20988</v>
      </c>
      <c r="W26" s="9">
        <f>'BR OBS'!W28</f>
        <v>19648</v>
      </c>
      <c r="X26" s="9"/>
      <c r="Y26" s="9">
        <f>'BR SA'!B28</f>
        <v>10972</v>
      </c>
      <c r="Z26" s="9">
        <f>'BR SA'!C28</f>
        <v>42107</v>
      </c>
      <c r="AA26" s="9">
        <f>'BR SA'!D28</f>
        <v>1351</v>
      </c>
      <c r="AB26" s="9">
        <f>'BR SA'!E28</f>
        <v>25802</v>
      </c>
      <c r="AC26" s="9">
        <f>'BR SA'!F28</f>
        <v>3703</v>
      </c>
      <c r="AD26" s="9">
        <f>'BR SA'!G28</f>
        <v>11150</v>
      </c>
      <c r="AE26" s="9">
        <f>'BR SA'!H28</f>
        <v>118124</v>
      </c>
      <c r="AF26" s="9">
        <f>'BR SA'!I28</f>
        <v>15009</v>
      </c>
      <c r="AG26" s="9">
        <f>'BR SA'!J28</f>
        <v>5951</v>
      </c>
      <c r="AH26" s="9">
        <f>'BR SA'!K28</f>
        <v>6300</v>
      </c>
      <c r="AI26" s="9">
        <f>'BR SA'!L28</f>
        <v>17174</v>
      </c>
      <c r="AJ26" s="9">
        <f>'BR SA'!M28</f>
        <v>17862</v>
      </c>
      <c r="AK26" s="9">
        <f>'BR SA'!N28</f>
        <v>25047</v>
      </c>
      <c r="AL26" s="9">
        <f>'BR SA'!O28</f>
        <v>29936</v>
      </c>
      <c r="AM26" s="9">
        <f>'BR SA'!P28</f>
        <v>171498</v>
      </c>
      <c r="AN26" s="9">
        <f>'BR SA'!Q28</f>
        <v>198510</v>
      </c>
      <c r="AO26" s="9">
        <f>'BR SA'!R28</f>
        <v>122894</v>
      </c>
      <c r="AP26" s="9">
        <f>'BR SA'!S28</f>
        <v>39402</v>
      </c>
      <c r="AQ26" s="9">
        <f>'BR SA'!T28</f>
        <v>37942</v>
      </c>
      <c r="AR26" s="9">
        <f>'BR SA'!U28</f>
        <v>20103</v>
      </c>
      <c r="AS26" s="9">
        <f>'BR SA'!V28</f>
        <v>18957</v>
      </c>
      <c r="AU26" s="9">
        <v>10971</v>
      </c>
      <c r="AV26" s="9">
        <v>42107</v>
      </c>
      <c r="AW26" s="9">
        <v>1351</v>
      </c>
      <c r="AX26" s="9">
        <v>25803</v>
      </c>
      <c r="AY26" s="9">
        <v>3703</v>
      </c>
      <c r="AZ26" s="9">
        <v>11189</v>
      </c>
      <c r="BA26" s="9">
        <v>118124</v>
      </c>
      <c r="BB26" s="9">
        <v>15009</v>
      </c>
      <c r="BC26" s="9">
        <v>5951</v>
      </c>
      <c r="BD26" s="9">
        <v>6300</v>
      </c>
      <c r="BE26" s="9">
        <v>17173</v>
      </c>
      <c r="BF26" s="9">
        <v>17783</v>
      </c>
      <c r="BG26" s="9">
        <v>25069</v>
      </c>
      <c r="BH26" s="9">
        <v>29909</v>
      </c>
      <c r="BI26" s="9">
        <v>171499</v>
      </c>
      <c r="BJ26" s="9">
        <v>26772</v>
      </c>
      <c r="BK26" s="9">
        <v>198510</v>
      </c>
      <c r="BL26" s="9">
        <v>122894</v>
      </c>
      <c r="BM26" s="9">
        <v>39404</v>
      </c>
      <c r="BN26" s="9">
        <v>37941</v>
      </c>
      <c r="BO26" s="9">
        <v>20103</v>
      </c>
      <c r="BP26" s="9">
        <v>18957</v>
      </c>
      <c r="BQ26" s="4"/>
      <c r="BR26" s="5">
        <f t="shared" si="0"/>
        <v>-9.1141086401749904E-5</v>
      </c>
      <c r="CB26">
        <v>198532</v>
      </c>
    </row>
    <row r="27" spans="1:80" x14ac:dyDescent="0.25">
      <c r="A27" s="8">
        <v>37165</v>
      </c>
      <c r="B27" s="9">
        <f>'BR OBS'!B29</f>
        <v>8339</v>
      </c>
      <c r="C27" s="9">
        <f>'BR OBS'!C29</f>
        <v>43164</v>
      </c>
      <c r="D27" s="9">
        <f>'BR OBS'!D29</f>
        <v>1467</v>
      </c>
      <c r="E27" s="9">
        <f>'BR OBS'!E29</f>
        <v>26622</v>
      </c>
      <c r="F27" s="9">
        <f>'BR OBS'!F29</f>
        <v>3722</v>
      </c>
      <c r="G27" s="9">
        <f>'BR OBS'!G29</f>
        <v>11231</v>
      </c>
      <c r="H27" s="9">
        <f>'BR OBS'!H29</f>
        <v>121730</v>
      </c>
      <c r="I27" s="9">
        <f>'BR OBS'!I29</f>
        <v>15240</v>
      </c>
      <c r="J27" s="9">
        <f>'BR OBS'!J29</f>
        <v>6268</v>
      </c>
      <c r="K27" s="9">
        <f>'BR OBS'!K29</f>
        <v>6628</v>
      </c>
      <c r="L27" s="9">
        <f>'BR OBS'!L29</f>
        <v>19228</v>
      </c>
      <c r="M27" s="9">
        <f>'BR OBS'!M29</f>
        <v>18103</v>
      </c>
      <c r="N27" s="9">
        <f>'BR OBS'!N29</f>
        <v>25949</v>
      </c>
      <c r="O27" s="9">
        <f>'BR OBS'!O29</f>
        <v>29849</v>
      </c>
      <c r="P27" s="9">
        <f>'BR OBS'!P29</f>
        <v>173502</v>
      </c>
      <c r="Q27" s="9">
        <f>'BR OBS'!Q29</f>
        <v>26465</v>
      </c>
      <c r="R27" s="9">
        <f>'BR OBS'!R29</f>
        <v>200110</v>
      </c>
      <c r="S27" s="9">
        <f>'BR OBS'!S29</f>
        <v>127605</v>
      </c>
      <c r="T27" s="9">
        <f>'BR OBS'!T29</f>
        <v>40988</v>
      </c>
      <c r="U27" s="9">
        <f>'BR OBS'!U29</f>
        <v>35603</v>
      </c>
      <c r="V27" s="9">
        <f>'BR OBS'!V29</f>
        <v>19845</v>
      </c>
      <c r="W27" s="9">
        <f>'BR OBS'!W29</f>
        <v>18390</v>
      </c>
      <c r="X27" s="9"/>
      <c r="Y27" s="9">
        <f>'BR SA'!B29</f>
        <v>11542</v>
      </c>
      <c r="Z27" s="9">
        <f>'BR SA'!C29</f>
        <v>42107</v>
      </c>
      <c r="AA27" s="9">
        <f>'BR SA'!D29</f>
        <v>1413</v>
      </c>
      <c r="AB27" s="9">
        <f>'BR SA'!E29</f>
        <v>25874</v>
      </c>
      <c r="AC27" s="9">
        <f>'BR SA'!F29</f>
        <v>3691</v>
      </c>
      <c r="AD27" s="9">
        <f>'BR SA'!G29</f>
        <v>11079</v>
      </c>
      <c r="AE27" s="9">
        <f>'BR SA'!H29</f>
        <v>118405</v>
      </c>
      <c r="AF27" s="9">
        <f>'BR SA'!I29</f>
        <v>14777</v>
      </c>
      <c r="AG27" s="9">
        <f>'BR SA'!J29</f>
        <v>6036</v>
      </c>
      <c r="AH27" s="9">
        <f>'BR SA'!K29</f>
        <v>6364</v>
      </c>
      <c r="AI27" s="9">
        <f>'BR SA'!L29</f>
        <v>17443</v>
      </c>
      <c r="AJ27" s="9">
        <f>'BR SA'!M29</f>
        <v>18021</v>
      </c>
      <c r="AK27" s="9">
        <f>'BR SA'!N29</f>
        <v>25011</v>
      </c>
      <c r="AL27" s="9">
        <f>'BR SA'!O29</f>
        <v>30051</v>
      </c>
      <c r="AM27" s="9">
        <f>'BR SA'!P29</f>
        <v>171716</v>
      </c>
      <c r="AN27" s="9">
        <f>'BR SA'!Q29</f>
        <v>197954</v>
      </c>
      <c r="AO27" s="9">
        <f>'BR SA'!R29</f>
        <v>123854</v>
      </c>
      <c r="AP27" s="9">
        <f>'BR SA'!S29</f>
        <v>39855</v>
      </c>
      <c r="AQ27" s="9">
        <f>'BR SA'!T29</f>
        <v>35789</v>
      </c>
      <c r="AR27" s="9">
        <f>'BR SA'!U29</f>
        <v>19548</v>
      </c>
      <c r="AS27" s="9">
        <f>'BR SA'!V29</f>
        <v>17802</v>
      </c>
      <c r="AU27" s="9">
        <v>11542</v>
      </c>
      <c r="AV27" s="9">
        <v>42107</v>
      </c>
      <c r="AW27" s="9">
        <v>1413</v>
      </c>
      <c r="AX27" s="9">
        <v>25874</v>
      </c>
      <c r="AY27" s="9">
        <v>3690</v>
      </c>
      <c r="AZ27" s="9">
        <v>11055</v>
      </c>
      <c r="BA27" s="9">
        <v>118405</v>
      </c>
      <c r="BB27" s="9">
        <v>14778</v>
      </c>
      <c r="BC27" s="9">
        <v>6036</v>
      </c>
      <c r="BD27" s="9">
        <v>6364</v>
      </c>
      <c r="BE27" s="9">
        <v>17443</v>
      </c>
      <c r="BF27" s="9">
        <v>18019</v>
      </c>
      <c r="BG27" s="9">
        <v>24992</v>
      </c>
      <c r="BH27" s="9">
        <v>30057</v>
      </c>
      <c r="BI27" s="9">
        <v>171715</v>
      </c>
      <c r="BJ27" s="9">
        <v>26300</v>
      </c>
      <c r="BK27" s="9">
        <v>197954</v>
      </c>
      <c r="BL27" s="9">
        <v>123855</v>
      </c>
      <c r="BM27" s="9">
        <v>39877</v>
      </c>
      <c r="BN27" s="9">
        <v>35789</v>
      </c>
      <c r="BO27" s="9">
        <v>19548</v>
      </c>
      <c r="BP27" s="9">
        <v>17802</v>
      </c>
      <c r="BQ27" s="4"/>
      <c r="BR27" s="5">
        <f t="shared" si="0"/>
        <v>0</v>
      </c>
      <c r="CB27">
        <v>197899</v>
      </c>
    </row>
    <row r="28" spans="1:80" x14ac:dyDescent="0.25">
      <c r="A28" s="8">
        <v>37257</v>
      </c>
      <c r="B28" s="9">
        <f>'BR OBS'!B30</f>
        <v>12651</v>
      </c>
      <c r="C28" s="9">
        <f>'BR OBS'!C30</f>
        <v>40477</v>
      </c>
      <c r="D28" s="9">
        <f>'BR OBS'!D30</f>
        <v>1440</v>
      </c>
      <c r="E28" s="9">
        <f>'BR OBS'!E30</f>
        <v>23631</v>
      </c>
      <c r="F28" s="9">
        <f>'BR OBS'!F30</f>
        <v>3971</v>
      </c>
      <c r="G28" s="9">
        <f>'BR OBS'!G30</f>
        <v>11097</v>
      </c>
      <c r="H28" s="9">
        <f>'BR OBS'!H30</f>
        <v>116465</v>
      </c>
      <c r="I28" s="9">
        <f>'BR OBS'!I30</f>
        <v>13671</v>
      </c>
      <c r="J28" s="9">
        <f>'BR OBS'!J30</f>
        <v>5730</v>
      </c>
      <c r="K28" s="9">
        <f>'BR OBS'!K30</f>
        <v>6392</v>
      </c>
      <c r="L28" s="9">
        <f>'BR OBS'!L30</f>
        <v>16435</v>
      </c>
      <c r="M28" s="9">
        <f>'BR OBS'!M30</f>
        <v>18065</v>
      </c>
      <c r="N28" s="9">
        <f>'BR OBS'!N30</f>
        <v>24974</v>
      </c>
      <c r="O28" s="9">
        <f>'BR OBS'!O30</f>
        <v>30085</v>
      </c>
      <c r="P28" s="9">
        <f>'BR OBS'!P30</f>
        <v>169287</v>
      </c>
      <c r="Q28" s="9">
        <f>'BR OBS'!Q30</f>
        <v>25883</v>
      </c>
      <c r="R28" s="9">
        <f>'BR OBS'!R30</f>
        <v>195252</v>
      </c>
      <c r="S28" s="9">
        <f>'BR OBS'!S30</f>
        <v>123388</v>
      </c>
      <c r="T28" s="9">
        <f>'BR OBS'!T30</f>
        <v>39988</v>
      </c>
      <c r="U28" s="9">
        <f>'BR OBS'!U30</f>
        <v>35506</v>
      </c>
      <c r="V28" s="9">
        <f>'BR OBS'!V30</f>
        <v>17776</v>
      </c>
      <c r="W28" s="9">
        <f>'BR OBS'!W30</f>
        <v>16298</v>
      </c>
      <c r="X28" s="9"/>
      <c r="Y28" s="9">
        <f>'BR SA'!B30</f>
        <v>11208</v>
      </c>
      <c r="Z28" s="9">
        <f>'BR SA'!C30</f>
        <v>43848</v>
      </c>
      <c r="AA28" s="9">
        <f>'BR SA'!D30</f>
        <v>1522</v>
      </c>
      <c r="AB28" s="9">
        <f>'BR SA'!E30</f>
        <v>26219</v>
      </c>
      <c r="AC28" s="9">
        <f>'BR SA'!F30</f>
        <v>3927</v>
      </c>
      <c r="AD28" s="9">
        <f>'BR SA'!G30</f>
        <v>11507</v>
      </c>
      <c r="AE28" s="9">
        <f>'BR SA'!H30</f>
        <v>120669</v>
      </c>
      <c r="AF28" s="9">
        <f>'BR SA'!I30</f>
        <v>14551</v>
      </c>
      <c r="AG28" s="9">
        <f>'BR SA'!J30</f>
        <v>6207</v>
      </c>
      <c r="AH28" s="9">
        <f>'BR SA'!K30</f>
        <v>6588</v>
      </c>
      <c r="AI28" s="9">
        <f>'BR SA'!L30</f>
        <v>17610</v>
      </c>
      <c r="AJ28" s="9">
        <f>'BR SA'!M30</f>
        <v>18076</v>
      </c>
      <c r="AK28" s="9">
        <f>'BR SA'!N30</f>
        <v>25947</v>
      </c>
      <c r="AL28" s="9">
        <f>'BR SA'!O30</f>
        <v>30333</v>
      </c>
      <c r="AM28" s="9">
        <f>'BR SA'!P30</f>
        <v>175500</v>
      </c>
      <c r="AN28" s="9">
        <f>'BR SA'!Q30</f>
        <v>202493</v>
      </c>
      <c r="AO28" s="9">
        <f>'BR SA'!R30</f>
        <v>126828</v>
      </c>
      <c r="AP28" s="9">
        <f>'BR SA'!S30</f>
        <v>40955</v>
      </c>
      <c r="AQ28" s="9">
        <f>'BR SA'!T30</f>
        <v>36404</v>
      </c>
      <c r="AR28" s="9">
        <f>'BR SA'!U30</f>
        <v>20043</v>
      </c>
      <c r="AS28" s="9">
        <f>'BR SA'!V30</f>
        <v>17612</v>
      </c>
      <c r="AU28" s="9">
        <v>11208</v>
      </c>
      <c r="AV28" s="9">
        <v>43848</v>
      </c>
      <c r="AW28" s="9">
        <v>1522</v>
      </c>
      <c r="AX28" s="9">
        <v>26219</v>
      </c>
      <c r="AY28" s="9">
        <v>3927</v>
      </c>
      <c r="AZ28" s="9">
        <v>11573</v>
      </c>
      <c r="BA28" s="9">
        <v>120669</v>
      </c>
      <c r="BB28" s="9">
        <v>14551</v>
      </c>
      <c r="BC28" s="9">
        <v>6207</v>
      </c>
      <c r="BD28" s="9">
        <v>6588</v>
      </c>
      <c r="BE28" s="9">
        <v>17610</v>
      </c>
      <c r="BF28" s="9">
        <v>18073</v>
      </c>
      <c r="BG28" s="9">
        <v>25950</v>
      </c>
      <c r="BH28" s="9">
        <v>30315</v>
      </c>
      <c r="BI28" s="9">
        <v>175500</v>
      </c>
      <c r="BJ28" s="9">
        <v>26748</v>
      </c>
      <c r="BK28" s="9">
        <v>202493</v>
      </c>
      <c r="BL28" s="9">
        <v>126828</v>
      </c>
      <c r="BM28" s="9">
        <v>40927</v>
      </c>
      <c r="BN28" s="9">
        <v>36404</v>
      </c>
      <c r="BO28" s="9">
        <v>20044</v>
      </c>
      <c r="BP28" s="9">
        <v>17612</v>
      </c>
      <c r="BQ28" s="4"/>
      <c r="BR28" s="5">
        <f t="shared" si="0"/>
        <v>0</v>
      </c>
      <c r="CB28">
        <v>202493</v>
      </c>
    </row>
    <row r="29" spans="1:80" x14ac:dyDescent="0.25">
      <c r="A29" s="8">
        <v>37347</v>
      </c>
      <c r="B29" s="9">
        <f>'BR OBS'!B31</f>
        <v>12809</v>
      </c>
      <c r="C29" s="9">
        <f>'BR OBS'!C31</f>
        <v>44430</v>
      </c>
      <c r="D29" s="9">
        <f>'BR OBS'!D31</f>
        <v>1549</v>
      </c>
      <c r="E29" s="9">
        <f>'BR OBS'!E31</f>
        <v>26603</v>
      </c>
      <c r="F29" s="9">
        <f>'BR OBS'!F31</f>
        <v>4191</v>
      </c>
      <c r="G29" s="9">
        <f>'BR OBS'!G31</f>
        <v>11795</v>
      </c>
      <c r="H29" s="9">
        <f>'BR OBS'!H31</f>
        <v>119373</v>
      </c>
      <c r="I29" s="9">
        <f>'BR OBS'!I31</f>
        <v>14667</v>
      </c>
      <c r="J29" s="9">
        <f>'BR OBS'!J31</f>
        <v>6151</v>
      </c>
      <c r="K29" s="9">
        <f>'BR OBS'!K31</f>
        <v>6439</v>
      </c>
      <c r="L29" s="9">
        <f>'BR OBS'!L31</f>
        <v>16000</v>
      </c>
      <c r="M29" s="9">
        <f>'BR OBS'!M31</f>
        <v>18308</v>
      </c>
      <c r="N29" s="9">
        <f>'BR OBS'!N31</f>
        <v>25737</v>
      </c>
      <c r="O29" s="9">
        <f>'BR OBS'!O31</f>
        <v>30736</v>
      </c>
      <c r="P29" s="9">
        <f>'BR OBS'!P31</f>
        <v>176496</v>
      </c>
      <c r="Q29" s="9">
        <f>'BR OBS'!Q31</f>
        <v>27106</v>
      </c>
      <c r="R29" s="9">
        <f>'BR OBS'!R31</f>
        <v>203699</v>
      </c>
      <c r="S29" s="9">
        <f>'BR OBS'!S31</f>
        <v>126482</v>
      </c>
      <c r="T29" s="9">
        <f>'BR OBS'!T31</f>
        <v>40846</v>
      </c>
      <c r="U29" s="9">
        <f>'BR OBS'!U31</f>
        <v>37250</v>
      </c>
      <c r="V29" s="9">
        <f>'BR OBS'!V31</f>
        <v>18562</v>
      </c>
      <c r="W29" s="9">
        <f>'BR OBS'!W31</f>
        <v>17046</v>
      </c>
      <c r="X29" s="9"/>
      <c r="Y29" s="9">
        <f>'BR SA'!B31</f>
        <v>11474</v>
      </c>
      <c r="Z29" s="9">
        <f>'BR SA'!C31</f>
        <v>44182</v>
      </c>
      <c r="AA29" s="9">
        <f>'BR SA'!D31</f>
        <v>1570</v>
      </c>
      <c r="AB29" s="9">
        <f>'BR SA'!E31</f>
        <v>26496</v>
      </c>
      <c r="AC29" s="9">
        <f>'BR SA'!F31</f>
        <v>4235</v>
      </c>
      <c r="AD29" s="9">
        <f>'BR SA'!G31</f>
        <v>11988</v>
      </c>
      <c r="AE29" s="9">
        <f>'BR SA'!H31</f>
        <v>120510</v>
      </c>
      <c r="AF29" s="9">
        <f>'BR SA'!I31</f>
        <v>14713</v>
      </c>
      <c r="AG29" s="9">
        <f>'BR SA'!J31</f>
        <v>6139</v>
      </c>
      <c r="AH29" s="9">
        <f>'BR SA'!K31</f>
        <v>6512</v>
      </c>
      <c r="AI29" s="9">
        <f>'BR SA'!L31</f>
        <v>17646</v>
      </c>
      <c r="AJ29" s="9">
        <f>'BR SA'!M31</f>
        <v>18326</v>
      </c>
      <c r="AK29" s="9">
        <f>'BR SA'!N31</f>
        <v>26067</v>
      </c>
      <c r="AL29" s="9">
        <f>'BR SA'!O31</f>
        <v>30464</v>
      </c>
      <c r="AM29" s="9">
        <f>'BR SA'!P31</f>
        <v>176662</v>
      </c>
      <c r="AN29" s="9">
        <f>'BR SA'!Q31</f>
        <v>203674</v>
      </c>
      <c r="AO29" s="9">
        <f>'BR SA'!R31</f>
        <v>127806</v>
      </c>
      <c r="AP29" s="9">
        <f>'BR SA'!S31</f>
        <v>40970</v>
      </c>
      <c r="AQ29" s="9">
        <f>'BR SA'!T31</f>
        <v>37003</v>
      </c>
      <c r="AR29" s="9">
        <f>'BR SA'!U31</f>
        <v>18424</v>
      </c>
      <c r="AS29" s="9">
        <f>'BR SA'!V31</f>
        <v>17184</v>
      </c>
      <c r="AU29" s="9">
        <v>11475</v>
      </c>
      <c r="AV29" s="9">
        <v>44182</v>
      </c>
      <c r="AW29" s="9">
        <v>1570</v>
      </c>
      <c r="AX29" s="9">
        <v>26496</v>
      </c>
      <c r="AY29" s="9">
        <v>4235</v>
      </c>
      <c r="AZ29" s="9">
        <v>11992</v>
      </c>
      <c r="BA29" s="9">
        <v>120509</v>
      </c>
      <c r="BB29" s="9">
        <v>14713</v>
      </c>
      <c r="BC29" s="9">
        <v>6139</v>
      </c>
      <c r="BD29" s="9">
        <v>6512</v>
      </c>
      <c r="BE29" s="9">
        <v>17646</v>
      </c>
      <c r="BF29" s="9">
        <v>18317</v>
      </c>
      <c r="BG29" s="9">
        <v>26087</v>
      </c>
      <c r="BH29" s="9">
        <v>30479</v>
      </c>
      <c r="BI29" s="9">
        <v>176662</v>
      </c>
      <c r="BJ29" s="9">
        <v>26967</v>
      </c>
      <c r="BK29" s="9">
        <v>203674</v>
      </c>
      <c r="BL29" s="9">
        <v>127806</v>
      </c>
      <c r="BM29" s="9">
        <v>40975</v>
      </c>
      <c r="BN29" s="9">
        <v>37003</v>
      </c>
      <c r="BO29" s="9">
        <v>18424</v>
      </c>
      <c r="BP29" s="9">
        <v>17185</v>
      </c>
      <c r="BQ29" s="4"/>
      <c r="BR29" s="5">
        <f t="shared" si="0"/>
        <v>8.7153564580791349E-5</v>
      </c>
      <c r="CB29">
        <v>203669</v>
      </c>
    </row>
    <row r="30" spans="1:80" x14ac:dyDescent="0.25">
      <c r="A30" s="8">
        <v>37438</v>
      </c>
      <c r="B30" s="9">
        <f>'BR OBS'!B32</f>
        <v>12690</v>
      </c>
      <c r="C30" s="9">
        <f>'BR OBS'!C32</f>
        <v>46605</v>
      </c>
      <c r="D30" s="9">
        <f>'BR OBS'!D32</f>
        <v>1613</v>
      </c>
      <c r="E30" s="9">
        <f>'BR OBS'!E32</f>
        <v>28249</v>
      </c>
      <c r="F30" s="9">
        <f>'BR OBS'!F32</f>
        <v>4166</v>
      </c>
      <c r="G30" s="9">
        <f>'BR OBS'!G32</f>
        <v>12380</v>
      </c>
      <c r="H30" s="9">
        <f>'BR OBS'!H32</f>
        <v>123812</v>
      </c>
      <c r="I30" s="9">
        <f>'BR OBS'!I32</f>
        <v>15305</v>
      </c>
      <c r="J30" s="9">
        <f>'BR OBS'!J32</f>
        <v>6507</v>
      </c>
      <c r="K30" s="9">
        <f>'BR OBS'!K32</f>
        <v>6671</v>
      </c>
      <c r="L30" s="9">
        <f>'BR OBS'!L32</f>
        <v>19001</v>
      </c>
      <c r="M30" s="9">
        <f>'BR OBS'!M32</f>
        <v>18520</v>
      </c>
      <c r="N30" s="9">
        <f>'BR OBS'!N32</f>
        <v>26432</v>
      </c>
      <c r="O30" s="9">
        <f>'BR OBS'!O32</f>
        <v>30698</v>
      </c>
      <c r="P30" s="9">
        <f>'BR OBS'!P32</f>
        <v>183086</v>
      </c>
      <c r="Q30" s="9">
        <f>'BR OBS'!Q32</f>
        <v>27761</v>
      </c>
      <c r="R30" s="9">
        <f>'BR OBS'!R32</f>
        <v>210916</v>
      </c>
      <c r="S30" s="9">
        <f>'BR OBS'!S32</f>
        <v>126845</v>
      </c>
      <c r="T30" s="9">
        <f>'BR OBS'!T32</f>
        <v>41023</v>
      </c>
      <c r="U30" s="9">
        <f>'BR OBS'!U32</f>
        <v>38532</v>
      </c>
      <c r="V30" s="9">
        <f>'BR OBS'!V32</f>
        <v>25215</v>
      </c>
      <c r="W30" s="9">
        <f>'BR OBS'!W32</f>
        <v>17956</v>
      </c>
      <c r="X30" s="9"/>
      <c r="Y30" s="9">
        <f>'BR SA'!B32</f>
        <v>12280</v>
      </c>
      <c r="Z30" s="9">
        <f>'BR SA'!C32</f>
        <v>44574</v>
      </c>
      <c r="AA30" s="9">
        <f>'BR SA'!D32</f>
        <v>1564</v>
      </c>
      <c r="AB30" s="9">
        <f>'BR SA'!E32</f>
        <v>26525</v>
      </c>
      <c r="AC30" s="9">
        <f>'BR SA'!F32</f>
        <v>4194</v>
      </c>
      <c r="AD30" s="9">
        <f>'BR SA'!G32</f>
        <v>11954</v>
      </c>
      <c r="AE30" s="9">
        <f>'BR SA'!H32</f>
        <v>122105</v>
      </c>
      <c r="AF30" s="9">
        <f>'BR SA'!I32</f>
        <v>14848</v>
      </c>
      <c r="AG30" s="9">
        <f>'BR SA'!J32</f>
        <v>6275</v>
      </c>
      <c r="AH30" s="9">
        <f>'BR SA'!K32</f>
        <v>6692</v>
      </c>
      <c r="AI30" s="9">
        <f>'BR SA'!L32</f>
        <v>17955</v>
      </c>
      <c r="AJ30" s="9">
        <f>'BR SA'!M32</f>
        <v>18568</v>
      </c>
      <c r="AK30" s="9">
        <f>'BR SA'!N32</f>
        <v>26148</v>
      </c>
      <c r="AL30" s="9">
        <f>'BR SA'!O32</f>
        <v>30583</v>
      </c>
      <c r="AM30" s="9">
        <f>'BR SA'!P32</f>
        <v>178763</v>
      </c>
      <c r="AN30" s="9">
        <f>'BR SA'!Q32</f>
        <v>206167</v>
      </c>
      <c r="AO30" s="9">
        <f>'BR SA'!R32</f>
        <v>126348</v>
      </c>
      <c r="AP30" s="9">
        <f>'BR SA'!S32</f>
        <v>41054</v>
      </c>
      <c r="AQ30" s="9">
        <f>'BR SA'!T32</f>
        <v>37687</v>
      </c>
      <c r="AR30" s="9">
        <f>'BR SA'!U32</f>
        <v>23282</v>
      </c>
      <c r="AS30" s="9">
        <f>'BR SA'!V32</f>
        <v>17028</v>
      </c>
      <c r="AU30" s="9">
        <v>12280</v>
      </c>
      <c r="AV30" s="9">
        <v>44574</v>
      </c>
      <c r="AW30" s="9">
        <v>1564</v>
      </c>
      <c r="AX30" s="9">
        <v>26525</v>
      </c>
      <c r="AY30" s="9">
        <v>4194</v>
      </c>
      <c r="AZ30" s="9">
        <v>11921</v>
      </c>
      <c r="BA30" s="9">
        <v>122105</v>
      </c>
      <c r="BB30" s="9">
        <v>14848</v>
      </c>
      <c r="BC30" s="9">
        <v>6275</v>
      </c>
      <c r="BD30" s="9">
        <v>6693</v>
      </c>
      <c r="BE30" s="9">
        <v>17954</v>
      </c>
      <c r="BF30" s="9">
        <v>18613</v>
      </c>
      <c r="BG30" s="9">
        <v>26135</v>
      </c>
      <c r="BH30" s="9">
        <v>30589</v>
      </c>
      <c r="BI30" s="9">
        <v>178763</v>
      </c>
      <c r="BJ30" s="9">
        <v>27240</v>
      </c>
      <c r="BK30" s="9">
        <v>206167</v>
      </c>
      <c r="BL30" s="9">
        <v>126348</v>
      </c>
      <c r="BM30" s="9">
        <v>41058</v>
      </c>
      <c r="BN30" s="9">
        <v>37688</v>
      </c>
      <c r="BO30" s="9">
        <v>23281</v>
      </c>
      <c r="BP30" s="9">
        <v>17029</v>
      </c>
      <c r="BQ30" s="4"/>
      <c r="BR30" s="5">
        <f t="shared" si="0"/>
        <v>0</v>
      </c>
      <c r="CB30">
        <v>206249</v>
      </c>
    </row>
    <row r="31" spans="1:80" x14ac:dyDescent="0.25">
      <c r="A31" s="8">
        <v>37530</v>
      </c>
      <c r="B31" s="9">
        <f>'BR OBS'!B33</f>
        <v>9072</v>
      </c>
      <c r="C31" s="9">
        <f>'BR OBS'!C33</f>
        <v>47134</v>
      </c>
      <c r="D31" s="9">
        <f>'BR OBS'!D33</f>
        <v>1628</v>
      </c>
      <c r="E31" s="9">
        <f>'BR OBS'!E33</f>
        <v>28391</v>
      </c>
      <c r="F31" s="9">
        <f>'BR OBS'!F33</f>
        <v>4322</v>
      </c>
      <c r="G31" s="9">
        <f>'BR OBS'!G33</f>
        <v>12554</v>
      </c>
      <c r="H31" s="9">
        <f>'BR OBS'!H33</f>
        <v>126150</v>
      </c>
      <c r="I31" s="9">
        <f>'BR OBS'!I33</f>
        <v>15090</v>
      </c>
      <c r="J31" s="9">
        <f>'BR OBS'!J33</f>
        <v>6394</v>
      </c>
      <c r="K31" s="9">
        <f>'BR OBS'!K33</f>
        <v>7118</v>
      </c>
      <c r="L31" s="9">
        <f>'BR OBS'!L33</f>
        <v>19725</v>
      </c>
      <c r="M31" s="9">
        <f>'BR OBS'!M33</f>
        <v>19017</v>
      </c>
      <c r="N31" s="9">
        <f>'BR OBS'!N33</f>
        <v>27439</v>
      </c>
      <c r="O31" s="9">
        <f>'BR OBS'!O33</f>
        <v>30577</v>
      </c>
      <c r="P31" s="9">
        <f>'BR OBS'!P33</f>
        <v>182752</v>
      </c>
      <c r="Q31" s="9">
        <f>'BR OBS'!Q33</f>
        <v>27645</v>
      </c>
      <c r="R31" s="9">
        <f>'BR OBS'!R33</f>
        <v>210461</v>
      </c>
      <c r="S31" s="9">
        <f>'BR OBS'!S33</f>
        <v>129682</v>
      </c>
      <c r="T31" s="9">
        <f>'BR OBS'!T33</f>
        <v>42115</v>
      </c>
      <c r="U31" s="9">
        <f>'BR OBS'!U33</f>
        <v>38308</v>
      </c>
      <c r="V31" s="9">
        <f>'BR OBS'!V33</f>
        <v>23984</v>
      </c>
      <c r="W31" s="9">
        <f>'BR OBS'!W33</f>
        <v>16735</v>
      </c>
      <c r="X31" s="9"/>
      <c r="Y31" s="9">
        <f>'BR SA'!B33</f>
        <v>12629</v>
      </c>
      <c r="Z31" s="9">
        <f>'BR SA'!C33</f>
        <v>45921</v>
      </c>
      <c r="AA31" s="9">
        <f>'BR SA'!D33</f>
        <v>1573</v>
      </c>
      <c r="AB31" s="9">
        <f>'BR SA'!E33</f>
        <v>27554</v>
      </c>
      <c r="AC31" s="9">
        <f>'BR SA'!F33</f>
        <v>4285</v>
      </c>
      <c r="AD31" s="9">
        <f>'BR SA'!G33</f>
        <v>12338</v>
      </c>
      <c r="AE31" s="9">
        <f>'BR SA'!H33</f>
        <v>122835</v>
      </c>
      <c r="AF31" s="9">
        <f>'BR SA'!I33</f>
        <v>14637</v>
      </c>
      <c r="AG31" s="9">
        <f>'BR SA'!J33</f>
        <v>6185</v>
      </c>
      <c r="AH31" s="9">
        <f>'BR SA'!K33</f>
        <v>6823</v>
      </c>
      <c r="AI31" s="9">
        <f>'BR SA'!L33</f>
        <v>18029</v>
      </c>
      <c r="AJ31" s="9">
        <f>'BR SA'!M33</f>
        <v>18927</v>
      </c>
      <c r="AK31" s="9">
        <f>'BR SA'!N33</f>
        <v>26435</v>
      </c>
      <c r="AL31" s="9">
        <f>'BR SA'!O33</f>
        <v>30775</v>
      </c>
      <c r="AM31" s="9">
        <f>'BR SA'!P33</f>
        <v>180947</v>
      </c>
      <c r="AN31" s="9">
        <f>'BR SA'!Q33</f>
        <v>208251</v>
      </c>
      <c r="AO31" s="9">
        <f>'BR SA'!R33</f>
        <v>125824</v>
      </c>
      <c r="AP31" s="9">
        <f>'BR SA'!S33</f>
        <v>40998</v>
      </c>
      <c r="AQ31" s="9">
        <f>'BR SA'!T33</f>
        <v>38423</v>
      </c>
      <c r="AR31" s="9">
        <f>'BR SA'!U33</f>
        <v>23416</v>
      </c>
      <c r="AS31" s="9">
        <f>'BR SA'!V33</f>
        <v>16313</v>
      </c>
      <c r="AU31" s="9">
        <v>12629</v>
      </c>
      <c r="AV31" s="9">
        <v>45921</v>
      </c>
      <c r="AW31" s="9">
        <v>1573</v>
      </c>
      <c r="AX31" s="9">
        <v>27553</v>
      </c>
      <c r="AY31" s="9">
        <v>4285</v>
      </c>
      <c r="AZ31" s="9">
        <v>12312</v>
      </c>
      <c r="BA31" s="9">
        <v>122835</v>
      </c>
      <c r="BB31" s="9">
        <v>14636</v>
      </c>
      <c r="BC31" s="9">
        <v>6186</v>
      </c>
      <c r="BD31" s="9">
        <v>6823</v>
      </c>
      <c r="BE31" s="9">
        <v>18029</v>
      </c>
      <c r="BF31" s="9">
        <v>18924</v>
      </c>
      <c r="BG31" s="9">
        <v>26413</v>
      </c>
      <c r="BH31" s="9">
        <v>30775</v>
      </c>
      <c r="BI31" s="9">
        <v>180946</v>
      </c>
      <c r="BJ31" s="9">
        <v>27427</v>
      </c>
      <c r="BK31" s="9">
        <v>208251</v>
      </c>
      <c r="BL31" s="9">
        <v>125824</v>
      </c>
      <c r="BM31" s="9">
        <v>41017</v>
      </c>
      <c r="BN31" s="9">
        <v>38423</v>
      </c>
      <c r="BO31" s="9">
        <v>23416</v>
      </c>
      <c r="BP31" s="9">
        <v>16312</v>
      </c>
      <c r="BQ31" s="4"/>
      <c r="BR31" s="5">
        <f t="shared" si="0"/>
        <v>0</v>
      </c>
      <c r="CB31">
        <v>208197</v>
      </c>
    </row>
    <row r="32" spans="1:80" x14ac:dyDescent="0.25">
      <c r="A32" s="8">
        <v>37622</v>
      </c>
      <c r="B32" s="9">
        <f>'BR OBS'!B34</f>
        <v>14596</v>
      </c>
      <c r="C32" s="9">
        <f>'BR OBS'!C34</f>
        <v>40505</v>
      </c>
      <c r="D32" s="9">
        <f>'BR OBS'!D34</f>
        <v>1481</v>
      </c>
      <c r="E32" s="9">
        <f>'BR OBS'!E34</f>
        <v>23012</v>
      </c>
      <c r="F32" s="9">
        <f>'BR OBS'!F34</f>
        <v>4364</v>
      </c>
      <c r="G32" s="9">
        <f>'BR OBS'!G34</f>
        <v>11012</v>
      </c>
      <c r="H32" s="9">
        <f>'BR OBS'!H34</f>
        <v>118597</v>
      </c>
      <c r="I32" s="9">
        <f>'BR OBS'!I34</f>
        <v>13729</v>
      </c>
      <c r="J32" s="9">
        <f>'BR OBS'!J34</f>
        <v>5417</v>
      </c>
      <c r="K32" s="9">
        <f>'BR OBS'!K34</f>
        <v>6583</v>
      </c>
      <c r="L32" s="9">
        <f>'BR OBS'!L34</f>
        <v>16017</v>
      </c>
      <c r="M32" s="9">
        <f>'BR OBS'!M34</f>
        <v>19296</v>
      </c>
      <c r="N32" s="9">
        <f>'BR OBS'!N34</f>
        <v>25561</v>
      </c>
      <c r="O32" s="9">
        <f>'BR OBS'!O34</f>
        <v>30730</v>
      </c>
      <c r="P32" s="9">
        <f>'BR OBS'!P34</f>
        <v>173430</v>
      </c>
      <c r="Q32" s="9">
        <f>'BR OBS'!Q34</f>
        <v>26900</v>
      </c>
      <c r="R32" s="9">
        <f>'BR OBS'!R34</f>
        <v>200460</v>
      </c>
      <c r="S32" s="9">
        <f>'BR OBS'!S34</f>
        <v>123366</v>
      </c>
      <c r="T32" s="9">
        <f>'BR OBS'!T34</f>
        <v>39688</v>
      </c>
      <c r="U32" s="9">
        <f>'BR OBS'!U34</f>
        <v>36615</v>
      </c>
      <c r="V32" s="9">
        <f>'BR OBS'!V34</f>
        <v>20382</v>
      </c>
      <c r="W32" s="9">
        <f>'BR OBS'!W34</f>
        <v>15542</v>
      </c>
      <c r="X32" s="9"/>
      <c r="Y32" s="9">
        <f>'BR SA'!B34</f>
        <v>12921</v>
      </c>
      <c r="Z32" s="9">
        <f>'BR SA'!C34</f>
        <v>43535</v>
      </c>
      <c r="AA32" s="9">
        <f>'BR SA'!D34</f>
        <v>1543</v>
      </c>
      <c r="AB32" s="9">
        <f>'BR SA'!E34</f>
        <v>25665</v>
      </c>
      <c r="AC32" s="9">
        <f>'BR SA'!F34</f>
        <v>4339</v>
      </c>
      <c r="AD32" s="9">
        <f>'BR SA'!G34</f>
        <v>11412</v>
      </c>
      <c r="AE32" s="9">
        <f>'BR SA'!H34</f>
        <v>122472</v>
      </c>
      <c r="AF32" s="9">
        <f>'BR SA'!I34</f>
        <v>14562</v>
      </c>
      <c r="AG32" s="9">
        <f>'BR SA'!J34</f>
        <v>5810</v>
      </c>
      <c r="AH32" s="9">
        <f>'BR SA'!K34</f>
        <v>6799</v>
      </c>
      <c r="AI32" s="9">
        <f>'BR SA'!L34</f>
        <v>17151</v>
      </c>
      <c r="AJ32" s="9">
        <f>'BR SA'!M34</f>
        <v>19334</v>
      </c>
      <c r="AK32" s="9">
        <f>'BR SA'!N34</f>
        <v>26575</v>
      </c>
      <c r="AL32" s="9">
        <f>'BR SA'!O34</f>
        <v>30982</v>
      </c>
      <c r="AM32" s="9">
        <f>'BR SA'!P34</f>
        <v>179736</v>
      </c>
      <c r="AN32" s="9">
        <f>'BR SA'!Q34</f>
        <v>207382</v>
      </c>
      <c r="AO32" s="9">
        <f>'BR SA'!R34</f>
        <v>126739</v>
      </c>
      <c r="AP32" s="9">
        <f>'BR SA'!S34</f>
        <v>40661</v>
      </c>
      <c r="AQ32" s="9">
        <f>'BR SA'!T34</f>
        <v>37340</v>
      </c>
      <c r="AR32" s="9">
        <f>'BR SA'!U34</f>
        <v>22846</v>
      </c>
      <c r="AS32" s="9">
        <f>'BR SA'!V34</f>
        <v>16619</v>
      </c>
      <c r="AU32" s="9">
        <v>12921</v>
      </c>
      <c r="AV32" s="9">
        <v>43535</v>
      </c>
      <c r="AW32" s="9">
        <v>1543</v>
      </c>
      <c r="AX32" s="9">
        <v>25665</v>
      </c>
      <c r="AY32" s="9">
        <v>4339</v>
      </c>
      <c r="AZ32" s="9">
        <v>11479</v>
      </c>
      <c r="BA32" s="9">
        <v>122472</v>
      </c>
      <c r="BB32" s="9">
        <v>14562</v>
      </c>
      <c r="BC32" s="9">
        <v>5810</v>
      </c>
      <c r="BD32" s="9">
        <v>6799</v>
      </c>
      <c r="BE32" s="9">
        <v>17151</v>
      </c>
      <c r="BF32" s="9">
        <v>19331</v>
      </c>
      <c r="BG32" s="9">
        <v>26580</v>
      </c>
      <c r="BH32" s="9">
        <v>30986</v>
      </c>
      <c r="BI32" s="9">
        <v>179736</v>
      </c>
      <c r="BJ32" s="9">
        <v>27553</v>
      </c>
      <c r="BK32" s="9">
        <v>207383</v>
      </c>
      <c r="BL32" s="9">
        <v>126739</v>
      </c>
      <c r="BM32" s="9">
        <v>40634</v>
      </c>
      <c r="BN32" s="9">
        <v>37341</v>
      </c>
      <c r="BO32" s="9">
        <v>22845</v>
      </c>
      <c r="BP32" s="9">
        <v>16620</v>
      </c>
      <c r="BQ32" s="4"/>
      <c r="BR32" s="5">
        <f t="shared" si="0"/>
        <v>0</v>
      </c>
      <c r="CB32">
        <v>207350</v>
      </c>
    </row>
    <row r="33" spans="1:80" x14ac:dyDescent="0.25">
      <c r="A33" s="8">
        <v>37712</v>
      </c>
      <c r="B33" s="9">
        <f>'BR OBS'!B35</f>
        <v>14529</v>
      </c>
      <c r="C33" s="9">
        <f>'BR OBS'!C35</f>
        <v>43545</v>
      </c>
      <c r="D33" s="9">
        <f>'BR OBS'!D35</f>
        <v>1518</v>
      </c>
      <c r="E33" s="9">
        <f>'BR OBS'!E35</f>
        <v>27157</v>
      </c>
      <c r="F33" s="9">
        <f>'BR OBS'!F35</f>
        <v>4195</v>
      </c>
      <c r="G33" s="9">
        <f>'BR OBS'!G35</f>
        <v>10342</v>
      </c>
      <c r="H33" s="9">
        <f>'BR OBS'!H35</f>
        <v>120435</v>
      </c>
      <c r="I33" s="9">
        <f>'BR OBS'!I35</f>
        <v>14417</v>
      </c>
      <c r="J33" s="9">
        <f>'BR OBS'!J35</f>
        <v>5977</v>
      </c>
      <c r="K33" s="9">
        <f>'BR OBS'!K35</f>
        <v>6749</v>
      </c>
      <c r="L33" s="9">
        <f>'BR OBS'!L35</f>
        <v>15390</v>
      </c>
      <c r="M33" s="9">
        <f>'BR OBS'!M35</f>
        <v>19249</v>
      </c>
      <c r="N33" s="9">
        <f>'BR OBS'!N35</f>
        <v>25596</v>
      </c>
      <c r="O33" s="9">
        <f>'BR OBS'!O35</f>
        <v>31656</v>
      </c>
      <c r="P33" s="9">
        <f>'BR OBS'!P35</f>
        <v>178368</v>
      </c>
      <c r="Q33" s="9">
        <f>'BR OBS'!Q35</f>
        <v>26877</v>
      </c>
      <c r="R33" s="9">
        <f>'BR OBS'!R35</f>
        <v>205291</v>
      </c>
      <c r="S33" s="9">
        <f>'BR OBS'!S35</f>
        <v>123902</v>
      </c>
      <c r="T33" s="9">
        <f>'BR OBS'!T35</f>
        <v>40950</v>
      </c>
      <c r="U33" s="9">
        <f>'BR OBS'!U35</f>
        <v>34707</v>
      </c>
      <c r="V33" s="9">
        <f>'BR OBS'!V35</f>
        <v>23649</v>
      </c>
      <c r="W33" s="9">
        <f>'BR OBS'!W35</f>
        <v>16345</v>
      </c>
      <c r="X33" s="9"/>
      <c r="Y33" s="9">
        <f>'BR SA'!B35</f>
        <v>12916</v>
      </c>
      <c r="Z33" s="9">
        <f>'BR SA'!C35</f>
        <v>43868</v>
      </c>
      <c r="AA33" s="9">
        <f>'BR SA'!D35</f>
        <v>1555</v>
      </c>
      <c r="AB33" s="9">
        <f>'BR SA'!E35</f>
        <v>27147</v>
      </c>
      <c r="AC33" s="9">
        <f>'BR SA'!F35</f>
        <v>4232</v>
      </c>
      <c r="AD33" s="9">
        <f>'BR SA'!G35</f>
        <v>10554</v>
      </c>
      <c r="AE33" s="9">
        <f>'BR SA'!H35</f>
        <v>121691</v>
      </c>
      <c r="AF33" s="9">
        <f>'BR SA'!I35</f>
        <v>14454</v>
      </c>
      <c r="AG33" s="9">
        <f>'BR SA'!J35</f>
        <v>6000</v>
      </c>
      <c r="AH33" s="9">
        <f>'BR SA'!K35</f>
        <v>6831</v>
      </c>
      <c r="AI33" s="9">
        <f>'BR SA'!L35</f>
        <v>16851</v>
      </c>
      <c r="AJ33" s="9">
        <f>'BR SA'!M35</f>
        <v>19269</v>
      </c>
      <c r="AK33" s="9">
        <f>'BR SA'!N35</f>
        <v>25927</v>
      </c>
      <c r="AL33" s="9">
        <f>'BR SA'!O35</f>
        <v>31380</v>
      </c>
      <c r="AM33" s="9">
        <f>'BR SA'!P35</f>
        <v>178423</v>
      </c>
      <c r="AN33" s="9">
        <f>'BR SA'!Q35</f>
        <v>205561</v>
      </c>
      <c r="AO33" s="9">
        <f>'BR SA'!R35</f>
        <v>125210</v>
      </c>
      <c r="AP33" s="9">
        <f>'BR SA'!S35</f>
        <v>41063</v>
      </c>
      <c r="AQ33" s="9">
        <f>'BR SA'!T35</f>
        <v>34808</v>
      </c>
      <c r="AR33" s="9">
        <f>'BR SA'!U35</f>
        <v>23516</v>
      </c>
      <c r="AS33" s="9">
        <f>'BR SA'!V35</f>
        <v>16495</v>
      </c>
      <c r="AU33" s="9">
        <v>12915</v>
      </c>
      <c r="AV33" s="9">
        <v>43867</v>
      </c>
      <c r="AW33" s="9">
        <v>1556</v>
      </c>
      <c r="AX33" s="9">
        <v>27147</v>
      </c>
      <c r="AY33" s="9">
        <v>4232</v>
      </c>
      <c r="AZ33" s="9">
        <v>10557</v>
      </c>
      <c r="BA33" s="9">
        <v>121692</v>
      </c>
      <c r="BB33" s="9">
        <v>14454</v>
      </c>
      <c r="BC33" s="9">
        <v>6000</v>
      </c>
      <c r="BD33" s="9">
        <v>6831</v>
      </c>
      <c r="BE33" s="9">
        <v>16851</v>
      </c>
      <c r="BF33" s="9">
        <v>19262</v>
      </c>
      <c r="BG33" s="9">
        <v>25947</v>
      </c>
      <c r="BH33" s="9">
        <v>31386</v>
      </c>
      <c r="BI33" s="9">
        <v>178423</v>
      </c>
      <c r="BJ33" s="9">
        <v>26949</v>
      </c>
      <c r="BK33" s="9">
        <v>205562</v>
      </c>
      <c r="BL33" s="9">
        <v>125210</v>
      </c>
      <c r="BM33" s="9">
        <v>41069</v>
      </c>
      <c r="BN33" s="9">
        <v>34808</v>
      </c>
      <c r="BO33" s="9">
        <v>23516</v>
      </c>
      <c r="BP33" s="9">
        <v>16495</v>
      </c>
      <c r="BQ33" s="4"/>
      <c r="BR33" s="5">
        <f t="shared" si="0"/>
        <v>-7.7423350882626198E-5</v>
      </c>
      <c r="CB33">
        <v>205561</v>
      </c>
    </row>
    <row r="34" spans="1:80" x14ac:dyDescent="0.25">
      <c r="A34" s="8">
        <v>37803</v>
      </c>
      <c r="B34" s="9">
        <f>'BR OBS'!B36</f>
        <v>12876</v>
      </c>
      <c r="C34" s="9">
        <f>'BR OBS'!C36</f>
        <v>47493</v>
      </c>
      <c r="D34" s="9">
        <f>'BR OBS'!D36</f>
        <v>1654</v>
      </c>
      <c r="E34" s="9">
        <f>'BR OBS'!E36</f>
        <v>30425</v>
      </c>
      <c r="F34" s="9">
        <f>'BR OBS'!F36</f>
        <v>4300</v>
      </c>
      <c r="G34" s="9">
        <f>'BR OBS'!G36</f>
        <v>10891</v>
      </c>
      <c r="H34" s="9">
        <f>'BR OBS'!H36</f>
        <v>124394</v>
      </c>
      <c r="I34" s="9">
        <f>'BR OBS'!I36</f>
        <v>14820</v>
      </c>
      <c r="J34" s="9">
        <f>'BR OBS'!J36</f>
        <v>6373</v>
      </c>
      <c r="K34" s="9">
        <f>'BR OBS'!K36</f>
        <v>6792</v>
      </c>
      <c r="L34" s="9">
        <f>'BR OBS'!L36</f>
        <v>18264</v>
      </c>
      <c r="M34" s="9">
        <f>'BR OBS'!M36</f>
        <v>19012</v>
      </c>
      <c r="N34" s="9">
        <f>'BR OBS'!N36</f>
        <v>26411</v>
      </c>
      <c r="O34" s="9">
        <f>'BR OBS'!O36</f>
        <v>31775</v>
      </c>
      <c r="P34" s="9">
        <f>'BR OBS'!P36</f>
        <v>184814</v>
      </c>
      <c r="Q34" s="9">
        <f>'BR OBS'!Q36</f>
        <v>27423</v>
      </c>
      <c r="R34" s="9">
        <f>'BR OBS'!R36</f>
        <v>212237</v>
      </c>
      <c r="S34" s="9">
        <f>'BR OBS'!S36</f>
        <v>125917</v>
      </c>
      <c r="T34" s="9">
        <f>'BR OBS'!T36</f>
        <v>41846</v>
      </c>
      <c r="U34" s="9">
        <f>'BR OBS'!U36</f>
        <v>35878</v>
      </c>
      <c r="V34" s="9">
        <f>'BR OBS'!V36</f>
        <v>25611</v>
      </c>
      <c r="W34" s="9">
        <f>'BR OBS'!W36</f>
        <v>17293</v>
      </c>
      <c r="X34" s="9"/>
      <c r="Y34" s="9">
        <f>'BR SA'!B36</f>
        <v>12544</v>
      </c>
      <c r="Z34" s="9">
        <f>'BR SA'!C36</f>
        <v>45380</v>
      </c>
      <c r="AA34" s="9">
        <f>'BR SA'!D36</f>
        <v>1605</v>
      </c>
      <c r="AB34" s="9">
        <f>'BR SA'!E36</f>
        <v>28642</v>
      </c>
      <c r="AC34" s="9">
        <f>'BR SA'!F36</f>
        <v>4321</v>
      </c>
      <c r="AD34" s="9">
        <f>'BR SA'!G36</f>
        <v>10506</v>
      </c>
      <c r="AE34" s="9">
        <f>'BR SA'!H36</f>
        <v>122798</v>
      </c>
      <c r="AF34" s="9">
        <f>'BR SA'!I36</f>
        <v>14432</v>
      </c>
      <c r="AG34" s="9">
        <f>'BR SA'!J36</f>
        <v>6176</v>
      </c>
      <c r="AH34" s="9">
        <f>'BR SA'!K36</f>
        <v>6812</v>
      </c>
      <c r="AI34" s="9">
        <f>'BR SA'!L36</f>
        <v>17338</v>
      </c>
      <c r="AJ34" s="9">
        <f>'BR SA'!M36</f>
        <v>19032</v>
      </c>
      <c r="AK34" s="9">
        <f>'BR SA'!N36</f>
        <v>26122</v>
      </c>
      <c r="AL34" s="9">
        <f>'BR SA'!O36</f>
        <v>31665</v>
      </c>
      <c r="AM34" s="9">
        <f>'BR SA'!P36</f>
        <v>180506</v>
      </c>
      <c r="AN34" s="9">
        <f>'BR SA'!Q36</f>
        <v>207520</v>
      </c>
      <c r="AO34" s="9">
        <f>'BR SA'!R36</f>
        <v>125492</v>
      </c>
      <c r="AP34" s="9">
        <f>'BR SA'!S36</f>
        <v>41874</v>
      </c>
      <c r="AQ34" s="9">
        <f>'BR SA'!T36</f>
        <v>34987</v>
      </c>
      <c r="AR34" s="9">
        <f>'BR SA'!U36</f>
        <v>23727</v>
      </c>
      <c r="AS34" s="9">
        <f>'BR SA'!V36</f>
        <v>16423</v>
      </c>
      <c r="AU34" s="9">
        <v>12543</v>
      </c>
      <c r="AV34" s="9">
        <v>45380</v>
      </c>
      <c r="AW34" s="9">
        <v>1605</v>
      </c>
      <c r="AX34" s="9">
        <v>28642</v>
      </c>
      <c r="AY34" s="9">
        <v>4322</v>
      </c>
      <c r="AZ34" s="9">
        <v>10474</v>
      </c>
      <c r="BA34" s="9">
        <v>122798</v>
      </c>
      <c r="BB34" s="9">
        <v>14431</v>
      </c>
      <c r="BC34" s="9">
        <v>6177</v>
      </c>
      <c r="BD34" s="9">
        <v>6812</v>
      </c>
      <c r="BE34" s="9">
        <v>17337</v>
      </c>
      <c r="BF34" s="9">
        <v>19078</v>
      </c>
      <c r="BG34" s="9">
        <v>26108</v>
      </c>
      <c r="BH34" s="9">
        <v>31664</v>
      </c>
      <c r="BI34" s="9">
        <v>180507</v>
      </c>
      <c r="BJ34" s="9">
        <v>26973</v>
      </c>
      <c r="BK34" s="9">
        <v>207520</v>
      </c>
      <c r="BL34" s="9">
        <v>125492</v>
      </c>
      <c r="BM34" s="9">
        <v>41878</v>
      </c>
      <c r="BN34" s="9">
        <v>34987</v>
      </c>
      <c r="BO34" s="9">
        <v>23726</v>
      </c>
      <c r="BP34" s="9">
        <v>16423</v>
      </c>
      <c r="BQ34" s="4"/>
      <c r="BR34" s="5">
        <f t="shared" si="0"/>
        <v>-7.9719387755102034E-5</v>
      </c>
      <c r="CB34">
        <v>207611</v>
      </c>
    </row>
    <row r="35" spans="1:80" x14ac:dyDescent="0.25">
      <c r="A35" s="8">
        <v>37895</v>
      </c>
      <c r="B35" s="9">
        <f>'BR OBS'!B37</f>
        <v>9142</v>
      </c>
      <c r="C35" s="9">
        <f>'BR OBS'!C37</f>
        <v>47287</v>
      </c>
      <c r="D35" s="9">
        <f>'BR OBS'!D37</f>
        <v>1862</v>
      </c>
      <c r="E35" s="9">
        <f>'BR OBS'!E37</f>
        <v>29123</v>
      </c>
      <c r="F35" s="9">
        <f>'BR OBS'!F37</f>
        <v>4411</v>
      </c>
      <c r="G35" s="9">
        <f>'BR OBS'!G37</f>
        <v>11303</v>
      </c>
      <c r="H35" s="9">
        <f>'BR OBS'!H37</f>
        <v>127191</v>
      </c>
      <c r="I35" s="9">
        <f>'BR OBS'!I37</f>
        <v>15537</v>
      </c>
      <c r="J35" s="9">
        <f>'BR OBS'!J37</f>
        <v>6458</v>
      </c>
      <c r="K35" s="9">
        <f>'BR OBS'!K37</f>
        <v>7097</v>
      </c>
      <c r="L35" s="9">
        <f>'BR OBS'!L37</f>
        <v>19198</v>
      </c>
      <c r="M35" s="9">
        <f>'BR OBS'!M37</f>
        <v>19217</v>
      </c>
      <c r="N35" s="9">
        <f>'BR OBS'!N37</f>
        <v>26961</v>
      </c>
      <c r="O35" s="9">
        <f>'BR OBS'!O37</f>
        <v>31858</v>
      </c>
      <c r="P35" s="9">
        <f>'BR OBS'!P37</f>
        <v>183740</v>
      </c>
      <c r="Q35" s="9">
        <f>'BR OBS'!Q37</f>
        <v>27890</v>
      </c>
      <c r="R35" s="9">
        <f>'BR OBS'!R37</f>
        <v>211700</v>
      </c>
      <c r="S35" s="9">
        <f>'BR OBS'!S37</f>
        <v>130447</v>
      </c>
      <c r="T35" s="9">
        <f>'BR OBS'!T37</f>
        <v>44106</v>
      </c>
      <c r="U35" s="9">
        <f>'BR OBS'!U37</f>
        <v>36434</v>
      </c>
      <c r="V35" s="9">
        <f>'BR OBS'!V37</f>
        <v>25316</v>
      </c>
      <c r="W35" s="9">
        <f>'BR OBS'!W37</f>
        <v>18527</v>
      </c>
      <c r="X35" s="9"/>
      <c r="Y35" s="9">
        <f>'BR SA'!B37</f>
        <v>12760</v>
      </c>
      <c r="Z35" s="9">
        <f>'BR SA'!C37</f>
        <v>45918</v>
      </c>
      <c r="AA35" s="9">
        <f>'BR SA'!D37</f>
        <v>1805</v>
      </c>
      <c r="AB35" s="9">
        <f>'BR SA'!E37</f>
        <v>28171</v>
      </c>
      <c r="AC35" s="9">
        <f>'BR SA'!F37</f>
        <v>4365</v>
      </c>
      <c r="AD35" s="9">
        <f>'BR SA'!G37</f>
        <v>11081</v>
      </c>
      <c r="AE35" s="9">
        <f>'BR SA'!H37</f>
        <v>124074</v>
      </c>
      <c r="AF35" s="9">
        <f>'BR SA'!I37</f>
        <v>15070</v>
      </c>
      <c r="AG35" s="9">
        <f>'BR SA'!J37</f>
        <v>6268</v>
      </c>
      <c r="AH35" s="9">
        <f>'BR SA'!K37</f>
        <v>6786</v>
      </c>
      <c r="AI35" s="9">
        <f>'BR SA'!L37</f>
        <v>17712</v>
      </c>
      <c r="AJ35" s="9">
        <f>'BR SA'!M37</f>
        <v>19126</v>
      </c>
      <c r="AK35" s="9">
        <f>'BR SA'!N37</f>
        <v>25957</v>
      </c>
      <c r="AL35" s="9">
        <f>'BR SA'!O37</f>
        <v>32058</v>
      </c>
      <c r="AM35" s="9">
        <f>'BR SA'!P37</f>
        <v>182084</v>
      </c>
      <c r="AN35" s="9">
        <f>'BR SA'!Q37</f>
        <v>209668</v>
      </c>
      <c r="AO35" s="9">
        <f>'BR SA'!R37</f>
        <v>126550</v>
      </c>
      <c r="AP35" s="9">
        <f>'BR SA'!S37</f>
        <v>42962</v>
      </c>
      <c r="AQ35" s="9">
        <f>'BR SA'!T37</f>
        <v>36479</v>
      </c>
      <c r="AR35" s="9">
        <f>'BR SA'!U37</f>
        <v>24555</v>
      </c>
      <c r="AS35" s="9">
        <f>'BR SA'!V37</f>
        <v>18140</v>
      </c>
      <c r="AU35" s="9">
        <v>12760</v>
      </c>
      <c r="AV35" s="9">
        <v>45918</v>
      </c>
      <c r="AW35" s="9">
        <v>1804</v>
      </c>
      <c r="AX35" s="9">
        <v>28171</v>
      </c>
      <c r="AY35" s="9">
        <v>4366</v>
      </c>
      <c r="AZ35" s="9">
        <v>11059</v>
      </c>
      <c r="BA35" s="9">
        <v>124074</v>
      </c>
      <c r="BB35" s="9">
        <v>15071</v>
      </c>
      <c r="BC35" s="9">
        <v>6268</v>
      </c>
      <c r="BD35" s="9">
        <v>6787</v>
      </c>
      <c r="BE35" s="9">
        <v>17712</v>
      </c>
      <c r="BF35" s="9">
        <v>19128</v>
      </c>
      <c r="BG35" s="9">
        <v>25935</v>
      </c>
      <c r="BH35" s="9">
        <v>32053</v>
      </c>
      <c r="BI35" s="9">
        <v>182084</v>
      </c>
      <c r="BJ35" s="9">
        <v>27584</v>
      </c>
      <c r="BK35" s="9">
        <v>209668</v>
      </c>
      <c r="BL35" s="9">
        <v>126551</v>
      </c>
      <c r="BM35" s="9">
        <v>42974</v>
      </c>
      <c r="BN35" s="9">
        <v>36478</v>
      </c>
      <c r="BO35" s="9">
        <v>24555</v>
      </c>
      <c r="BP35" s="9">
        <v>18140</v>
      </c>
      <c r="BQ35" s="4"/>
      <c r="BR35" s="5">
        <f t="shared" si="0"/>
        <v>0</v>
      </c>
      <c r="CB35">
        <v>209594</v>
      </c>
    </row>
    <row r="36" spans="1:80" x14ac:dyDescent="0.25">
      <c r="A36" s="8">
        <v>37987</v>
      </c>
      <c r="B36" s="9">
        <f>'BR OBS'!B38</f>
        <v>14598</v>
      </c>
      <c r="C36" s="9">
        <f>'BR OBS'!C38</f>
        <v>43493</v>
      </c>
      <c r="D36" s="9">
        <f>'BR OBS'!D38</f>
        <v>1514</v>
      </c>
      <c r="E36" s="9">
        <f>'BR OBS'!E38</f>
        <v>26278</v>
      </c>
      <c r="F36" s="9">
        <f>'BR OBS'!F38</f>
        <v>4374</v>
      </c>
      <c r="G36" s="9">
        <f>'BR OBS'!G38</f>
        <v>11093</v>
      </c>
      <c r="H36" s="9">
        <f>'BR OBS'!H38</f>
        <v>122535</v>
      </c>
      <c r="I36" s="9">
        <f>'BR OBS'!I38</f>
        <v>14824</v>
      </c>
      <c r="J36" s="9">
        <f>'BR OBS'!J38</f>
        <v>5961</v>
      </c>
      <c r="K36" s="9">
        <f>'BR OBS'!K38</f>
        <v>6659</v>
      </c>
      <c r="L36" s="9">
        <f>'BR OBS'!L38</f>
        <v>16243</v>
      </c>
      <c r="M36" s="9">
        <f>'BR OBS'!M38</f>
        <v>19430</v>
      </c>
      <c r="N36" s="9">
        <f>'BR OBS'!N38</f>
        <v>25220</v>
      </c>
      <c r="O36" s="9">
        <f>'BR OBS'!O38</f>
        <v>33050</v>
      </c>
      <c r="P36" s="9">
        <f>'BR OBS'!P38</f>
        <v>180492</v>
      </c>
      <c r="Q36" s="9">
        <f>'BR OBS'!Q38</f>
        <v>27650</v>
      </c>
      <c r="R36" s="9">
        <f>'BR OBS'!R38</f>
        <v>208234</v>
      </c>
      <c r="S36" s="9">
        <f>'BR OBS'!S38</f>
        <v>124485</v>
      </c>
      <c r="T36" s="9">
        <f>'BR OBS'!T38</f>
        <v>41136</v>
      </c>
      <c r="U36" s="9">
        <f>'BR OBS'!U38</f>
        <v>36948</v>
      </c>
      <c r="V36" s="9">
        <f>'BR OBS'!V38</f>
        <v>24101</v>
      </c>
      <c r="W36" s="9">
        <f>'BR OBS'!W38</f>
        <v>17140</v>
      </c>
      <c r="X36" s="9"/>
      <c r="Y36" s="9">
        <f>'BR SA'!B38</f>
        <v>12911</v>
      </c>
      <c r="Z36" s="9">
        <f>'BR SA'!C38</f>
        <v>46669</v>
      </c>
      <c r="AA36" s="9">
        <f>'BR SA'!D38</f>
        <v>1578</v>
      </c>
      <c r="AB36" s="9">
        <f>'BR SA'!E38</f>
        <v>29028</v>
      </c>
      <c r="AC36" s="9">
        <f>'BR SA'!F38</f>
        <v>4372</v>
      </c>
      <c r="AD36" s="9">
        <f>'BR SA'!G38</f>
        <v>11509</v>
      </c>
      <c r="AE36" s="9">
        <f>'BR SA'!H38</f>
        <v>124912</v>
      </c>
      <c r="AF36" s="9">
        <f>'BR SA'!I38</f>
        <v>15659</v>
      </c>
      <c r="AG36" s="9">
        <f>'BR SA'!J38</f>
        <v>6308</v>
      </c>
      <c r="AH36" s="9">
        <f>'BR SA'!K38</f>
        <v>6814</v>
      </c>
      <c r="AI36" s="9">
        <f>'BR SA'!L38</f>
        <v>17249</v>
      </c>
      <c r="AJ36" s="9">
        <f>'BR SA'!M38</f>
        <v>19492</v>
      </c>
      <c r="AK36" s="9">
        <f>'BR SA'!N38</f>
        <v>25929</v>
      </c>
      <c r="AL36" s="9">
        <f>'BR SA'!O38</f>
        <v>32917</v>
      </c>
      <c r="AM36" s="9">
        <f>'BR SA'!P38</f>
        <v>184695</v>
      </c>
      <c r="AN36" s="9">
        <f>'BR SA'!Q38</f>
        <v>212636</v>
      </c>
      <c r="AO36" s="9">
        <f>'BR SA'!R38</f>
        <v>126423</v>
      </c>
      <c r="AP36" s="9">
        <f>'BR SA'!S38</f>
        <v>42163</v>
      </c>
      <c r="AQ36" s="9">
        <f>'BR SA'!T38</f>
        <v>37757</v>
      </c>
      <c r="AR36" s="9">
        <f>'BR SA'!U38</f>
        <v>25979</v>
      </c>
      <c r="AS36" s="9">
        <f>'BR SA'!V38</f>
        <v>17887</v>
      </c>
      <c r="AU36" s="9">
        <v>12911</v>
      </c>
      <c r="AV36" s="9">
        <v>46669</v>
      </c>
      <c r="AW36" s="9">
        <v>1578</v>
      </c>
      <c r="AX36" s="9">
        <v>29027</v>
      </c>
      <c r="AY36" s="9">
        <v>4371</v>
      </c>
      <c r="AZ36" s="9">
        <v>11430</v>
      </c>
      <c r="BA36" s="9">
        <v>124912</v>
      </c>
      <c r="BB36" s="9">
        <v>15659</v>
      </c>
      <c r="BC36" s="9">
        <v>6308</v>
      </c>
      <c r="BD36" s="9">
        <v>6814</v>
      </c>
      <c r="BE36" s="9">
        <v>17248</v>
      </c>
      <c r="BF36" s="9">
        <v>19526</v>
      </c>
      <c r="BG36" s="9">
        <v>25928</v>
      </c>
      <c r="BH36" s="9">
        <v>32940</v>
      </c>
      <c r="BI36" s="9">
        <v>184695</v>
      </c>
      <c r="BJ36" s="9">
        <v>27991</v>
      </c>
      <c r="BK36" s="9">
        <v>212636</v>
      </c>
      <c r="BL36" s="9">
        <v>126423</v>
      </c>
      <c r="BM36" s="9">
        <v>42144</v>
      </c>
      <c r="BN36" s="9">
        <v>37757</v>
      </c>
      <c r="BO36" s="9">
        <v>25979</v>
      </c>
      <c r="BP36" s="9">
        <v>17887</v>
      </c>
      <c r="BQ36" s="4"/>
      <c r="BR36" s="5">
        <f t="shared" ref="BR36:BR67" si="1">(AU36-Y36)/Y36</f>
        <v>0</v>
      </c>
      <c r="CB36">
        <v>212623</v>
      </c>
    </row>
    <row r="37" spans="1:80" x14ac:dyDescent="0.25">
      <c r="A37" s="8">
        <v>38078</v>
      </c>
      <c r="B37" s="9">
        <f>'BR OBS'!B39</f>
        <v>14821</v>
      </c>
      <c r="C37" s="9">
        <f>'BR OBS'!C39</f>
        <v>47426</v>
      </c>
      <c r="D37" s="9">
        <f>'BR OBS'!D39</f>
        <v>1578</v>
      </c>
      <c r="E37" s="9">
        <f>'BR OBS'!E39</f>
        <v>29302</v>
      </c>
      <c r="F37" s="9">
        <f>'BR OBS'!F39</f>
        <v>4588</v>
      </c>
      <c r="G37" s="9">
        <f>'BR OBS'!G39</f>
        <v>11712</v>
      </c>
      <c r="H37" s="9">
        <f>'BR OBS'!H39</f>
        <v>127145</v>
      </c>
      <c r="I37" s="9">
        <f>'BR OBS'!I39</f>
        <v>15773</v>
      </c>
      <c r="J37" s="9">
        <f>'BR OBS'!J39</f>
        <v>6361</v>
      </c>
      <c r="K37" s="9">
        <f>'BR OBS'!K39</f>
        <v>6924</v>
      </c>
      <c r="L37" s="9">
        <f>'BR OBS'!L39</f>
        <v>17613</v>
      </c>
      <c r="M37" s="9">
        <f>'BR OBS'!M39</f>
        <v>20038</v>
      </c>
      <c r="N37" s="9">
        <f>'BR OBS'!N39</f>
        <v>26560</v>
      </c>
      <c r="O37" s="9">
        <f>'BR OBS'!O39</f>
        <v>32607</v>
      </c>
      <c r="P37" s="9">
        <f>'BR OBS'!P39</f>
        <v>189445</v>
      </c>
      <c r="Q37" s="9">
        <f>'BR OBS'!Q39</f>
        <v>28728</v>
      </c>
      <c r="R37" s="9">
        <f>'BR OBS'!R39</f>
        <v>218241</v>
      </c>
      <c r="S37" s="9">
        <f>'BR OBS'!S39</f>
        <v>127754</v>
      </c>
      <c r="T37" s="9">
        <f>'BR OBS'!T39</f>
        <v>43595</v>
      </c>
      <c r="U37" s="9">
        <f>'BR OBS'!U39</f>
        <v>38851</v>
      </c>
      <c r="V37" s="9">
        <f>'BR OBS'!V39</f>
        <v>26732</v>
      </c>
      <c r="W37" s="9">
        <f>'BR OBS'!W39</f>
        <v>18350</v>
      </c>
      <c r="X37" s="9"/>
      <c r="Y37" s="9">
        <f>'BR SA'!B39</f>
        <v>13134</v>
      </c>
      <c r="Z37" s="9">
        <f>'BR SA'!C39</f>
        <v>47797</v>
      </c>
      <c r="AA37" s="9">
        <f>'BR SA'!D39</f>
        <v>1610</v>
      </c>
      <c r="AB37" s="9">
        <f>'BR SA'!E39</f>
        <v>29333</v>
      </c>
      <c r="AC37" s="9">
        <f>'BR SA'!F39</f>
        <v>4620</v>
      </c>
      <c r="AD37" s="9">
        <f>'BR SA'!G39</f>
        <v>11972</v>
      </c>
      <c r="AE37" s="9">
        <f>'BR SA'!H39</f>
        <v>128270</v>
      </c>
      <c r="AF37" s="9">
        <f>'BR SA'!I39</f>
        <v>15831</v>
      </c>
      <c r="AG37" s="9">
        <f>'BR SA'!J39</f>
        <v>6369</v>
      </c>
      <c r="AH37" s="9">
        <f>'BR SA'!K39</f>
        <v>7011</v>
      </c>
      <c r="AI37" s="9">
        <f>'BR SA'!L39</f>
        <v>18769</v>
      </c>
      <c r="AJ37" s="9">
        <f>'BR SA'!M39</f>
        <v>20060</v>
      </c>
      <c r="AK37" s="9">
        <f>'BR SA'!N39</f>
        <v>26916</v>
      </c>
      <c r="AL37" s="9">
        <f>'BR SA'!O39</f>
        <v>32333</v>
      </c>
      <c r="AM37" s="9">
        <f>'BR SA'!P39</f>
        <v>189408</v>
      </c>
      <c r="AN37" s="9">
        <f>'BR SA'!Q39</f>
        <v>218442</v>
      </c>
      <c r="AO37" s="9">
        <f>'BR SA'!R39</f>
        <v>129122</v>
      </c>
      <c r="AP37" s="9">
        <f>'BR SA'!S39</f>
        <v>43695</v>
      </c>
      <c r="AQ37" s="9">
        <f>'BR SA'!T39</f>
        <v>39062</v>
      </c>
      <c r="AR37" s="9">
        <f>'BR SA'!U39</f>
        <v>26694</v>
      </c>
      <c r="AS37" s="9">
        <f>'BR SA'!V39</f>
        <v>18573</v>
      </c>
      <c r="AU37" s="9">
        <v>13135</v>
      </c>
      <c r="AV37" s="9">
        <v>47798</v>
      </c>
      <c r="AW37" s="9">
        <v>1609</v>
      </c>
      <c r="AX37" s="9">
        <v>29333</v>
      </c>
      <c r="AY37" s="9">
        <v>4619</v>
      </c>
      <c r="AZ37" s="9">
        <v>11978</v>
      </c>
      <c r="BA37" s="9">
        <v>128270</v>
      </c>
      <c r="BB37" s="9">
        <v>15831</v>
      </c>
      <c r="BC37" s="9">
        <v>6369</v>
      </c>
      <c r="BD37" s="9">
        <v>7011</v>
      </c>
      <c r="BE37" s="9">
        <v>18769</v>
      </c>
      <c r="BF37" s="9">
        <v>20055</v>
      </c>
      <c r="BG37" s="9">
        <v>26934</v>
      </c>
      <c r="BH37" s="9">
        <v>32346</v>
      </c>
      <c r="BI37" s="9">
        <v>189409</v>
      </c>
      <c r="BJ37" s="9">
        <v>28791</v>
      </c>
      <c r="BK37" s="9">
        <v>218442</v>
      </c>
      <c r="BL37" s="9">
        <v>129122</v>
      </c>
      <c r="BM37" s="9">
        <v>43699</v>
      </c>
      <c r="BN37" s="9">
        <v>39061</v>
      </c>
      <c r="BO37" s="9">
        <v>26694</v>
      </c>
      <c r="BP37" s="9">
        <v>18573</v>
      </c>
      <c r="BQ37" s="4"/>
      <c r="BR37" s="5">
        <f t="shared" si="1"/>
        <v>7.6138267093040957E-5</v>
      </c>
      <c r="CB37">
        <v>218454</v>
      </c>
    </row>
    <row r="38" spans="1:80" x14ac:dyDescent="0.25">
      <c r="A38" s="8">
        <v>38169</v>
      </c>
      <c r="B38" s="9">
        <f>'BR OBS'!B40</f>
        <v>13463</v>
      </c>
      <c r="C38" s="9">
        <f>'BR OBS'!C40</f>
        <v>51688</v>
      </c>
      <c r="D38" s="9">
        <f>'BR OBS'!D40</f>
        <v>1683</v>
      </c>
      <c r="E38" s="9">
        <f>'BR OBS'!E40</f>
        <v>32348</v>
      </c>
      <c r="F38" s="9">
        <f>'BR OBS'!F40</f>
        <v>4608</v>
      </c>
      <c r="G38" s="9">
        <f>'BR OBS'!G40</f>
        <v>12986</v>
      </c>
      <c r="H38" s="9">
        <f>'BR OBS'!H40</f>
        <v>130884</v>
      </c>
      <c r="I38" s="9">
        <f>'BR OBS'!I40</f>
        <v>16614</v>
      </c>
      <c r="J38" s="9">
        <f>'BR OBS'!J40</f>
        <v>6541</v>
      </c>
      <c r="K38" s="9">
        <f>'BR OBS'!K40</f>
        <v>7136</v>
      </c>
      <c r="L38" s="9">
        <f>'BR OBS'!L40</f>
        <v>18120</v>
      </c>
      <c r="M38" s="9">
        <f>'BR OBS'!M40</f>
        <v>20643</v>
      </c>
      <c r="N38" s="9">
        <f>'BR OBS'!N40</f>
        <v>27579</v>
      </c>
      <c r="O38" s="9">
        <f>'BR OBS'!O40</f>
        <v>32799</v>
      </c>
      <c r="P38" s="9">
        <f>'BR OBS'!P40</f>
        <v>196310</v>
      </c>
      <c r="Q38" s="9">
        <f>'BR OBS'!Q40</f>
        <v>29776</v>
      </c>
      <c r="R38" s="9">
        <f>'BR OBS'!R40</f>
        <v>226157</v>
      </c>
      <c r="S38" s="9">
        <f>'BR OBS'!S40</f>
        <v>132070</v>
      </c>
      <c r="T38" s="9">
        <f>'BR OBS'!T40</f>
        <v>43653</v>
      </c>
      <c r="U38" s="9">
        <f>'BR OBS'!U40</f>
        <v>40965</v>
      </c>
      <c r="V38" s="9">
        <f>'BR OBS'!V40</f>
        <v>29121</v>
      </c>
      <c r="W38" s="9">
        <f>'BR OBS'!W40</f>
        <v>19537</v>
      </c>
      <c r="X38" s="9"/>
      <c r="Y38" s="9">
        <f>'BR SA'!B40</f>
        <v>13133</v>
      </c>
      <c r="Z38" s="9">
        <f>'BR SA'!C40</f>
        <v>49532</v>
      </c>
      <c r="AA38" s="9">
        <f>'BR SA'!D40</f>
        <v>1635</v>
      </c>
      <c r="AB38" s="9">
        <f>'BR SA'!E40</f>
        <v>30550</v>
      </c>
      <c r="AC38" s="9">
        <f>'BR SA'!F40</f>
        <v>4620</v>
      </c>
      <c r="AD38" s="9">
        <f>'BR SA'!G40</f>
        <v>12513</v>
      </c>
      <c r="AE38" s="9">
        <f>'BR SA'!H40</f>
        <v>129335</v>
      </c>
      <c r="AF38" s="9">
        <f>'BR SA'!I40</f>
        <v>16210</v>
      </c>
      <c r="AG38" s="9">
        <f>'BR SA'!J40</f>
        <v>6394</v>
      </c>
      <c r="AH38" s="9">
        <f>'BR SA'!K40</f>
        <v>7161</v>
      </c>
      <c r="AI38" s="9">
        <f>'BR SA'!L40</f>
        <v>17410</v>
      </c>
      <c r="AJ38" s="9">
        <f>'BR SA'!M40</f>
        <v>20635</v>
      </c>
      <c r="AK38" s="9">
        <f>'BR SA'!N40</f>
        <v>27254</v>
      </c>
      <c r="AL38" s="9">
        <f>'BR SA'!O40</f>
        <v>32694</v>
      </c>
      <c r="AM38" s="9">
        <f>'BR SA'!P40</f>
        <v>191803</v>
      </c>
      <c r="AN38" s="9">
        <f>'BR SA'!Q40</f>
        <v>221187</v>
      </c>
      <c r="AO38" s="9">
        <f>'BR SA'!R40</f>
        <v>131670</v>
      </c>
      <c r="AP38" s="9">
        <f>'BR SA'!S40</f>
        <v>43672</v>
      </c>
      <c r="AQ38" s="9">
        <f>'BR SA'!T40</f>
        <v>39811</v>
      </c>
      <c r="AR38" s="9">
        <f>'BR SA'!U40</f>
        <v>27127</v>
      </c>
      <c r="AS38" s="9">
        <f>'BR SA'!V40</f>
        <v>18560</v>
      </c>
      <c r="AU38" s="9">
        <v>13134</v>
      </c>
      <c r="AV38" s="9">
        <v>49532</v>
      </c>
      <c r="AW38" s="9">
        <v>1636</v>
      </c>
      <c r="AX38" s="9">
        <v>30551</v>
      </c>
      <c r="AY38" s="9">
        <v>4620</v>
      </c>
      <c r="AZ38" s="9">
        <v>12470</v>
      </c>
      <c r="BA38" s="9">
        <v>129335</v>
      </c>
      <c r="BB38" s="9">
        <v>16210</v>
      </c>
      <c r="BC38" s="9">
        <v>6394</v>
      </c>
      <c r="BD38" s="9">
        <v>7161</v>
      </c>
      <c r="BE38" s="9">
        <v>17411</v>
      </c>
      <c r="BF38" s="9">
        <v>20683</v>
      </c>
      <c r="BG38" s="9">
        <v>27239</v>
      </c>
      <c r="BH38" s="9">
        <v>32686</v>
      </c>
      <c r="BI38" s="9">
        <v>191803</v>
      </c>
      <c r="BJ38" s="9">
        <v>29288</v>
      </c>
      <c r="BK38" s="9">
        <v>221187</v>
      </c>
      <c r="BL38" s="9">
        <v>131669</v>
      </c>
      <c r="BM38" s="9">
        <v>43673</v>
      </c>
      <c r="BN38" s="9">
        <v>39811</v>
      </c>
      <c r="BO38" s="9">
        <v>27127</v>
      </c>
      <c r="BP38" s="9">
        <v>18560</v>
      </c>
      <c r="BQ38" s="4"/>
      <c r="BR38" s="5">
        <f t="shared" si="1"/>
        <v>7.6144064570166754E-5</v>
      </c>
      <c r="CB38">
        <v>221266</v>
      </c>
    </row>
    <row r="39" spans="1:80" x14ac:dyDescent="0.25">
      <c r="A39" s="8">
        <v>38261</v>
      </c>
      <c r="B39" s="9">
        <f>'BR OBS'!B41</f>
        <v>9283</v>
      </c>
      <c r="C39" s="9">
        <f>'BR OBS'!C41</f>
        <v>50915</v>
      </c>
      <c r="D39" s="9">
        <f>'BR OBS'!D41</f>
        <v>1709</v>
      </c>
      <c r="E39" s="9">
        <f>'BR OBS'!E41</f>
        <v>31754</v>
      </c>
      <c r="F39" s="9">
        <f>'BR OBS'!F41</f>
        <v>4736</v>
      </c>
      <c r="G39" s="9">
        <f>'BR OBS'!G41</f>
        <v>12437</v>
      </c>
      <c r="H39" s="9">
        <f>'BR OBS'!H41</f>
        <v>134631</v>
      </c>
      <c r="I39" s="9">
        <f>'BR OBS'!I41</f>
        <v>16716</v>
      </c>
      <c r="J39" s="9">
        <f>'BR OBS'!J41</f>
        <v>6682</v>
      </c>
      <c r="K39" s="9">
        <f>'BR OBS'!K41</f>
        <v>7674</v>
      </c>
      <c r="L39" s="9">
        <f>'BR OBS'!L41</f>
        <v>19537</v>
      </c>
      <c r="M39" s="9">
        <f>'BR OBS'!M41</f>
        <v>20878</v>
      </c>
      <c r="N39" s="9">
        <f>'BR OBS'!N41</f>
        <v>28994</v>
      </c>
      <c r="O39" s="9">
        <f>'BR OBS'!O41</f>
        <v>32743</v>
      </c>
      <c r="P39" s="9">
        <f>'BR OBS'!P41</f>
        <v>194852</v>
      </c>
      <c r="Q39" s="9">
        <f>'BR OBS'!Q41</f>
        <v>29890</v>
      </c>
      <c r="R39" s="9">
        <f>'BR OBS'!R41</f>
        <v>224845</v>
      </c>
      <c r="S39" s="9">
        <f>'BR OBS'!S41</f>
        <v>139083</v>
      </c>
      <c r="T39" s="9">
        <f>'BR OBS'!T41</f>
        <v>44662</v>
      </c>
      <c r="U39" s="9">
        <f>'BR OBS'!U41</f>
        <v>39060</v>
      </c>
      <c r="V39" s="9">
        <f>'BR OBS'!V41</f>
        <v>28749</v>
      </c>
      <c r="W39" s="9">
        <f>'BR OBS'!W41</f>
        <v>19697</v>
      </c>
      <c r="X39" s="9"/>
      <c r="Y39" s="9">
        <f>'BR SA'!B41</f>
        <v>12979</v>
      </c>
      <c r="Z39" s="9">
        <f>'BR SA'!C41</f>
        <v>49455</v>
      </c>
      <c r="AA39" s="9">
        <f>'BR SA'!D41</f>
        <v>1662</v>
      </c>
      <c r="AB39" s="9">
        <f>'BR SA'!E41</f>
        <v>30718</v>
      </c>
      <c r="AC39" s="9">
        <f>'BR SA'!F41</f>
        <v>4683</v>
      </c>
      <c r="AD39" s="9">
        <f>'BR SA'!G41</f>
        <v>12177</v>
      </c>
      <c r="AE39" s="9">
        <f>'BR SA'!H41</f>
        <v>131595</v>
      </c>
      <c r="AF39" s="9">
        <f>'BR SA'!I41</f>
        <v>16207</v>
      </c>
      <c r="AG39" s="9">
        <f>'BR SA'!J41</f>
        <v>6504</v>
      </c>
      <c r="AH39" s="9">
        <f>'BR SA'!K41</f>
        <v>7329</v>
      </c>
      <c r="AI39" s="9">
        <f>'BR SA'!L41</f>
        <v>18352</v>
      </c>
      <c r="AJ39" s="9">
        <f>'BR SA'!M41</f>
        <v>20788</v>
      </c>
      <c r="AK39" s="9">
        <f>'BR SA'!N41</f>
        <v>27913</v>
      </c>
      <c r="AL39" s="9">
        <f>'BR SA'!O41</f>
        <v>32944</v>
      </c>
      <c r="AM39" s="9">
        <f>'BR SA'!P41</f>
        <v>193265</v>
      </c>
      <c r="AN39" s="9">
        <f>'BR SA'!Q41</f>
        <v>222885</v>
      </c>
      <c r="AO39" s="9">
        <f>'BR SA'!R41</f>
        <v>134907</v>
      </c>
      <c r="AP39" s="9">
        <f>'BR SA'!S41</f>
        <v>43487</v>
      </c>
      <c r="AQ39" s="9">
        <f>'BR SA'!T41</f>
        <v>39048</v>
      </c>
      <c r="AR39" s="9">
        <f>'BR SA'!U41</f>
        <v>27862</v>
      </c>
      <c r="AS39" s="9">
        <f>'BR SA'!V41</f>
        <v>19276</v>
      </c>
      <c r="AU39" s="9">
        <v>12979</v>
      </c>
      <c r="AV39" s="9">
        <v>49455</v>
      </c>
      <c r="AW39" s="9">
        <v>1662</v>
      </c>
      <c r="AX39" s="9">
        <v>30718</v>
      </c>
      <c r="AY39" s="9">
        <v>4683</v>
      </c>
      <c r="AZ39" s="9">
        <v>12152</v>
      </c>
      <c r="BA39" s="9">
        <v>131596</v>
      </c>
      <c r="BB39" s="9">
        <v>16207</v>
      </c>
      <c r="BC39" s="9">
        <v>6504</v>
      </c>
      <c r="BD39" s="9">
        <v>7328</v>
      </c>
      <c r="BE39" s="9">
        <v>18353</v>
      </c>
      <c r="BF39" s="9">
        <v>20796</v>
      </c>
      <c r="BG39" s="9">
        <v>27890</v>
      </c>
      <c r="BH39" s="9">
        <v>32933</v>
      </c>
      <c r="BI39" s="9">
        <v>193265</v>
      </c>
      <c r="BJ39" s="9">
        <v>29521</v>
      </c>
      <c r="BK39" s="9">
        <v>222885</v>
      </c>
      <c r="BL39" s="9">
        <v>134907</v>
      </c>
      <c r="BM39" s="9">
        <v>43496</v>
      </c>
      <c r="BN39" s="9">
        <v>39048</v>
      </c>
      <c r="BO39" s="9">
        <v>27862</v>
      </c>
      <c r="BP39" s="9">
        <v>19276</v>
      </c>
      <c r="BQ39" s="4"/>
      <c r="BR39" s="5">
        <f t="shared" si="1"/>
        <v>0</v>
      </c>
      <c r="CB39">
        <v>222772</v>
      </c>
    </row>
    <row r="40" spans="1:80" x14ac:dyDescent="0.25">
      <c r="A40" s="8">
        <v>38353</v>
      </c>
      <c r="B40" s="9">
        <f>'BR OBS'!B42</f>
        <v>15062</v>
      </c>
      <c r="C40" s="9">
        <f>'BR OBS'!C42</f>
        <v>45321</v>
      </c>
      <c r="D40" s="9">
        <f>'BR OBS'!D42</f>
        <v>1543</v>
      </c>
      <c r="E40" s="9">
        <f>'BR OBS'!E42</f>
        <v>27465</v>
      </c>
      <c r="F40" s="9">
        <f>'BR OBS'!F42</f>
        <v>4661</v>
      </c>
      <c r="G40" s="9">
        <f>'BR OBS'!G42</f>
        <v>11332</v>
      </c>
      <c r="H40" s="9">
        <f>'BR OBS'!H42</f>
        <v>128091</v>
      </c>
      <c r="I40" s="9">
        <f>'BR OBS'!I42</f>
        <v>15328</v>
      </c>
      <c r="J40" s="9">
        <f>'BR OBS'!J42</f>
        <v>6276</v>
      </c>
      <c r="K40" s="9">
        <f>'BR OBS'!K42</f>
        <v>7165</v>
      </c>
      <c r="L40" s="9">
        <f>'BR OBS'!L42</f>
        <v>17847</v>
      </c>
      <c r="M40" s="9">
        <f>'BR OBS'!M42</f>
        <v>20706</v>
      </c>
      <c r="N40" s="9">
        <f>'BR OBS'!N42</f>
        <v>26813</v>
      </c>
      <c r="O40" s="9">
        <f>'BR OBS'!O42</f>
        <v>32834</v>
      </c>
      <c r="P40" s="9">
        <f>'BR OBS'!P42</f>
        <v>188121</v>
      </c>
      <c r="Q40" s="9">
        <f>'BR OBS'!Q42</f>
        <v>28736</v>
      </c>
      <c r="R40" s="9">
        <f>'BR OBS'!R42</f>
        <v>216947</v>
      </c>
      <c r="S40" s="9">
        <f>'BR OBS'!S42</f>
        <v>131105</v>
      </c>
      <c r="T40" s="9">
        <f>'BR OBS'!T42</f>
        <v>42662</v>
      </c>
      <c r="U40" s="9">
        <f>'BR OBS'!U42</f>
        <v>37452</v>
      </c>
      <c r="V40" s="9">
        <f>'BR OBS'!V42</f>
        <v>26484</v>
      </c>
      <c r="W40" s="9">
        <f>'BR OBS'!W42</f>
        <v>18669</v>
      </c>
      <c r="X40" s="9"/>
      <c r="Y40" s="9">
        <f>'BR SA'!B42</f>
        <v>13307</v>
      </c>
      <c r="Z40" s="9">
        <f>'BR SA'!C42</f>
        <v>48998</v>
      </c>
      <c r="AA40" s="9">
        <f>'BR SA'!D42</f>
        <v>1631</v>
      </c>
      <c r="AB40" s="9">
        <f>'BR SA'!E42</f>
        <v>30247</v>
      </c>
      <c r="AC40" s="9">
        <f>'BR SA'!F42</f>
        <v>4681</v>
      </c>
      <c r="AD40" s="9">
        <f>'BR SA'!G42</f>
        <v>11785</v>
      </c>
      <c r="AE40" s="9">
        <f>'BR SA'!H42</f>
        <v>132225</v>
      </c>
      <c r="AF40" s="9">
        <f>'BR SA'!I42</f>
        <v>16163</v>
      </c>
      <c r="AG40" s="9">
        <f>'BR SA'!J42</f>
        <v>6625</v>
      </c>
      <c r="AH40" s="9">
        <f>'BR SA'!K42</f>
        <v>7410</v>
      </c>
      <c r="AI40" s="9">
        <f>'BR SA'!L42</f>
        <v>18631</v>
      </c>
      <c r="AJ40" s="9">
        <f>'BR SA'!M42</f>
        <v>20793</v>
      </c>
      <c r="AK40" s="9">
        <f>'BR SA'!N42</f>
        <v>27920</v>
      </c>
      <c r="AL40" s="9">
        <f>'BR SA'!O42</f>
        <v>33075</v>
      </c>
      <c r="AM40" s="9">
        <f>'BR SA'!P42</f>
        <v>194681</v>
      </c>
      <c r="AN40" s="9">
        <f>'BR SA'!Q42</f>
        <v>224528</v>
      </c>
      <c r="AO40" s="9">
        <f>'BR SA'!R42</f>
        <v>134622</v>
      </c>
      <c r="AP40" s="9">
        <f>'BR SA'!S42</f>
        <v>43727</v>
      </c>
      <c r="AQ40" s="9">
        <f>'BR SA'!T42</f>
        <v>38631</v>
      </c>
      <c r="AR40" s="9">
        <f>'BR SA'!U42</f>
        <v>29287</v>
      </c>
      <c r="AS40" s="9">
        <f>'BR SA'!V42</f>
        <v>19793</v>
      </c>
      <c r="AU40" s="9">
        <v>13307</v>
      </c>
      <c r="AV40" s="9">
        <v>48998</v>
      </c>
      <c r="AW40" s="9">
        <v>1631</v>
      </c>
      <c r="AX40" s="9">
        <v>30247</v>
      </c>
      <c r="AY40" s="9">
        <v>4681</v>
      </c>
      <c r="AZ40" s="9">
        <v>11863</v>
      </c>
      <c r="BA40" s="9">
        <v>132225</v>
      </c>
      <c r="BB40" s="9">
        <v>16163</v>
      </c>
      <c r="BC40" s="9">
        <v>6625</v>
      </c>
      <c r="BD40" s="9">
        <v>7411</v>
      </c>
      <c r="BE40" s="9">
        <v>18631</v>
      </c>
      <c r="BF40" s="9">
        <v>20770</v>
      </c>
      <c r="BG40" s="9">
        <v>27931</v>
      </c>
      <c r="BH40" s="9">
        <v>33075</v>
      </c>
      <c r="BI40" s="9">
        <v>194681</v>
      </c>
      <c r="BJ40" s="9">
        <v>29783</v>
      </c>
      <c r="BK40" s="9">
        <v>224528</v>
      </c>
      <c r="BL40" s="9">
        <v>134622</v>
      </c>
      <c r="BM40" s="9">
        <v>43715</v>
      </c>
      <c r="BN40" s="9">
        <v>38631</v>
      </c>
      <c r="BO40" s="9">
        <v>29287</v>
      </c>
      <c r="BP40" s="9">
        <v>19793</v>
      </c>
      <c r="BQ40" s="4"/>
      <c r="BR40" s="5">
        <f t="shared" si="1"/>
        <v>0</v>
      </c>
      <c r="CB40">
        <v>224564</v>
      </c>
    </row>
    <row r="41" spans="1:80" x14ac:dyDescent="0.25">
      <c r="A41" s="8">
        <v>38443</v>
      </c>
      <c r="B41" s="9">
        <f>'BR OBS'!B43</f>
        <v>15174</v>
      </c>
      <c r="C41" s="9">
        <f>'BR OBS'!C43</f>
        <v>49907</v>
      </c>
      <c r="D41" s="9">
        <f>'BR OBS'!D43</f>
        <v>1764</v>
      </c>
      <c r="E41" s="9">
        <f>'BR OBS'!E43</f>
        <v>31094</v>
      </c>
      <c r="F41" s="9">
        <f>'BR OBS'!F43</f>
        <v>4698</v>
      </c>
      <c r="G41" s="9">
        <f>'BR OBS'!G43</f>
        <v>11808</v>
      </c>
      <c r="H41" s="9">
        <f>'BR OBS'!H43</f>
        <v>132518</v>
      </c>
      <c r="I41" s="9">
        <f>'BR OBS'!I43</f>
        <v>16544</v>
      </c>
      <c r="J41" s="9">
        <f>'BR OBS'!J43</f>
        <v>6671</v>
      </c>
      <c r="K41" s="9">
        <f>'BR OBS'!K43</f>
        <v>7450</v>
      </c>
      <c r="L41" s="9">
        <f>'BR OBS'!L43</f>
        <v>18042</v>
      </c>
      <c r="M41" s="9">
        <f>'BR OBS'!M43</f>
        <v>20885</v>
      </c>
      <c r="N41" s="9">
        <f>'BR OBS'!N43</f>
        <v>27967</v>
      </c>
      <c r="O41" s="9">
        <f>'BR OBS'!O43</f>
        <v>33408</v>
      </c>
      <c r="P41" s="9">
        <f>'BR OBS'!P43</f>
        <v>197625</v>
      </c>
      <c r="Q41" s="9">
        <f>'BR OBS'!Q43</f>
        <v>30275</v>
      </c>
      <c r="R41" s="9">
        <f>'BR OBS'!R43</f>
        <v>228007</v>
      </c>
      <c r="S41" s="9">
        <f>'BR OBS'!S43</f>
        <v>133875</v>
      </c>
      <c r="T41" s="9">
        <f>'BR OBS'!T43</f>
        <v>43852</v>
      </c>
      <c r="U41" s="9">
        <f>'BR OBS'!U43</f>
        <v>40035</v>
      </c>
      <c r="V41" s="9">
        <f>'BR OBS'!V43</f>
        <v>29707</v>
      </c>
      <c r="W41" s="9">
        <f>'BR OBS'!W43</f>
        <v>19877</v>
      </c>
      <c r="X41" s="9"/>
      <c r="Y41" s="9">
        <f>'BR SA'!B43</f>
        <v>13482</v>
      </c>
      <c r="Z41" s="9">
        <f>'BR SA'!C43</f>
        <v>49893</v>
      </c>
      <c r="AA41" s="9">
        <f>'BR SA'!D43</f>
        <v>1765</v>
      </c>
      <c r="AB41" s="9">
        <f>'BR SA'!E43</f>
        <v>31172</v>
      </c>
      <c r="AC41" s="9">
        <f>'BR SA'!F43</f>
        <v>4724</v>
      </c>
      <c r="AD41" s="9">
        <f>'BR SA'!G43</f>
        <v>12071</v>
      </c>
      <c r="AE41" s="9">
        <f>'BR SA'!H43</f>
        <v>133127</v>
      </c>
      <c r="AF41" s="9">
        <f>'BR SA'!I43</f>
        <v>16602</v>
      </c>
      <c r="AG41" s="9">
        <f>'BR SA'!J43</f>
        <v>6622</v>
      </c>
      <c r="AH41" s="9">
        <f>'BR SA'!K43</f>
        <v>7553</v>
      </c>
      <c r="AI41" s="9">
        <f>'BR SA'!L43</f>
        <v>18864</v>
      </c>
      <c r="AJ41" s="9">
        <f>'BR SA'!M43</f>
        <v>20910</v>
      </c>
      <c r="AK41" s="9">
        <f>'BR SA'!N43</f>
        <v>28333</v>
      </c>
      <c r="AL41" s="9">
        <f>'BR SA'!O43</f>
        <v>33140</v>
      </c>
      <c r="AM41" s="9">
        <f>'BR SA'!P43</f>
        <v>197468</v>
      </c>
      <c r="AN41" s="9">
        <f>'BR SA'!Q43</f>
        <v>227675</v>
      </c>
      <c r="AO41" s="9">
        <f>'BR SA'!R43</f>
        <v>135303</v>
      </c>
      <c r="AP41" s="9">
        <f>'BR SA'!S43</f>
        <v>43957</v>
      </c>
      <c r="AQ41" s="9">
        <f>'BR SA'!T43</f>
        <v>40094</v>
      </c>
      <c r="AR41" s="9">
        <f>'BR SA'!U43</f>
        <v>29718</v>
      </c>
      <c r="AS41" s="9">
        <f>'BR SA'!V43</f>
        <v>20212</v>
      </c>
      <c r="AU41" s="9">
        <v>13482</v>
      </c>
      <c r="AV41" s="9">
        <v>49893</v>
      </c>
      <c r="AW41" s="9">
        <v>1765</v>
      </c>
      <c r="AX41" s="9">
        <v>31172</v>
      </c>
      <c r="AY41" s="9">
        <v>4724</v>
      </c>
      <c r="AZ41" s="9">
        <v>12073</v>
      </c>
      <c r="BA41" s="9">
        <v>133127</v>
      </c>
      <c r="BB41" s="9">
        <v>16602</v>
      </c>
      <c r="BC41" s="9">
        <v>6622</v>
      </c>
      <c r="BD41" s="9">
        <v>7553</v>
      </c>
      <c r="BE41" s="9">
        <v>18864</v>
      </c>
      <c r="BF41" s="9">
        <v>20906</v>
      </c>
      <c r="BG41" s="9">
        <v>28350</v>
      </c>
      <c r="BH41" s="9">
        <v>33175</v>
      </c>
      <c r="BI41" s="9">
        <v>197468</v>
      </c>
      <c r="BJ41" s="9">
        <v>30095</v>
      </c>
      <c r="BK41" s="9">
        <v>227674</v>
      </c>
      <c r="BL41" s="9">
        <v>135303</v>
      </c>
      <c r="BM41" s="9">
        <v>43959</v>
      </c>
      <c r="BN41" s="9">
        <v>40093</v>
      </c>
      <c r="BO41" s="9">
        <v>29718</v>
      </c>
      <c r="BP41" s="9">
        <v>20213</v>
      </c>
      <c r="BQ41" s="4"/>
      <c r="BR41" s="5">
        <f t="shared" si="1"/>
        <v>0</v>
      </c>
      <c r="CB41">
        <v>227709</v>
      </c>
    </row>
    <row r="42" spans="1:80" x14ac:dyDescent="0.25">
      <c r="A42" s="8">
        <v>38534</v>
      </c>
      <c r="B42" s="9">
        <f>'BR OBS'!B44</f>
        <v>13193</v>
      </c>
      <c r="C42" s="9">
        <f>'BR OBS'!C44</f>
        <v>51115</v>
      </c>
      <c r="D42" s="9">
        <f>'BR OBS'!D44</f>
        <v>1797</v>
      </c>
      <c r="E42" s="9">
        <f>'BR OBS'!E44</f>
        <v>32017</v>
      </c>
      <c r="F42" s="9">
        <f>'BR OBS'!F44</f>
        <v>4707</v>
      </c>
      <c r="G42" s="9">
        <f>'BR OBS'!G44</f>
        <v>12076</v>
      </c>
      <c r="H42" s="9">
        <f>'BR OBS'!H44</f>
        <v>135513</v>
      </c>
      <c r="I42" s="9">
        <f>'BR OBS'!I44</f>
        <v>16870</v>
      </c>
      <c r="J42" s="9">
        <f>'BR OBS'!J44</f>
        <v>6685</v>
      </c>
      <c r="K42" s="9">
        <f>'BR OBS'!K44</f>
        <v>7524</v>
      </c>
      <c r="L42" s="9">
        <f>'BR OBS'!L44</f>
        <v>19669</v>
      </c>
      <c r="M42" s="9">
        <f>'BR OBS'!M44</f>
        <v>21144</v>
      </c>
      <c r="N42" s="9">
        <f>'BR OBS'!N44</f>
        <v>28999</v>
      </c>
      <c r="O42" s="9">
        <f>'BR OBS'!O44</f>
        <v>33319</v>
      </c>
      <c r="P42" s="9">
        <f>'BR OBS'!P44</f>
        <v>199919</v>
      </c>
      <c r="Q42" s="9">
        <f>'BR OBS'!Q44</f>
        <v>30877</v>
      </c>
      <c r="R42" s="9">
        <f>'BR OBS'!R44</f>
        <v>230941</v>
      </c>
      <c r="S42" s="9">
        <f>'BR OBS'!S44</f>
        <v>137862</v>
      </c>
      <c r="T42" s="9">
        <f>'BR OBS'!T44</f>
        <v>44402</v>
      </c>
      <c r="U42" s="9">
        <f>'BR OBS'!U44</f>
        <v>41320</v>
      </c>
      <c r="V42" s="9">
        <f>'BR OBS'!V44</f>
        <v>32297</v>
      </c>
      <c r="W42" s="9">
        <f>'BR OBS'!W44</f>
        <v>21046</v>
      </c>
      <c r="X42" s="9"/>
      <c r="Y42" s="9">
        <f>'BR SA'!B44</f>
        <v>12846</v>
      </c>
      <c r="Z42" s="9">
        <f>'BR SA'!C44</f>
        <v>48922</v>
      </c>
      <c r="AA42" s="9">
        <f>'BR SA'!D44</f>
        <v>1747</v>
      </c>
      <c r="AB42" s="9">
        <f>'BR SA'!E44</f>
        <v>30237</v>
      </c>
      <c r="AC42" s="9">
        <f>'BR SA'!F44</f>
        <v>4712</v>
      </c>
      <c r="AD42" s="9">
        <f>'BR SA'!G44</f>
        <v>11604</v>
      </c>
      <c r="AE42" s="9">
        <f>'BR SA'!H44</f>
        <v>134026</v>
      </c>
      <c r="AF42" s="9">
        <f>'BR SA'!I44</f>
        <v>16496</v>
      </c>
      <c r="AG42" s="9">
        <f>'BR SA'!J44</f>
        <v>6577</v>
      </c>
      <c r="AH42" s="9">
        <f>'BR SA'!K44</f>
        <v>7553</v>
      </c>
      <c r="AI42" s="9">
        <f>'BR SA'!L44</f>
        <v>19200</v>
      </c>
      <c r="AJ42" s="9">
        <f>'BR SA'!M44</f>
        <v>21110</v>
      </c>
      <c r="AK42" s="9">
        <f>'BR SA'!N44</f>
        <v>28644</v>
      </c>
      <c r="AL42" s="9">
        <f>'BR SA'!O44</f>
        <v>33214</v>
      </c>
      <c r="AM42" s="9">
        <f>'BR SA'!P44</f>
        <v>195422</v>
      </c>
      <c r="AN42" s="9">
        <f>'BR SA'!Q44</f>
        <v>225903</v>
      </c>
      <c r="AO42" s="9">
        <f>'BR SA'!R44</f>
        <v>137418</v>
      </c>
      <c r="AP42" s="9">
        <f>'BR SA'!S44</f>
        <v>44416</v>
      </c>
      <c r="AQ42" s="9">
        <f>'BR SA'!T44</f>
        <v>39983</v>
      </c>
      <c r="AR42" s="9">
        <f>'BR SA'!U44</f>
        <v>30062</v>
      </c>
      <c r="AS42" s="9">
        <f>'BR SA'!V44</f>
        <v>19919</v>
      </c>
      <c r="AU42" s="9">
        <v>12846</v>
      </c>
      <c r="AV42" s="9">
        <v>48922</v>
      </c>
      <c r="AW42" s="9">
        <v>1748</v>
      </c>
      <c r="AX42" s="9">
        <v>30237</v>
      </c>
      <c r="AY42" s="9">
        <v>4712</v>
      </c>
      <c r="AZ42" s="9">
        <v>11561</v>
      </c>
      <c r="BA42" s="9">
        <v>134026</v>
      </c>
      <c r="BB42" s="9">
        <v>16496</v>
      </c>
      <c r="BC42" s="9">
        <v>6577</v>
      </c>
      <c r="BD42" s="9">
        <v>7553</v>
      </c>
      <c r="BE42" s="9">
        <v>19200</v>
      </c>
      <c r="BF42" s="9">
        <v>21162</v>
      </c>
      <c r="BG42" s="9">
        <v>28625</v>
      </c>
      <c r="BH42" s="9">
        <v>33204</v>
      </c>
      <c r="BI42" s="9">
        <v>195421</v>
      </c>
      <c r="BJ42" s="9">
        <v>30342</v>
      </c>
      <c r="BK42" s="9">
        <v>225903</v>
      </c>
      <c r="BL42" s="9">
        <v>137418</v>
      </c>
      <c r="BM42" s="9">
        <v>44418</v>
      </c>
      <c r="BN42" s="9">
        <v>39983</v>
      </c>
      <c r="BO42" s="9">
        <v>30062</v>
      </c>
      <c r="BP42" s="9">
        <v>19919</v>
      </c>
      <c r="BQ42" s="4"/>
      <c r="BR42" s="5">
        <f t="shared" si="1"/>
        <v>0</v>
      </c>
      <c r="CB42">
        <v>225923</v>
      </c>
    </row>
    <row r="43" spans="1:80" x14ac:dyDescent="0.25">
      <c r="A43" s="8">
        <v>38626</v>
      </c>
      <c r="B43" s="9">
        <f>'BR OBS'!B45</f>
        <v>9320</v>
      </c>
      <c r="C43" s="9">
        <f>'BR OBS'!C45</f>
        <v>51038</v>
      </c>
      <c r="D43" s="9">
        <f>'BR OBS'!D45</f>
        <v>1822</v>
      </c>
      <c r="E43" s="9">
        <f>'BR OBS'!E45</f>
        <v>31790</v>
      </c>
      <c r="F43" s="9">
        <f>'BR OBS'!F45</f>
        <v>4816</v>
      </c>
      <c r="G43" s="9">
        <f>'BR OBS'!G45</f>
        <v>12000</v>
      </c>
      <c r="H43" s="9">
        <f>'BR OBS'!H45</f>
        <v>137931</v>
      </c>
      <c r="I43" s="9">
        <f>'BR OBS'!I45</f>
        <v>17175</v>
      </c>
      <c r="J43" s="9">
        <f>'BR OBS'!J45</f>
        <v>6834</v>
      </c>
      <c r="K43" s="9">
        <f>'BR OBS'!K45</f>
        <v>7899</v>
      </c>
      <c r="L43" s="9">
        <f>'BR OBS'!L45</f>
        <v>20110</v>
      </c>
      <c r="M43" s="9">
        <f>'BR OBS'!M45</f>
        <v>21632</v>
      </c>
      <c r="N43" s="9">
        <f>'BR OBS'!N45</f>
        <v>29837</v>
      </c>
      <c r="O43" s="9">
        <f>'BR OBS'!O45</f>
        <v>32998</v>
      </c>
      <c r="P43" s="9">
        <f>'BR OBS'!P45</f>
        <v>198373</v>
      </c>
      <c r="Q43" s="9">
        <f>'BR OBS'!Q45</f>
        <v>31099</v>
      </c>
      <c r="R43" s="9">
        <f>'BR OBS'!R45</f>
        <v>229680</v>
      </c>
      <c r="S43" s="9">
        <f>'BR OBS'!S45</f>
        <v>143694</v>
      </c>
      <c r="T43" s="9">
        <f>'BR OBS'!T45</f>
        <v>45611</v>
      </c>
      <c r="U43" s="9">
        <f>'BR OBS'!U45</f>
        <v>40066</v>
      </c>
      <c r="V43" s="9">
        <f>'BR OBS'!V45</f>
        <v>30699</v>
      </c>
      <c r="W43" s="9">
        <f>'BR OBS'!W45</f>
        <v>20708</v>
      </c>
      <c r="X43" s="9"/>
      <c r="Y43" s="9">
        <f>'BR SA'!B45</f>
        <v>12960</v>
      </c>
      <c r="Z43" s="9">
        <f>'BR SA'!C45</f>
        <v>49554</v>
      </c>
      <c r="AA43" s="9">
        <f>'BR SA'!D45</f>
        <v>1780</v>
      </c>
      <c r="AB43" s="9">
        <f>'BR SA'!E45</f>
        <v>30680</v>
      </c>
      <c r="AC43" s="9">
        <f>'BR SA'!F45</f>
        <v>4753</v>
      </c>
      <c r="AD43" s="9">
        <f>'BR SA'!G45</f>
        <v>11756</v>
      </c>
      <c r="AE43" s="9">
        <f>'BR SA'!H45</f>
        <v>135269</v>
      </c>
      <c r="AF43" s="9">
        <f>'BR SA'!I45</f>
        <v>16639</v>
      </c>
      <c r="AG43" s="9">
        <f>'BR SA'!J45</f>
        <v>6664</v>
      </c>
      <c r="AH43" s="9">
        <f>'BR SA'!K45</f>
        <v>7536</v>
      </c>
      <c r="AI43" s="9">
        <f>'BR SA'!L45</f>
        <v>19263</v>
      </c>
      <c r="AJ43" s="9">
        <f>'BR SA'!M45</f>
        <v>21546</v>
      </c>
      <c r="AK43" s="9">
        <f>'BR SA'!N45</f>
        <v>28813</v>
      </c>
      <c r="AL43" s="9">
        <f>'BR SA'!O45</f>
        <v>33286</v>
      </c>
      <c r="AM43" s="9">
        <f>'BR SA'!P45</f>
        <v>197490</v>
      </c>
      <c r="AN43" s="9">
        <f>'BR SA'!Q45</f>
        <v>228750</v>
      </c>
      <c r="AO43" s="9">
        <f>'BR SA'!R45</f>
        <v>139406</v>
      </c>
      <c r="AP43" s="9">
        <f>'BR SA'!S45</f>
        <v>44402</v>
      </c>
      <c r="AQ43" s="9">
        <f>'BR SA'!T45</f>
        <v>39977</v>
      </c>
      <c r="AR43" s="9">
        <f>'BR SA'!U45</f>
        <v>30791</v>
      </c>
      <c r="AS43" s="9">
        <f>'BR SA'!V45</f>
        <v>20672</v>
      </c>
      <c r="AU43" s="9">
        <v>12960</v>
      </c>
      <c r="AV43" s="9">
        <v>49554</v>
      </c>
      <c r="AW43" s="9">
        <v>1779</v>
      </c>
      <c r="AX43" s="9">
        <v>30680</v>
      </c>
      <c r="AY43" s="9">
        <v>4753</v>
      </c>
      <c r="AZ43" s="9">
        <v>11806</v>
      </c>
      <c r="BA43" s="9">
        <v>135269</v>
      </c>
      <c r="BB43" s="9">
        <v>16640</v>
      </c>
      <c r="BC43" s="9">
        <v>6664</v>
      </c>
      <c r="BD43" s="9">
        <v>7537</v>
      </c>
      <c r="BE43" s="9">
        <v>19263</v>
      </c>
      <c r="BF43" s="9">
        <v>21436</v>
      </c>
      <c r="BG43" s="9">
        <v>28831</v>
      </c>
      <c r="BH43" s="9">
        <v>33229</v>
      </c>
      <c r="BI43" s="9">
        <v>197490</v>
      </c>
      <c r="BJ43" s="9">
        <v>30994</v>
      </c>
      <c r="BK43" s="9">
        <v>228750</v>
      </c>
      <c r="BL43" s="9">
        <v>139406</v>
      </c>
      <c r="BM43" s="9">
        <v>44407</v>
      </c>
      <c r="BN43" s="9">
        <v>39977</v>
      </c>
      <c r="BO43" s="9">
        <v>30791</v>
      </c>
      <c r="BP43" s="9">
        <v>20673</v>
      </c>
      <c r="BQ43" s="4"/>
      <c r="BR43" s="5">
        <f t="shared" si="1"/>
        <v>0</v>
      </c>
      <c r="CB43">
        <v>228643</v>
      </c>
    </row>
    <row r="44" spans="1:80" x14ac:dyDescent="0.25">
      <c r="A44" s="8">
        <v>38718</v>
      </c>
      <c r="B44" s="9">
        <f>'BR OBS'!B46</f>
        <v>15137</v>
      </c>
      <c r="C44" s="9">
        <f>'BR OBS'!C46</f>
        <v>46820</v>
      </c>
      <c r="D44" s="9">
        <f>'BR OBS'!D46</f>
        <v>1755</v>
      </c>
      <c r="E44" s="9">
        <f>'BR OBS'!E46</f>
        <v>28154</v>
      </c>
      <c r="F44" s="9">
        <f>'BR OBS'!F46</f>
        <v>4785</v>
      </c>
      <c r="G44" s="9">
        <f>'BR OBS'!G46</f>
        <v>11386</v>
      </c>
      <c r="H44" s="9">
        <f>'BR OBS'!H46</f>
        <v>133994</v>
      </c>
      <c r="I44" s="9">
        <f>'BR OBS'!I46</f>
        <v>16204</v>
      </c>
      <c r="J44" s="9">
        <f>'BR OBS'!J46</f>
        <v>6524</v>
      </c>
      <c r="K44" s="9">
        <f>'BR OBS'!K46</f>
        <v>7242</v>
      </c>
      <c r="L44" s="9">
        <f>'BR OBS'!L46</f>
        <v>19707</v>
      </c>
      <c r="M44" s="9">
        <f>'BR OBS'!M46</f>
        <v>21391</v>
      </c>
      <c r="N44" s="9">
        <f>'BR OBS'!N46</f>
        <v>27990</v>
      </c>
      <c r="O44" s="9">
        <f>'BR OBS'!O46</f>
        <v>33995</v>
      </c>
      <c r="P44" s="9">
        <f>'BR OBS'!P46</f>
        <v>195208</v>
      </c>
      <c r="Q44" s="9">
        <f>'BR OBS'!Q46</f>
        <v>30798</v>
      </c>
      <c r="R44" s="9">
        <f>'BR OBS'!R46</f>
        <v>226230</v>
      </c>
      <c r="S44" s="9">
        <f>'BR OBS'!S46</f>
        <v>137566</v>
      </c>
      <c r="T44" s="9">
        <f>'BR OBS'!T46</f>
        <v>43927</v>
      </c>
      <c r="U44" s="9">
        <f>'BR OBS'!U46</f>
        <v>40747</v>
      </c>
      <c r="V44" s="9">
        <f>'BR OBS'!V46</f>
        <v>28732</v>
      </c>
      <c r="W44" s="9">
        <f>'BR OBS'!W46</f>
        <v>21430</v>
      </c>
      <c r="X44" s="9"/>
      <c r="Y44" s="9">
        <f>'BR SA'!B46</f>
        <v>13399</v>
      </c>
      <c r="Z44" s="9">
        <f>'BR SA'!C46</f>
        <v>50042</v>
      </c>
      <c r="AA44" s="9">
        <f>'BR SA'!D46</f>
        <v>1823</v>
      </c>
      <c r="AB44" s="9">
        <f>'BR SA'!E46</f>
        <v>30941</v>
      </c>
      <c r="AC44" s="9">
        <f>'BR SA'!F46</f>
        <v>4824</v>
      </c>
      <c r="AD44" s="9">
        <f>'BR SA'!G46</f>
        <v>11889</v>
      </c>
      <c r="AE44" s="9">
        <f>'BR SA'!H46</f>
        <v>137654</v>
      </c>
      <c r="AF44" s="9">
        <f>'BR SA'!I46</f>
        <v>17076</v>
      </c>
      <c r="AG44" s="9">
        <f>'BR SA'!J46</f>
        <v>6790</v>
      </c>
      <c r="AH44" s="9">
        <f>'BR SA'!K46</f>
        <v>7486</v>
      </c>
      <c r="AI44" s="9">
        <f>'BR SA'!L46</f>
        <v>20233</v>
      </c>
      <c r="AJ44" s="9">
        <f>'BR SA'!M46</f>
        <v>21494</v>
      </c>
      <c r="AK44" s="9">
        <f>'BR SA'!N46</f>
        <v>29080</v>
      </c>
      <c r="AL44" s="9">
        <f>'BR SA'!O46</f>
        <v>34139</v>
      </c>
      <c r="AM44" s="9">
        <f>'BR SA'!P46</f>
        <v>201266</v>
      </c>
      <c r="AN44" s="9">
        <f>'BR SA'!Q46</f>
        <v>232662</v>
      </c>
      <c r="AO44" s="9">
        <f>'BR SA'!R46</f>
        <v>141307</v>
      </c>
      <c r="AP44" s="9">
        <f>'BR SA'!S46</f>
        <v>45009</v>
      </c>
      <c r="AQ44" s="9">
        <f>'BR SA'!T46</f>
        <v>42067</v>
      </c>
      <c r="AR44" s="9">
        <f>'BR SA'!U46</f>
        <v>30866</v>
      </c>
      <c r="AS44" s="9">
        <f>'BR SA'!V46</f>
        <v>22284</v>
      </c>
      <c r="AU44" s="9">
        <v>13399</v>
      </c>
      <c r="AV44" s="9">
        <v>50042</v>
      </c>
      <c r="AW44" s="9">
        <v>1824</v>
      </c>
      <c r="AX44" s="9">
        <v>30941</v>
      </c>
      <c r="AY44" s="9">
        <v>4824</v>
      </c>
      <c r="AZ44" s="9">
        <v>11897</v>
      </c>
      <c r="BA44" s="9">
        <v>137654</v>
      </c>
      <c r="BB44" s="9">
        <v>17075</v>
      </c>
      <c r="BC44" s="9">
        <v>6790</v>
      </c>
      <c r="BD44" s="9">
        <v>7486</v>
      </c>
      <c r="BE44" s="9">
        <v>20233</v>
      </c>
      <c r="BF44" s="9">
        <v>21583</v>
      </c>
      <c r="BG44" s="9">
        <v>29057</v>
      </c>
      <c r="BH44" s="9">
        <v>34197</v>
      </c>
      <c r="BI44" s="9">
        <v>201266</v>
      </c>
      <c r="BJ44" s="9">
        <v>31465</v>
      </c>
      <c r="BK44" s="9">
        <v>232662</v>
      </c>
      <c r="BL44" s="9">
        <v>141308</v>
      </c>
      <c r="BM44" s="9">
        <v>45005</v>
      </c>
      <c r="BN44" s="9">
        <v>42067</v>
      </c>
      <c r="BO44" s="9">
        <v>30866</v>
      </c>
      <c r="BP44" s="9">
        <v>22283</v>
      </c>
      <c r="BQ44" s="4"/>
      <c r="BR44" s="5">
        <f t="shared" si="1"/>
        <v>0</v>
      </c>
      <c r="CB44">
        <v>232729</v>
      </c>
    </row>
    <row r="45" spans="1:80" x14ac:dyDescent="0.25">
      <c r="A45" s="8">
        <v>38808</v>
      </c>
      <c r="B45" s="9">
        <f>'BR OBS'!B47</f>
        <v>15123</v>
      </c>
      <c r="C45" s="9">
        <f>'BR OBS'!C47</f>
        <v>48981</v>
      </c>
      <c r="D45" s="9">
        <f>'BR OBS'!D47</f>
        <v>1789</v>
      </c>
      <c r="E45" s="9">
        <f>'BR OBS'!E47</f>
        <v>30184</v>
      </c>
      <c r="F45" s="9">
        <f>'BR OBS'!F47</f>
        <v>4824</v>
      </c>
      <c r="G45" s="9">
        <f>'BR OBS'!G47</f>
        <v>11399</v>
      </c>
      <c r="H45" s="9">
        <f>'BR OBS'!H47</f>
        <v>137676</v>
      </c>
      <c r="I45" s="9">
        <f>'BR OBS'!I47</f>
        <v>16896</v>
      </c>
      <c r="J45" s="9">
        <f>'BR OBS'!J47</f>
        <v>6723</v>
      </c>
      <c r="K45" s="9">
        <f>'BR OBS'!K47</f>
        <v>7341</v>
      </c>
      <c r="L45" s="9">
        <f>'BR OBS'!L47</f>
        <v>20364</v>
      </c>
      <c r="M45" s="9">
        <f>'BR OBS'!M47</f>
        <v>21839</v>
      </c>
      <c r="N45" s="9">
        <f>'BR OBS'!N47</f>
        <v>28890</v>
      </c>
      <c r="O45" s="9">
        <f>'BR OBS'!O47</f>
        <v>34597</v>
      </c>
      <c r="P45" s="9">
        <f>'BR OBS'!P47</f>
        <v>201210</v>
      </c>
      <c r="Q45" s="9">
        <f>'BR OBS'!Q47</f>
        <v>31768</v>
      </c>
      <c r="R45" s="9">
        <f>'BR OBS'!R47</f>
        <v>233213</v>
      </c>
      <c r="S45" s="9">
        <f>'BR OBS'!S47</f>
        <v>141634</v>
      </c>
      <c r="T45" s="9">
        <f>'BR OBS'!T47</f>
        <v>44897</v>
      </c>
      <c r="U45" s="9">
        <f>'BR OBS'!U47</f>
        <v>41478</v>
      </c>
      <c r="V45" s="9">
        <f>'BR OBS'!V47</f>
        <v>29194</v>
      </c>
      <c r="W45" s="9">
        <f>'BR OBS'!W47</f>
        <v>22476</v>
      </c>
      <c r="X45" s="9"/>
      <c r="Y45" s="9">
        <f>'BR SA'!B47</f>
        <v>13554</v>
      </c>
      <c r="Z45" s="9">
        <f>'BR SA'!C47</f>
        <v>49430</v>
      </c>
      <c r="AA45" s="9">
        <f>'BR SA'!D47</f>
        <v>1810</v>
      </c>
      <c r="AB45" s="9">
        <f>'BR SA'!E47</f>
        <v>30284</v>
      </c>
      <c r="AC45" s="9">
        <f>'BR SA'!F47</f>
        <v>4848</v>
      </c>
      <c r="AD45" s="9">
        <f>'BR SA'!G47</f>
        <v>11619</v>
      </c>
      <c r="AE45" s="9">
        <f>'BR SA'!H47</f>
        <v>138431</v>
      </c>
      <c r="AF45" s="9">
        <f>'BR SA'!I47</f>
        <v>16973</v>
      </c>
      <c r="AG45" s="9">
        <f>'BR SA'!J47</f>
        <v>6728</v>
      </c>
      <c r="AH45" s="9">
        <f>'BR SA'!K47</f>
        <v>7447</v>
      </c>
      <c r="AI45" s="9">
        <f>'BR SA'!L47</f>
        <v>20891</v>
      </c>
      <c r="AJ45" s="9">
        <f>'BR SA'!M47</f>
        <v>21864</v>
      </c>
      <c r="AK45" s="9">
        <f>'BR SA'!N47</f>
        <v>29254</v>
      </c>
      <c r="AL45" s="9">
        <f>'BR SA'!O47</f>
        <v>34337</v>
      </c>
      <c r="AM45" s="9">
        <f>'BR SA'!P47</f>
        <v>200958</v>
      </c>
      <c r="AN45" s="9">
        <f>'BR SA'!Q47</f>
        <v>233224</v>
      </c>
      <c r="AO45" s="9">
        <f>'BR SA'!R47</f>
        <v>143106</v>
      </c>
      <c r="AP45" s="9">
        <f>'BR SA'!S47</f>
        <v>45025</v>
      </c>
      <c r="AQ45" s="9">
        <f>'BR SA'!T47</f>
        <v>41812</v>
      </c>
      <c r="AR45" s="9">
        <f>'BR SA'!U47</f>
        <v>29142</v>
      </c>
      <c r="AS45" s="9">
        <f>'BR SA'!V47</f>
        <v>22952</v>
      </c>
      <c r="AU45" s="9">
        <v>13554</v>
      </c>
      <c r="AV45" s="9">
        <v>49431</v>
      </c>
      <c r="AW45" s="9">
        <v>1811</v>
      </c>
      <c r="AX45" s="9">
        <v>30284</v>
      </c>
      <c r="AY45" s="9">
        <v>4848</v>
      </c>
      <c r="AZ45" s="9">
        <v>11618</v>
      </c>
      <c r="BA45" s="9">
        <v>138430</v>
      </c>
      <c r="BB45" s="9">
        <v>16973</v>
      </c>
      <c r="BC45" s="9">
        <v>6728</v>
      </c>
      <c r="BD45" s="9">
        <v>7447</v>
      </c>
      <c r="BE45" s="9">
        <v>20891</v>
      </c>
      <c r="BF45" s="9">
        <v>21862</v>
      </c>
      <c r="BG45" s="9">
        <v>29265</v>
      </c>
      <c r="BH45" s="9">
        <v>34362</v>
      </c>
      <c r="BI45" s="9">
        <v>200958</v>
      </c>
      <c r="BJ45" s="9">
        <v>31809</v>
      </c>
      <c r="BK45" s="9">
        <v>233224</v>
      </c>
      <c r="BL45" s="9">
        <v>143106</v>
      </c>
      <c r="BM45" s="9">
        <v>45024</v>
      </c>
      <c r="BN45" s="9">
        <v>41812</v>
      </c>
      <c r="BO45" s="9">
        <v>29142</v>
      </c>
      <c r="BP45" s="9">
        <v>22952</v>
      </c>
      <c r="BQ45" s="4"/>
      <c r="BR45" s="5">
        <f t="shared" si="1"/>
        <v>0</v>
      </c>
      <c r="CB45">
        <v>233254</v>
      </c>
    </row>
    <row r="46" spans="1:80" x14ac:dyDescent="0.25">
      <c r="A46" s="8">
        <v>38899</v>
      </c>
      <c r="B46" s="9">
        <f>'BR OBS'!B48</f>
        <v>14659</v>
      </c>
      <c r="C46" s="9">
        <f>'BR OBS'!C48</f>
        <v>52415</v>
      </c>
      <c r="D46" s="9">
        <f>'BR OBS'!D48</f>
        <v>1892</v>
      </c>
      <c r="E46" s="9">
        <f>'BR OBS'!E48</f>
        <v>32549</v>
      </c>
      <c r="F46" s="9">
        <f>'BR OBS'!F48</f>
        <v>4983</v>
      </c>
      <c r="G46" s="9">
        <f>'BR OBS'!G48</f>
        <v>12269</v>
      </c>
      <c r="H46" s="9">
        <f>'BR OBS'!H48</f>
        <v>141424</v>
      </c>
      <c r="I46" s="9">
        <f>'BR OBS'!I48</f>
        <v>17693</v>
      </c>
      <c r="J46" s="9">
        <f>'BR OBS'!J48</f>
        <v>6846</v>
      </c>
      <c r="K46" s="9">
        <f>'BR OBS'!K48</f>
        <v>7730</v>
      </c>
      <c r="L46" s="9">
        <f>'BR OBS'!L48</f>
        <v>21030</v>
      </c>
      <c r="M46" s="9">
        <f>'BR OBS'!M48</f>
        <v>22358</v>
      </c>
      <c r="N46" s="9">
        <f>'BR OBS'!N48</f>
        <v>29964</v>
      </c>
      <c r="O46" s="9">
        <f>'BR OBS'!O48</f>
        <v>34584</v>
      </c>
      <c r="P46" s="9">
        <f>'BR OBS'!P48</f>
        <v>208350</v>
      </c>
      <c r="Q46" s="9">
        <f>'BR OBS'!Q48</f>
        <v>32743</v>
      </c>
      <c r="R46" s="9">
        <f>'BR OBS'!R48</f>
        <v>241316</v>
      </c>
      <c r="S46" s="9">
        <f>'BR OBS'!S48</f>
        <v>145156</v>
      </c>
      <c r="T46" s="9">
        <f>'BR OBS'!T48</f>
        <v>45542</v>
      </c>
      <c r="U46" s="9">
        <f>'BR OBS'!U48</f>
        <v>43698</v>
      </c>
      <c r="V46" s="9">
        <f>'BR OBS'!V48</f>
        <v>34770</v>
      </c>
      <c r="W46" s="9">
        <f>'BR OBS'!W48</f>
        <v>25320</v>
      </c>
      <c r="X46" s="9"/>
      <c r="Y46" s="9">
        <f>'BR SA'!B48</f>
        <v>14139</v>
      </c>
      <c r="Z46" s="9">
        <f>'BR SA'!C48</f>
        <v>50239</v>
      </c>
      <c r="AA46" s="9">
        <f>'BR SA'!D48</f>
        <v>1841</v>
      </c>
      <c r="AB46" s="9">
        <f>'BR SA'!E48</f>
        <v>30813</v>
      </c>
      <c r="AC46" s="9">
        <f>'BR SA'!F48</f>
        <v>4982</v>
      </c>
      <c r="AD46" s="9">
        <f>'BR SA'!G48</f>
        <v>11773</v>
      </c>
      <c r="AE46" s="9">
        <f>'BR SA'!H48</f>
        <v>140126</v>
      </c>
      <c r="AF46" s="9">
        <f>'BR SA'!I48</f>
        <v>17279</v>
      </c>
      <c r="AG46" s="9">
        <f>'BR SA'!J48</f>
        <v>6743</v>
      </c>
      <c r="AH46" s="9">
        <f>'BR SA'!K48</f>
        <v>7762</v>
      </c>
      <c r="AI46" s="9">
        <f>'BR SA'!L48</f>
        <v>20806</v>
      </c>
      <c r="AJ46" s="9">
        <f>'BR SA'!M48</f>
        <v>22313</v>
      </c>
      <c r="AK46" s="9">
        <f>'BR SA'!N48</f>
        <v>29664</v>
      </c>
      <c r="AL46" s="9">
        <f>'BR SA'!O48</f>
        <v>34566</v>
      </c>
      <c r="AM46" s="9">
        <f>'BR SA'!P48</f>
        <v>204400</v>
      </c>
      <c r="AN46" s="9">
        <f>'BR SA'!Q48</f>
        <v>237037</v>
      </c>
      <c r="AO46" s="9">
        <f>'BR SA'!R48</f>
        <v>144587</v>
      </c>
      <c r="AP46" s="9">
        <f>'BR SA'!S48</f>
        <v>45551</v>
      </c>
      <c r="AQ46" s="9">
        <f>'BR SA'!T48</f>
        <v>42062</v>
      </c>
      <c r="AR46" s="9">
        <f>'BR SA'!U48</f>
        <v>33257</v>
      </c>
      <c r="AS46" s="9">
        <f>'BR SA'!V48</f>
        <v>24387</v>
      </c>
      <c r="AU46" s="9">
        <v>14139</v>
      </c>
      <c r="AV46" s="9">
        <v>50239</v>
      </c>
      <c r="AW46" s="9">
        <v>1841</v>
      </c>
      <c r="AX46" s="9">
        <v>30813</v>
      </c>
      <c r="AY46" s="9">
        <v>4982</v>
      </c>
      <c r="AZ46" s="9">
        <v>11798</v>
      </c>
      <c r="BA46" s="9">
        <v>140127</v>
      </c>
      <c r="BB46" s="9">
        <v>17279</v>
      </c>
      <c r="BC46" s="9">
        <v>6743</v>
      </c>
      <c r="BD46" s="9">
        <v>7762</v>
      </c>
      <c r="BE46" s="9">
        <v>20807</v>
      </c>
      <c r="BF46" s="9">
        <v>22246</v>
      </c>
      <c r="BG46" s="9">
        <v>29684</v>
      </c>
      <c r="BH46" s="9">
        <v>34513</v>
      </c>
      <c r="BI46" s="9">
        <v>204400</v>
      </c>
      <c r="BJ46" s="9">
        <v>32388</v>
      </c>
      <c r="BK46" s="9">
        <v>237037</v>
      </c>
      <c r="BL46" s="9">
        <v>144587</v>
      </c>
      <c r="BM46" s="9">
        <v>45552</v>
      </c>
      <c r="BN46" s="9">
        <v>42062</v>
      </c>
      <c r="BO46" s="9">
        <v>33256</v>
      </c>
      <c r="BP46" s="9">
        <v>24387</v>
      </c>
      <c r="BQ46" s="4"/>
      <c r="BR46" s="5">
        <f t="shared" si="1"/>
        <v>0</v>
      </c>
      <c r="CB46">
        <v>237034</v>
      </c>
    </row>
    <row r="47" spans="1:80" x14ac:dyDescent="0.25">
      <c r="A47" s="8">
        <v>38991</v>
      </c>
      <c r="B47" s="9">
        <f>'BR OBS'!B49</f>
        <v>10276</v>
      </c>
      <c r="C47" s="9">
        <f>'BR OBS'!C49</f>
        <v>53126</v>
      </c>
      <c r="D47" s="9">
        <f>'BR OBS'!D49</f>
        <v>1943</v>
      </c>
      <c r="E47" s="9">
        <f>'BR OBS'!E49</f>
        <v>32988</v>
      </c>
      <c r="F47" s="9">
        <f>'BR OBS'!F49</f>
        <v>5071</v>
      </c>
      <c r="G47" s="9">
        <f>'BR OBS'!G49</f>
        <v>12285</v>
      </c>
      <c r="H47" s="9">
        <f>'BR OBS'!H49</f>
        <v>144090</v>
      </c>
      <c r="I47" s="9">
        <f>'BR OBS'!I49</f>
        <v>18405</v>
      </c>
      <c r="J47" s="9">
        <f>'BR OBS'!J49</f>
        <v>7030</v>
      </c>
      <c r="K47" s="9">
        <f>'BR OBS'!K49</f>
        <v>7954</v>
      </c>
      <c r="L47" s="9">
        <f>'BR OBS'!L49</f>
        <v>20748</v>
      </c>
      <c r="M47" s="9">
        <f>'BR OBS'!M49</f>
        <v>22736</v>
      </c>
      <c r="N47" s="9">
        <f>'BR OBS'!N49</f>
        <v>31064</v>
      </c>
      <c r="O47" s="9">
        <f>'BR OBS'!O49</f>
        <v>34560</v>
      </c>
      <c r="P47" s="9">
        <f>'BR OBS'!P49</f>
        <v>208172</v>
      </c>
      <c r="Q47" s="9">
        <f>'BR OBS'!Q49</f>
        <v>32347</v>
      </c>
      <c r="R47" s="9">
        <f>'BR OBS'!R49</f>
        <v>240694</v>
      </c>
      <c r="S47" s="9">
        <f>'BR OBS'!S49</f>
        <v>151063</v>
      </c>
      <c r="T47" s="9">
        <f>'BR OBS'!T49</f>
        <v>48446</v>
      </c>
      <c r="U47" s="9">
        <f>'BR OBS'!U49</f>
        <v>43532</v>
      </c>
      <c r="V47" s="9">
        <f>'BR OBS'!V49</f>
        <v>32256</v>
      </c>
      <c r="W47" s="9">
        <f>'BR OBS'!W49</f>
        <v>25335</v>
      </c>
      <c r="X47" s="9"/>
      <c r="Y47" s="9">
        <f>'BR SA'!B49</f>
        <v>14212</v>
      </c>
      <c r="Z47" s="9">
        <f>'BR SA'!C49</f>
        <v>51678</v>
      </c>
      <c r="AA47" s="9">
        <f>'BR SA'!D49</f>
        <v>1908</v>
      </c>
      <c r="AB47" s="9">
        <f>'BR SA'!E49</f>
        <v>31853</v>
      </c>
      <c r="AC47" s="9">
        <f>'BR SA'!F49</f>
        <v>4998</v>
      </c>
      <c r="AD47" s="9">
        <f>'BR SA'!G49</f>
        <v>12043</v>
      </c>
      <c r="AE47" s="9">
        <f>'BR SA'!H49</f>
        <v>141570</v>
      </c>
      <c r="AF47" s="9">
        <f>'BR SA'!I49</f>
        <v>17831</v>
      </c>
      <c r="AG47" s="9">
        <f>'BR SA'!J49</f>
        <v>6866</v>
      </c>
      <c r="AH47" s="9">
        <f>'BR SA'!K49</f>
        <v>7592</v>
      </c>
      <c r="AI47" s="9">
        <f>'BR SA'!L49</f>
        <v>20131</v>
      </c>
      <c r="AJ47" s="9">
        <f>'BR SA'!M49</f>
        <v>22649</v>
      </c>
      <c r="AK47" s="9">
        <f>'BR SA'!N49</f>
        <v>30031</v>
      </c>
      <c r="AL47" s="9">
        <f>'BR SA'!O49</f>
        <v>34854</v>
      </c>
      <c r="AM47" s="9">
        <f>'BR SA'!P49</f>
        <v>207358</v>
      </c>
      <c r="AN47" s="9">
        <f>'BR SA'!Q49</f>
        <v>239848</v>
      </c>
      <c r="AO47" s="9">
        <f>'BR SA'!R49</f>
        <v>146669</v>
      </c>
      <c r="AP47" s="9">
        <f>'BR SA'!S49</f>
        <v>47220</v>
      </c>
      <c r="AQ47" s="9">
        <f>'BR SA'!T49</f>
        <v>43350</v>
      </c>
      <c r="AR47" s="9">
        <f>'BR SA'!U49</f>
        <v>32347</v>
      </c>
      <c r="AS47" s="9">
        <f>'BR SA'!V49</f>
        <v>25225</v>
      </c>
      <c r="AU47" s="9">
        <v>14211</v>
      </c>
      <c r="AV47" s="9">
        <v>51678</v>
      </c>
      <c r="AW47" s="9">
        <v>1908</v>
      </c>
      <c r="AX47" s="9">
        <v>31854</v>
      </c>
      <c r="AY47" s="9">
        <v>4998</v>
      </c>
      <c r="AZ47" s="9">
        <v>12102</v>
      </c>
      <c r="BA47" s="9">
        <v>141570</v>
      </c>
      <c r="BB47" s="9">
        <v>17831</v>
      </c>
      <c r="BC47" s="9">
        <v>6865</v>
      </c>
      <c r="BD47" s="9">
        <v>7592</v>
      </c>
      <c r="BE47" s="9">
        <v>20131</v>
      </c>
      <c r="BF47" s="9">
        <v>22539</v>
      </c>
      <c r="BG47" s="9">
        <v>30052</v>
      </c>
      <c r="BH47" s="9">
        <v>34791</v>
      </c>
      <c r="BI47" s="9">
        <v>207358</v>
      </c>
      <c r="BJ47" s="9">
        <v>32258</v>
      </c>
      <c r="BK47" s="9">
        <v>239848</v>
      </c>
      <c r="BL47" s="9">
        <v>146669</v>
      </c>
      <c r="BM47" s="9">
        <v>47223</v>
      </c>
      <c r="BN47" s="9">
        <v>43350</v>
      </c>
      <c r="BO47" s="9">
        <v>32347</v>
      </c>
      <c r="BP47" s="9">
        <v>25225</v>
      </c>
      <c r="BQ47" s="4"/>
      <c r="BR47" s="5">
        <f t="shared" si="1"/>
        <v>-7.0363073459048689E-5</v>
      </c>
      <c r="CB47">
        <v>239741</v>
      </c>
    </row>
    <row r="48" spans="1:80" x14ac:dyDescent="0.25">
      <c r="A48" s="8">
        <v>39083</v>
      </c>
      <c r="B48" s="9">
        <f>'BR OBS'!B50</f>
        <v>15722</v>
      </c>
      <c r="C48" s="9">
        <f>'BR OBS'!C50</f>
        <v>48754</v>
      </c>
      <c r="D48" s="9">
        <f>'BR OBS'!D50</f>
        <v>1837</v>
      </c>
      <c r="E48" s="9">
        <f>'BR OBS'!E50</f>
        <v>29025</v>
      </c>
      <c r="F48" s="9">
        <f>'BR OBS'!F50</f>
        <v>5077</v>
      </c>
      <c r="G48" s="9">
        <f>'BR OBS'!G50</f>
        <v>12049</v>
      </c>
      <c r="H48" s="9">
        <f>'BR OBS'!H50</f>
        <v>141602</v>
      </c>
      <c r="I48" s="9">
        <f>'BR OBS'!I50</f>
        <v>17315</v>
      </c>
      <c r="J48" s="9">
        <f>'BR OBS'!J50</f>
        <v>6729</v>
      </c>
      <c r="K48" s="9">
        <f>'BR OBS'!K50</f>
        <v>7653</v>
      </c>
      <c r="L48" s="9">
        <f>'BR OBS'!L50</f>
        <v>21989</v>
      </c>
      <c r="M48" s="9">
        <f>'BR OBS'!M50</f>
        <v>22920</v>
      </c>
      <c r="N48" s="9">
        <f>'BR OBS'!N50</f>
        <v>29345</v>
      </c>
      <c r="O48" s="9">
        <f>'BR OBS'!O50</f>
        <v>35013</v>
      </c>
      <c r="P48" s="9">
        <f>'BR OBS'!P50</f>
        <v>205182</v>
      </c>
      <c r="Q48" s="9">
        <f>'BR OBS'!Q50</f>
        <v>32550</v>
      </c>
      <c r="R48" s="9">
        <f>'BR OBS'!R50</f>
        <v>237982</v>
      </c>
      <c r="S48" s="9">
        <f>'BR OBS'!S50</f>
        <v>146310</v>
      </c>
      <c r="T48" s="9">
        <f>'BR OBS'!T50</f>
        <v>45834</v>
      </c>
      <c r="U48" s="9">
        <f>'BR OBS'!U50</f>
        <v>43681</v>
      </c>
      <c r="V48" s="9">
        <f>'BR OBS'!V50</f>
        <v>30322</v>
      </c>
      <c r="W48" s="9">
        <f>'BR OBS'!W50</f>
        <v>25578</v>
      </c>
      <c r="X48" s="9"/>
      <c r="Y48" s="9">
        <f>'BR SA'!B50</f>
        <v>13984</v>
      </c>
      <c r="Z48" s="9">
        <f>'BR SA'!C50</f>
        <v>51933</v>
      </c>
      <c r="AA48" s="9">
        <f>'BR SA'!D50</f>
        <v>1903</v>
      </c>
      <c r="AB48" s="9">
        <f>'BR SA'!E50</f>
        <v>31744</v>
      </c>
      <c r="AC48" s="9">
        <f>'BR SA'!F50</f>
        <v>5135</v>
      </c>
      <c r="AD48" s="9">
        <f>'BR SA'!G50</f>
        <v>12639</v>
      </c>
      <c r="AE48" s="9">
        <f>'BR SA'!H50</f>
        <v>145315</v>
      </c>
      <c r="AF48" s="9">
        <f>'BR SA'!I50</f>
        <v>18262</v>
      </c>
      <c r="AG48" s="9">
        <f>'BR SA'!J50</f>
        <v>6992</v>
      </c>
      <c r="AH48" s="9">
        <f>'BR SA'!K50</f>
        <v>7900</v>
      </c>
      <c r="AI48" s="9">
        <f>'BR SA'!L50</f>
        <v>22312</v>
      </c>
      <c r="AJ48" s="9">
        <f>'BR SA'!M50</f>
        <v>23031</v>
      </c>
      <c r="AK48" s="9">
        <f>'BR SA'!N50</f>
        <v>30483</v>
      </c>
      <c r="AL48" s="9">
        <f>'BR SA'!O50</f>
        <v>35153</v>
      </c>
      <c r="AM48" s="9">
        <f>'BR SA'!P50</f>
        <v>211381</v>
      </c>
      <c r="AN48" s="9">
        <f>'BR SA'!Q50</f>
        <v>244629</v>
      </c>
      <c r="AO48" s="9">
        <f>'BR SA'!R50</f>
        <v>150332</v>
      </c>
      <c r="AP48" s="9">
        <f>'BR SA'!S50</f>
        <v>46899</v>
      </c>
      <c r="AQ48" s="9">
        <f>'BR SA'!T50</f>
        <v>45365</v>
      </c>
      <c r="AR48" s="9">
        <f>'BR SA'!U50</f>
        <v>32961</v>
      </c>
      <c r="AS48" s="9">
        <f>'BR SA'!V50</f>
        <v>26694</v>
      </c>
      <c r="AU48" s="9">
        <v>13984</v>
      </c>
      <c r="AV48" s="9">
        <v>51933</v>
      </c>
      <c r="AW48" s="9">
        <v>1903</v>
      </c>
      <c r="AX48" s="9">
        <v>31745</v>
      </c>
      <c r="AY48" s="9">
        <v>5135</v>
      </c>
      <c r="AZ48" s="9">
        <v>12641</v>
      </c>
      <c r="BA48" s="9">
        <v>145315</v>
      </c>
      <c r="BB48" s="9">
        <v>18262</v>
      </c>
      <c r="BC48" s="9">
        <v>6992</v>
      </c>
      <c r="BD48" s="9">
        <v>7900</v>
      </c>
      <c r="BE48" s="9">
        <v>22311</v>
      </c>
      <c r="BF48" s="9">
        <v>23118</v>
      </c>
      <c r="BG48" s="9">
        <v>30460</v>
      </c>
      <c r="BH48" s="9">
        <v>35212</v>
      </c>
      <c r="BI48" s="9">
        <v>211381</v>
      </c>
      <c r="BJ48" s="9">
        <v>33359</v>
      </c>
      <c r="BK48" s="9">
        <v>244629</v>
      </c>
      <c r="BL48" s="9">
        <v>150333</v>
      </c>
      <c r="BM48" s="9">
        <v>46897</v>
      </c>
      <c r="BN48" s="9">
        <v>45364</v>
      </c>
      <c r="BO48" s="9">
        <v>32961</v>
      </c>
      <c r="BP48" s="9">
        <v>26694</v>
      </c>
      <c r="BQ48" s="4"/>
      <c r="BR48" s="5">
        <f t="shared" si="1"/>
        <v>0</v>
      </c>
      <c r="CB48">
        <v>244745</v>
      </c>
    </row>
    <row r="49" spans="1:80" x14ac:dyDescent="0.25">
      <c r="A49" s="8">
        <v>39173</v>
      </c>
      <c r="B49" s="9">
        <f>'BR OBS'!B51</f>
        <v>15214</v>
      </c>
      <c r="C49" s="9">
        <f>'BR OBS'!C51</f>
        <v>53266</v>
      </c>
      <c r="D49" s="9">
        <f>'BR OBS'!D51</f>
        <v>1897</v>
      </c>
      <c r="E49" s="9">
        <f>'BR OBS'!E51</f>
        <v>32752</v>
      </c>
      <c r="F49" s="9">
        <f>'BR OBS'!F51</f>
        <v>5224</v>
      </c>
      <c r="G49" s="9">
        <f>'BR OBS'!G51</f>
        <v>12796</v>
      </c>
      <c r="H49" s="9">
        <f>'BR OBS'!H51</f>
        <v>145925</v>
      </c>
      <c r="I49" s="9">
        <f>'BR OBS'!I51</f>
        <v>18518</v>
      </c>
      <c r="J49" s="9">
        <f>'BR OBS'!J51</f>
        <v>7050</v>
      </c>
      <c r="K49" s="9">
        <f>'BR OBS'!K51</f>
        <v>7846</v>
      </c>
      <c r="L49" s="9">
        <f>'BR OBS'!L51</f>
        <v>22831</v>
      </c>
      <c r="M49" s="9">
        <f>'BR OBS'!M51</f>
        <v>23365</v>
      </c>
      <c r="N49" s="9">
        <f>'BR OBS'!N51</f>
        <v>30027</v>
      </c>
      <c r="O49" s="9">
        <f>'BR OBS'!O51</f>
        <v>35420</v>
      </c>
      <c r="P49" s="9">
        <f>'BR OBS'!P51</f>
        <v>214078</v>
      </c>
      <c r="Q49" s="9">
        <f>'BR OBS'!Q51</f>
        <v>34105</v>
      </c>
      <c r="R49" s="9">
        <f>'BR OBS'!R51</f>
        <v>248459</v>
      </c>
      <c r="S49" s="9">
        <f>'BR OBS'!S51</f>
        <v>150377</v>
      </c>
      <c r="T49" s="9">
        <f>'BR OBS'!T51</f>
        <v>47861</v>
      </c>
      <c r="U49" s="9">
        <f>'BR OBS'!U51</f>
        <v>46636</v>
      </c>
      <c r="V49" s="9">
        <f>'BR OBS'!V51</f>
        <v>32943</v>
      </c>
      <c r="W49" s="9">
        <f>'BR OBS'!W51</f>
        <v>26428</v>
      </c>
      <c r="X49" s="9"/>
      <c r="Y49" s="9">
        <f>'BR SA'!B51</f>
        <v>13696</v>
      </c>
      <c r="Z49" s="9">
        <f>'BR SA'!C51</f>
        <v>53709</v>
      </c>
      <c r="AA49" s="9">
        <f>'BR SA'!D51</f>
        <v>1915</v>
      </c>
      <c r="AB49" s="9">
        <f>'BR SA'!E51</f>
        <v>32900</v>
      </c>
      <c r="AC49" s="9">
        <f>'BR SA'!F51</f>
        <v>5246</v>
      </c>
      <c r="AD49" s="9">
        <f>'BR SA'!G51</f>
        <v>12987</v>
      </c>
      <c r="AE49" s="9">
        <f>'BR SA'!H51</f>
        <v>146614</v>
      </c>
      <c r="AF49" s="9">
        <f>'BR SA'!I51</f>
        <v>18622</v>
      </c>
      <c r="AG49" s="9">
        <f>'BR SA'!J51</f>
        <v>7064</v>
      </c>
      <c r="AH49" s="9">
        <f>'BR SA'!K51</f>
        <v>7967</v>
      </c>
      <c r="AI49" s="9">
        <f>'BR SA'!L51</f>
        <v>23193</v>
      </c>
      <c r="AJ49" s="9">
        <f>'BR SA'!M51</f>
        <v>23385</v>
      </c>
      <c r="AK49" s="9">
        <f>'BR SA'!N51</f>
        <v>30389</v>
      </c>
      <c r="AL49" s="9">
        <f>'BR SA'!O51</f>
        <v>35169</v>
      </c>
      <c r="AM49" s="9">
        <f>'BR SA'!P51</f>
        <v>213767</v>
      </c>
      <c r="AN49" s="9">
        <f>'BR SA'!Q51</f>
        <v>248430</v>
      </c>
      <c r="AO49" s="9">
        <f>'BR SA'!R51</f>
        <v>151883</v>
      </c>
      <c r="AP49" s="9">
        <f>'BR SA'!S51</f>
        <v>48028</v>
      </c>
      <c r="AQ49" s="9">
        <f>'BR SA'!T51</f>
        <v>47117</v>
      </c>
      <c r="AR49" s="9">
        <f>'BR SA'!U51</f>
        <v>32630</v>
      </c>
      <c r="AS49" s="9">
        <f>'BR SA'!V51</f>
        <v>27091</v>
      </c>
      <c r="AU49" s="9">
        <v>13697</v>
      </c>
      <c r="AV49" s="9">
        <v>53710</v>
      </c>
      <c r="AW49" s="9">
        <v>1915</v>
      </c>
      <c r="AX49" s="9">
        <v>32899</v>
      </c>
      <c r="AY49" s="9">
        <v>5245</v>
      </c>
      <c r="AZ49" s="9">
        <v>12986</v>
      </c>
      <c r="BA49" s="9">
        <v>146615</v>
      </c>
      <c r="BB49" s="9">
        <v>18622</v>
      </c>
      <c r="BC49" s="9">
        <v>7064</v>
      </c>
      <c r="BD49" s="9">
        <v>7967</v>
      </c>
      <c r="BE49" s="9">
        <v>23193</v>
      </c>
      <c r="BF49" s="9">
        <v>23385</v>
      </c>
      <c r="BG49" s="9">
        <v>30395</v>
      </c>
      <c r="BH49" s="9">
        <v>35193</v>
      </c>
      <c r="BI49" s="9">
        <v>213767</v>
      </c>
      <c r="BJ49" s="9">
        <v>34119</v>
      </c>
      <c r="BK49" s="9">
        <v>248430</v>
      </c>
      <c r="BL49" s="9">
        <v>151883</v>
      </c>
      <c r="BM49" s="9">
        <v>48027</v>
      </c>
      <c r="BN49" s="9">
        <v>47117</v>
      </c>
      <c r="BO49" s="9">
        <v>32630</v>
      </c>
      <c r="BP49" s="9">
        <v>27091</v>
      </c>
      <c r="BQ49" s="4"/>
      <c r="BR49" s="5">
        <f t="shared" si="1"/>
        <v>7.301401869158878E-5</v>
      </c>
      <c r="CB49">
        <v>248428</v>
      </c>
    </row>
    <row r="50" spans="1:80" x14ac:dyDescent="0.25">
      <c r="A50" s="8">
        <v>39264</v>
      </c>
      <c r="B50" s="9">
        <f>'BR OBS'!B52</f>
        <v>15345</v>
      </c>
      <c r="C50" s="9">
        <f>'BR OBS'!C52</f>
        <v>56059</v>
      </c>
      <c r="D50" s="9">
        <f>'BR OBS'!D52</f>
        <v>1926</v>
      </c>
      <c r="E50" s="9">
        <f>'BR OBS'!E52</f>
        <v>35003</v>
      </c>
      <c r="F50" s="9">
        <f>'BR OBS'!F52</f>
        <v>5223</v>
      </c>
      <c r="G50" s="9">
        <f>'BR OBS'!G52</f>
        <v>13549</v>
      </c>
      <c r="H50" s="9">
        <f>'BR OBS'!H52</f>
        <v>149024</v>
      </c>
      <c r="I50" s="9">
        <f>'BR OBS'!I52</f>
        <v>19257</v>
      </c>
      <c r="J50" s="9">
        <f>'BR OBS'!J52</f>
        <v>7174</v>
      </c>
      <c r="K50" s="9">
        <f>'BR OBS'!K52</f>
        <v>8029</v>
      </c>
      <c r="L50" s="9">
        <f>'BR OBS'!L52</f>
        <v>23926</v>
      </c>
      <c r="M50" s="9">
        <f>'BR OBS'!M52</f>
        <v>23613</v>
      </c>
      <c r="N50" s="9">
        <f>'BR OBS'!N52</f>
        <v>30807</v>
      </c>
      <c r="O50" s="9">
        <f>'BR OBS'!O52</f>
        <v>35306</v>
      </c>
      <c r="P50" s="9">
        <f>'BR OBS'!P52</f>
        <v>220337</v>
      </c>
      <c r="Q50" s="9">
        <f>'BR OBS'!Q52</f>
        <v>34884</v>
      </c>
      <c r="R50" s="9">
        <f>'BR OBS'!R52</f>
        <v>255482</v>
      </c>
      <c r="S50" s="9">
        <f>'BR OBS'!S52</f>
        <v>153564</v>
      </c>
      <c r="T50" s="9">
        <f>'BR OBS'!T52</f>
        <v>47761</v>
      </c>
      <c r="U50" s="9">
        <f>'BR OBS'!U52</f>
        <v>49916</v>
      </c>
      <c r="V50" s="9">
        <f>'BR OBS'!V52</f>
        <v>35179</v>
      </c>
      <c r="W50" s="9">
        <f>'BR OBS'!W52</f>
        <v>30227</v>
      </c>
      <c r="X50" s="9"/>
      <c r="Y50" s="9">
        <f>'BR SA'!B52</f>
        <v>14729</v>
      </c>
      <c r="Z50" s="9">
        <f>'BR SA'!C52</f>
        <v>53882</v>
      </c>
      <c r="AA50" s="9">
        <f>'BR SA'!D52</f>
        <v>1875</v>
      </c>
      <c r="AB50" s="9">
        <f>'BR SA'!E52</f>
        <v>33290</v>
      </c>
      <c r="AC50" s="9">
        <f>'BR SA'!F52</f>
        <v>5217</v>
      </c>
      <c r="AD50" s="9">
        <f>'BR SA'!G52</f>
        <v>12993</v>
      </c>
      <c r="AE50" s="9">
        <f>'BR SA'!H52</f>
        <v>147651</v>
      </c>
      <c r="AF50" s="9">
        <f>'BR SA'!I52</f>
        <v>18757</v>
      </c>
      <c r="AG50" s="9">
        <f>'BR SA'!J52</f>
        <v>7051</v>
      </c>
      <c r="AH50" s="9">
        <f>'BR SA'!K52</f>
        <v>8059</v>
      </c>
      <c r="AI50" s="9">
        <f>'BR SA'!L52</f>
        <v>23857</v>
      </c>
      <c r="AJ50" s="9">
        <f>'BR SA'!M52</f>
        <v>23570</v>
      </c>
      <c r="AK50" s="9">
        <f>'BR SA'!N52</f>
        <v>30488</v>
      </c>
      <c r="AL50" s="9">
        <f>'BR SA'!O52</f>
        <v>35289</v>
      </c>
      <c r="AM50" s="9">
        <f>'BR SA'!P52</f>
        <v>216265</v>
      </c>
      <c r="AN50" s="9">
        <f>'BR SA'!Q52</f>
        <v>250999</v>
      </c>
      <c r="AO50" s="9">
        <f>'BR SA'!R52</f>
        <v>152843</v>
      </c>
      <c r="AP50" s="9">
        <f>'BR SA'!S52</f>
        <v>47771</v>
      </c>
      <c r="AQ50" s="9">
        <f>'BR SA'!T52</f>
        <v>47804</v>
      </c>
      <c r="AR50" s="9">
        <f>'BR SA'!U52</f>
        <v>33407</v>
      </c>
      <c r="AS50" s="9">
        <f>'BR SA'!V52</f>
        <v>28984</v>
      </c>
      <c r="AU50" s="9">
        <v>14729</v>
      </c>
      <c r="AV50" s="9">
        <v>53882</v>
      </c>
      <c r="AW50" s="9">
        <v>1875</v>
      </c>
      <c r="AX50" s="9">
        <v>33290</v>
      </c>
      <c r="AY50" s="9">
        <v>5217</v>
      </c>
      <c r="AZ50" s="9">
        <v>13026</v>
      </c>
      <c r="BA50" s="9">
        <v>147651</v>
      </c>
      <c r="BB50" s="9">
        <v>18757</v>
      </c>
      <c r="BC50" s="9">
        <v>7050</v>
      </c>
      <c r="BD50" s="9">
        <v>8059</v>
      </c>
      <c r="BE50" s="9">
        <v>23856</v>
      </c>
      <c r="BF50" s="9">
        <v>23501</v>
      </c>
      <c r="BG50" s="9">
        <v>30511</v>
      </c>
      <c r="BH50" s="9">
        <v>35240</v>
      </c>
      <c r="BI50" s="9">
        <v>216265</v>
      </c>
      <c r="BJ50" s="9">
        <v>34449</v>
      </c>
      <c r="BK50" s="9">
        <v>250999</v>
      </c>
      <c r="BL50" s="9">
        <v>152844</v>
      </c>
      <c r="BM50" s="9">
        <v>47771</v>
      </c>
      <c r="BN50" s="9">
        <v>47804</v>
      </c>
      <c r="BO50" s="9">
        <v>33406</v>
      </c>
      <c r="BP50" s="9">
        <v>28984</v>
      </c>
      <c r="BQ50" s="4"/>
      <c r="BR50" s="5">
        <f t="shared" si="1"/>
        <v>0</v>
      </c>
      <c r="CB50">
        <v>250968</v>
      </c>
    </row>
    <row r="51" spans="1:80" x14ac:dyDescent="0.25">
      <c r="A51" s="8">
        <v>39356</v>
      </c>
      <c r="B51" s="9">
        <f>'BR OBS'!B53</f>
        <v>10708</v>
      </c>
      <c r="C51" s="9">
        <f>'BR OBS'!C53</f>
        <v>55760</v>
      </c>
      <c r="D51" s="9">
        <f>'BR OBS'!D53</f>
        <v>1930</v>
      </c>
      <c r="E51" s="9">
        <f>'BR OBS'!E53</f>
        <v>34704</v>
      </c>
      <c r="F51" s="9">
        <f>'BR OBS'!F53</f>
        <v>5343</v>
      </c>
      <c r="G51" s="9">
        <f>'BR OBS'!G53</f>
        <v>13299</v>
      </c>
      <c r="H51" s="9">
        <f>'BR OBS'!H53</f>
        <v>153098</v>
      </c>
      <c r="I51" s="9">
        <f>'BR OBS'!I53</f>
        <v>19823</v>
      </c>
      <c r="J51" s="9">
        <f>'BR OBS'!J53</f>
        <v>7546</v>
      </c>
      <c r="K51" s="9">
        <f>'BR OBS'!K53</f>
        <v>8682</v>
      </c>
      <c r="L51" s="9">
        <f>'BR OBS'!L53</f>
        <v>25469</v>
      </c>
      <c r="M51" s="9">
        <f>'BR OBS'!M53</f>
        <v>23729</v>
      </c>
      <c r="N51" s="9">
        <f>'BR OBS'!N53</f>
        <v>31935</v>
      </c>
      <c r="O51" s="9">
        <f>'BR OBS'!O53</f>
        <v>34970</v>
      </c>
      <c r="P51" s="9">
        <f>'BR OBS'!P53</f>
        <v>220487</v>
      </c>
      <c r="Q51" s="9">
        <f>'BR OBS'!Q53</f>
        <v>35832</v>
      </c>
      <c r="R51" s="9">
        <f>'BR OBS'!R53</f>
        <v>256675</v>
      </c>
      <c r="S51" s="9">
        <f>'BR OBS'!S53</f>
        <v>161858</v>
      </c>
      <c r="T51" s="9">
        <f>'BR OBS'!T53</f>
        <v>48795</v>
      </c>
      <c r="U51" s="9">
        <f>'BR OBS'!U53</f>
        <v>49476</v>
      </c>
      <c r="V51" s="9">
        <f>'BR OBS'!V53</f>
        <v>34226</v>
      </c>
      <c r="W51" s="9">
        <f>'BR OBS'!W53</f>
        <v>30823</v>
      </c>
      <c r="X51" s="9"/>
      <c r="Y51" s="9">
        <f>'BR SA'!B53</f>
        <v>14733</v>
      </c>
      <c r="Z51" s="9">
        <f>'BR SA'!C53</f>
        <v>54350</v>
      </c>
      <c r="AA51" s="9">
        <f>'BR SA'!D53</f>
        <v>1902</v>
      </c>
      <c r="AB51" s="9">
        <f>'BR SA'!E53</f>
        <v>33578</v>
      </c>
      <c r="AC51" s="9">
        <f>'BR SA'!F53</f>
        <v>5261</v>
      </c>
      <c r="AD51" s="9">
        <f>'BR SA'!G53</f>
        <v>13042</v>
      </c>
      <c r="AE51" s="9">
        <f>'BR SA'!H53</f>
        <v>150427</v>
      </c>
      <c r="AF51" s="9">
        <f>'BR SA'!I53</f>
        <v>19233</v>
      </c>
      <c r="AG51" s="9">
        <f>'BR SA'!J53</f>
        <v>7386</v>
      </c>
      <c r="AH51" s="9">
        <f>'BR SA'!K53</f>
        <v>8293</v>
      </c>
      <c r="AI51" s="9">
        <f>'BR SA'!L53</f>
        <v>24949</v>
      </c>
      <c r="AJ51" s="9">
        <f>'BR SA'!M53</f>
        <v>23644</v>
      </c>
      <c r="AK51" s="9">
        <f>'BR SA'!N53</f>
        <v>30823</v>
      </c>
      <c r="AL51" s="9">
        <f>'BR SA'!O53</f>
        <v>35166</v>
      </c>
      <c r="AM51" s="9">
        <f>'BR SA'!P53</f>
        <v>219054</v>
      </c>
      <c r="AN51" s="9">
        <f>'BR SA'!Q53</f>
        <v>254878</v>
      </c>
      <c r="AO51" s="9">
        <f>'BR SA'!R53</f>
        <v>157282</v>
      </c>
      <c r="AP51" s="9">
        <f>'BR SA'!S53</f>
        <v>47527</v>
      </c>
      <c r="AQ51" s="9">
        <f>'BR SA'!T53</f>
        <v>49138</v>
      </c>
      <c r="AR51" s="9">
        <f>'BR SA'!U53</f>
        <v>33374</v>
      </c>
      <c r="AS51" s="9">
        <f>'BR SA'!V53</f>
        <v>29964</v>
      </c>
      <c r="AU51" s="9">
        <v>14734</v>
      </c>
      <c r="AV51" s="9">
        <v>54350</v>
      </c>
      <c r="AW51" s="9">
        <v>1902</v>
      </c>
      <c r="AX51" s="9">
        <v>33578</v>
      </c>
      <c r="AY51" s="9">
        <v>5261</v>
      </c>
      <c r="AZ51" s="9">
        <v>13031</v>
      </c>
      <c r="BA51" s="9">
        <v>150427</v>
      </c>
      <c r="BB51" s="9">
        <v>19233</v>
      </c>
      <c r="BC51" s="9">
        <v>7385</v>
      </c>
      <c r="BD51" s="9">
        <v>8293</v>
      </c>
      <c r="BE51" s="9">
        <v>24949</v>
      </c>
      <c r="BF51" s="9">
        <v>23660</v>
      </c>
      <c r="BG51" s="9">
        <v>30808</v>
      </c>
      <c r="BH51" s="9">
        <v>35147</v>
      </c>
      <c r="BI51" s="9">
        <v>219054</v>
      </c>
      <c r="BJ51" s="9">
        <v>35372</v>
      </c>
      <c r="BK51" s="9">
        <v>254877</v>
      </c>
      <c r="BL51" s="9">
        <v>157282</v>
      </c>
      <c r="BM51" s="9">
        <v>47529</v>
      </c>
      <c r="BN51" s="9">
        <v>49137</v>
      </c>
      <c r="BO51" s="9">
        <v>33374</v>
      </c>
      <c r="BP51" s="9">
        <v>29964</v>
      </c>
      <c r="BQ51" s="4"/>
      <c r="BR51" s="5">
        <f t="shared" si="1"/>
        <v>6.7874838797257856E-5</v>
      </c>
      <c r="CB51">
        <v>254780</v>
      </c>
    </row>
    <row r="52" spans="1:80" x14ac:dyDescent="0.25">
      <c r="A52" s="8">
        <v>39448</v>
      </c>
      <c r="B52" s="9">
        <f>'BR OBS'!B54</f>
        <v>16470</v>
      </c>
      <c r="C52" s="9">
        <f>'BR OBS'!C54</f>
        <v>52236</v>
      </c>
      <c r="D52" s="9">
        <f>'BR OBS'!D54</f>
        <v>1909</v>
      </c>
      <c r="E52" s="9">
        <f>'BR OBS'!E54</f>
        <v>31782</v>
      </c>
      <c r="F52" s="9">
        <f>'BR OBS'!F54</f>
        <v>5231</v>
      </c>
      <c r="G52" s="9">
        <f>'BR OBS'!G54</f>
        <v>12652</v>
      </c>
      <c r="H52" s="9">
        <f>'BR OBS'!H54</f>
        <v>149090</v>
      </c>
      <c r="I52" s="9">
        <f>'BR OBS'!I54</f>
        <v>18657</v>
      </c>
      <c r="J52" s="9">
        <f>'BR OBS'!J54</f>
        <v>7319</v>
      </c>
      <c r="K52" s="9">
        <f>'BR OBS'!K54</f>
        <v>8362</v>
      </c>
      <c r="L52" s="9">
        <f>'BR OBS'!L54</f>
        <v>25720</v>
      </c>
      <c r="M52" s="9">
        <f>'BR OBS'!M54</f>
        <v>23551</v>
      </c>
      <c r="N52" s="9">
        <f>'BR OBS'!N54</f>
        <v>30435</v>
      </c>
      <c r="O52" s="9">
        <f>'BR OBS'!O54</f>
        <v>34879</v>
      </c>
      <c r="P52" s="9">
        <f>'BR OBS'!P54</f>
        <v>217081</v>
      </c>
      <c r="Q52" s="9">
        <f>'BR OBS'!Q54</f>
        <v>35227</v>
      </c>
      <c r="R52" s="9">
        <f>'BR OBS'!R54</f>
        <v>252636</v>
      </c>
      <c r="S52" s="9">
        <f>'BR OBS'!S54</f>
        <v>156783</v>
      </c>
      <c r="T52" s="9">
        <f>'BR OBS'!T54</f>
        <v>47196</v>
      </c>
      <c r="U52" s="9">
        <f>'BR OBS'!U54</f>
        <v>48935</v>
      </c>
      <c r="V52" s="9">
        <f>'BR OBS'!V54</f>
        <v>29790</v>
      </c>
      <c r="W52" s="9">
        <f>'BR OBS'!W54</f>
        <v>29535</v>
      </c>
      <c r="X52" s="9"/>
      <c r="Y52" s="9">
        <f>'BR SA'!B54</f>
        <v>14714</v>
      </c>
      <c r="Z52" s="9">
        <f>'BR SA'!C54</f>
        <v>55767</v>
      </c>
      <c r="AA52" s="9">
        <f>'BR SA'!D54</f>
        <v>2007</v>
      </c>
      <c r="AB52" s="9">
        <f>'BR SA'!E54</f>
        <v>34451</v>
      </c>
      <c r="AC52" s="9">
        <f>'BR SA'!F54</f>
        <v>5305</v>
      </c>
      <c r="AD52" s="9">
        <f>'BR SA'!G54</f>
        <v>13332</v>
      </c>
      <c r="AE52" s="9">
        <f>'BR SA'!H54</f>
        <v>151692</v>
      </c>
      <c r="AF52" s="9">
        <f>'BR SA'!I54</f>
        <v>19659</v>
      </c>
      <c r="AG52" s="9">
        <f>'BR SA'!J54</f>
        <v>7645</v>
      </c>
      <c r="AH52" s="9">
        <f>'BR SA'!K54</f>
        <v>8533</v>
      </c>
      <c r="AI52" s="9">
        <f>'BR SA'!L54</f>
        <v>25950</v>
      </c>
      <c r="AJ52" s="9">
        <f>'BR SA'!M54</f>
        <v>23653</v>
      </c>
      <c r="AK52" s="9">
        <f>'BR SA'!N54</f>
        <v>31300</v>
      </c>
      <c r="AL52" s="9">
        <f>'BR SA'!O54</f>
        <v>34696</v>
      </c>
      <c r="AM52" s="9">
        <f>'BR SA'!P54</f>
        <v>221452</v>
      </c>
      <c r="AN52" s="9">
        <f>'BR SA'!Q54</f>
        <v>257754</v>
      </c>
      <c r="AO52" s="9">
        <f>'BR SA'!R54</f>
        <v>159355</v>
      </c>
      <c r="AP52" s="9">
        <f>'BR SA'!S54</f>
        <v>48299</v>
      </c>
      <c r="AQ52" s="9">
        <f>'BR SA'!T54</f>
        <v>51261</v>
      </c>
      <c r="AR52" s="9">
        <f>'BR SA'!U54</f>
        <v>33146</v>
      </c>
      <c r="AS52" s="9">
        <f>'BR SA'!V54</f>
        <v>31083</v>
      </c>
      <c r="AU52" s="9">
        <v>14714</v>
      </c>
      <c r="AV52" s="9">
        <v>55767</v>
      </c>
      <c r="AW52" s="9">
        <v>2008</v>
      </c>
      <c r="AX52" s="9">
        <v>34451</v>
      </c>
      <c r="AY52" s="9">
        <v>5305</v>
      </c>
      <c r="AZ52" s="9">
        <v>13231</v>
      </c>
      <c r="BA52" s="9">
        <v>151692</v>
      </c>
      <c r="BB52" s="9">
        <v>19659</v>
      </c>
      <c r="BC52" s="9">
        <v>7645</v>
      </c>
      <c r="BD52" s="9">
        <v>8533</v>
      </c>
      <c r="BE52" s="9">
        <v>25950</v>
      </c>
      <c r="BF52" s="9">
        <v>23663</v>
      </c>
      <c r="BG52" s="9">
        <v>31306</v>
      </c>
      <c r="BH52" s="9">
        <v>34701</v>
      </c>
      <c r="BI52" s="9">
        <v>221452</v>
      </c>
      <c r="BJ52" s="9">
        <v>36226</v>
      </c>
      <c r="BK52" s="9">
        <v>257754</v>
      </c>
      <c r="BL52" s="9">
        <v>159354</v>
      </c>
      <c r="BM52" s="9">
        <v>48298</v>
      </c>
      <c r="BN52" s="9">
        <v>51261</v>
      </c>
      <c r="BO52" s="9">
        <v>33146</v>
      </c>
      <c r="BP52" s="9">
        <v>31084</v>
      </c>
      <c r="BQ52" s="4"/>
      <c r="BR52" s="5">
        <f t="shared" si="1"/>
        <v>0</v>
      </c>
      <c r="CB52">
        <v>257925</v>
      </c>
    </row>
    <row r="53" spans="1:80" x14ac:dyDescent="0.25">
      <c r="A53" s="8">
        <v>39539</v>
      </c>
      <c r="B53" s="9">
        <f>'BR OBS'!B55</f>
        <v>16897</v>
      </c>
      <c r="C53" s="9">
        <f>'BR OBS'!C55</f>
        <v>56056</v>
      </c>
      <c r="D53" s="9">
        <f>'BR OBS'!D55</f>
        <v>1995</v>
      </c>
      <c r="E53" s="9">
        <f>'BR OBS'!E55</f>
        <v>34866</v>
      </c>
      <c r="F53" s="9">
        <f>'BR OBS'!F55</f>
        <v>5272</v>
      </c>
      <c r="G53" s="9">
        <f>'BR OBS'!G55</f>
        <v>13283</v>
      </c>
      <c r="H53" s="9">
        <f>'BR OBS'!H55</f>
        <v>154362</v>
      </c>
      <c r="I53" s="9">
        <f>'BR OBS'!I55</f>
        <v>19894</v>
      </c>
      <c r="J53" s="9">
        <f>'BR OBS'!J55</f>
        <v>7802</v>
      </c>
      <c r="K53" s="9">
        <f>'BR OBS'!K55</f>
        <v>8623</v>
      </c>
      <c r="L53" s="9">
        <f>'BR OBS'!L55</f>
        <v>26452</v>
      </c>
      <c r="M53" s="9">
        <f>'BR OBS'!M55</f>
        <v>23721</v>
      </c>
      <c r="N53" s="9">
        <f>'BR OBS'!N55</f>
        <v>31676</v>
      </c>
      <c r="O53" s="9">
        <f>'BR OBS'!O55</f>
        <v>35603</v>
      </c>
      <c r="P53" s="9">
        <f>'BR OBS'!P55</f>
        <v>226787</v>
      </c>
      <c r="Q53" s="9">
        <f>'BR OBS'!Q55</f>
        <v>37054</v>
      </c>
      <c r="R53" s="9">
        <f>'BR OBS'!R55</f>
        <v>264202</v>
      </c>
      <c r="S53" s="9">
        <f>'BR OBS'!S55</f>
        <v>160955</v>
      </c>
      <c r="T53" s="9">
        <f>'BR OBS'!T55</f>
        <v>48081</v>
      </c>
      <c r="U53" s="9">
        <f>'BR OBS'!U55</f>
        <v>52995</v>
      </c>
      <c r="V53" s="9">
        <f>'BR OBS'!V55</f>
        <v>34884</v>
      </c>
      <c r="W53" s="9">
        <f>'BR OBS'!W55</f>
        <v>32662</v>
      </c>
      <c r="X53" s="9"/>
      <c r="Y53" s="9">
        <f>'BR SA'!B55</f>
        <v>15192</v>
      </c>
      <c r="Z53" s="9">
        <f>'BR SA'!C55</f>
        <v>56090</v>
      </c>
      <c r="AA53" s="9">
        <f>'BR SA'!D55</f>
        <v>1976</v>
      </c>
      <c r="AB53" s="9">
        <f>'BR SA'!E55</f>
        <v>35024</v>
      </c>
      <c r="AC53" s="9">
        <f>'BR SA'!F55</f>
        <v>5287</v>
      </c>
      <c r="AD53" s="9">
        <f>'BR SA'!G55</f>
        <v>13415</v>
      </c>
      <c r="AE53" s="9">
        <f>'BR SA'!H55</f>
        <v>154695</v>
      </c>
      <c r="AF53" s="9">
        <f>'BR SA'!I55</f>
        <v>20068</v>
      </c>
      <c r="AG53" s="9">
        <f>'BR SA'!J55</f>
        <v>7777</v>
      </c>
      <c r="AH53" s="9">
        <f>'BR SA'!K55</f>
        <v>8753</v>
      </c>
      <c r="AI53" s="9">
        <f>'BR SA'!L55</f>
        <v>26758</v>
      </c>
      <c r="AJ53" s="9">
        <f>'BR SA'!M55</f>
        <v>23738</v>
      </c>
      <c r="AK53" s="9">
        <f>'BR SA'!N55</f>
        <v>32061</v>
      </c>
      <c r="AL53" s="9">
        <f>'BR SA'!O55</f>
        <v>35362</v>
      </c>
      <c r="AM53" s="9">
        <f>'BR SA'!P55</f>
        <v>226458</v>
      </c>
      <c r="AN53" s="9">
        <f>'BR SA'!Q55</f>
        <v>263793</v>
      </c>
      <c r="AO53" s="9">
        <f>'BR SA'!R55</f>
        <v>162514</v>
      </c>
      <c r="AP53" s="9">
        <f>'BR SA'!S55</f>
        <v>48238</v>
      </c>
      <c r="AQ53" s="9">
        <f>'BR SA'!T55</f>
        <v>53489</v>
      </c>
      <c r="AR53" s="9">
        <f>'BR SA'!U55</f>
        <v>34272</v>
      </c>
      <c r="AS53" s="9">
        <f>'BR SA'!V55</f>
        <v>33512</v>
      </c>
      <c r="AU53" s="9">
        <v>15192</v>
      </c>
      <c r="AV53" s="9">
        <v>56091</v>
      </c>
      <c r="AW53" s="9">
        <v>1976</v>
      </c>
      <c r="AX53" s="9">
        <v>35024</v>
      </c>
      <c r="AY53" s="9">
        <v>5287</v>
      </c>
      <c r="AZ53" s="9">
        <v>13416</v>
      </c>
      <c r="BA53" s="9">
        <v>154695</v>
      </c>
      <c r="BB53" s="9">
        <v>20068</v>
      </c>
      <c r="BC53" s="9">
        <v>7777</v>
      </c>
      <c r="BD53" s="9">
        <v>8753</v>
      </c>
      <c r="BE53" s="9">
        <v>26759</v>
      </c>
      <c r="BF53" s="9">
        <v>23740</v>
      </c>
      <c r="BG53" s="9">
        <v>32061</v>
      </c>
      <c r="BH53" s="9">
        <v>35399</v>
      </c>
      <c r="BI53" s="9">
        <v>226458</v>
      </c>
      <c r="BJ53" s="9">
        <v>36899</v>
      </c>
      <c r="BK53" s="9">
        <v>263793</v>
      </c>
      <c r="BL53" s="9">
        <v>162513</v>
      </c>
      <c r="BM53" s="9">
        <v>48237</v>
      </c>
      <c r="BN53" s="9">
        <v>53489</v>
      </c>
      <c r="BO53" s="9">
        <v>34272</v>
      </c>
      <c r="BP53" s="9">
        <v>33512</v>
      </c>
      <c r="BQ53" s="4"/>
      <c r="BR53" s="5">
        <f t="shared" si="1"/>
        <v>0</v>
      </c>
      <c r="CB53">
        <v>263746</v>
      </c>
    </row>
    <row r="54" spans="1:80" x14ac:dyDescent="0.25">
      <c r="A54" s="8">
        <v>39630</v>
      </c>
      <c r="B54" s="9">
        <f>'BR OBS'!B56</f>
        <v>16114</v>
      </c>
      <c r="C54" s="9">
        <f>'BR OBS'!C56</f>
        <v>59853</v>
      </c>
      <c r="D54" s="9">
        <f>'BR OBS'!D56</f>
        <v>2073</v>
      </c>
      <c r="E54" s="9">
        <f>'BR OBS'!E56</f>
        <v>37408</v>
      </c>
      <c r="F54" s="9">
        <f>'BR OBS'!F56</f>
        <v>5412</v>
      </c>
      <c r="G54" s="9">
        <f>'BR OBS'!G56</f>
        <v>14527</v>
      </c>
      <c r="H54" s="9">
        <f>'BR OBS'!H56</f>
        <v>158276</v>
      </c>
      <c r="I54" s="9">
        <f>'BR OBS'!I56</f>
        <v>21034</v>
      </c>
      <c r="J54" s="9">
        <f>'BR OBS'!J56</f>
        <v>7970</v>
      </c>
      <c r="K54" s="9">
        <f>'BR OBS'!K56</f>
        <v>8898</v>
      </c>
      <c r="L54" s="9">
        <f>'BR OBS'!L56</f>
        <v>27171</v>
      </c>
      <c r="M54" s="9">
        <f>'BR OBS'!M56</f>
        <v>23961</v>
      </c>
      <c r="N54" s="9">
        <f>'BR OBS'!N56</f>
        <v>32698</v>
      </c>
      <c r="O54" s="9">
        <f>'BR OBS'!O56</f>
        <v>35635</v>
      </c>
      <c r="P54" s="9">
        <f>'BR OBS'!P56</f>
        <v>234183</v>
      </c>
      <c r="Q54" s="9">
        <f>'BR OBS'!Q56</f>
        <v>38728</v>
      </c>
      <c r="R54" s="9">
        <f>'BR OBS'!R56</f>
        <v>273317</v>
      </c>
      <c r="S54" s="9">
        <f>'BR OBS'!S56</f>
        <v>166399</v>
      </c>
      <c r="T54" s="9">
        <f>'BR OBS'!T56</f>
        <v>49640</v>
      </c>
      <c r="U54" s="9">
        <f>'BR OBS'!U56</f>
        <v>58878</v>
      </c>
      <c r="V54" s="9">
        <f>'BR OBS'!V56</f>
        <v>36353</v>
      </c>
      <c r="W54" s="9">
        <f>'BR OBS'!W56</f>
        <v>36713</v>
      </c>
      <c r="X54" s="9"/>
      <c r="Y54" s="9">
        <f>'BR SA'!B56</f>
        <v>15482</v>
      </c>
      <c r="Z54" s="9">
        <f>'BR SA'!C56</f>
        <v>57665</v>
      </c>
      <c r="AA54" s="9">
        <f>'BR SA'!D56</f>
        <v>2021</v>
      </c>
      <c r="AB54" s="9">
        <f>'BR SA'!E56</f>
        <v>35676</v>
      </c>
      <c r="AC54" s="9">
        <f>'BR SA'!F56</f>
        <v>5406</v>
      </c>
      <c r="AD54" s="9">
        <f>'BR SA'!G56</f>
        <v>13948</v>
      </c>
      <c r="AE54" s="9">
        <f>'BR SA'!H56</f>
        <v>156607</v>
      </c>
      <c r="AF54" s="9">
        <f>'BR SA'!I56</f>
        <v>20399</v>
      </c>
      <c r="AG54" s="9">
        <f>'BR SA'!J56</f>
        <v>7815</v>
      </c>
      <c r="AH54" s="9">
        <f>'BR SA'!K56</f>
        <v>8927</v>
      </c>
      <c r="AI54" s="9">
        <f>'BR SA'!L56</f>
        <v>27175</v>
      </c>
      <c r="AJ54" s="9">
        <f>'BR SA'!M56</f>
        <v>23935</v>
      </c>
      <c r="AK54" s="9">
        <f>'BR SA'!N56</f>
        <v>32252</v>
      </c>
      <c r="AL54" s="9">
        <f>'BR SA'!O56</f>
        <v>35535</v>
      </c>
      <c r="AM54" s="9">
        <f>'BR SA'!P56</f>
        <v>229262</v>
      </c>
      <c r="AN54" s="9">
        <f>'BR SA'!Q56</f>
        <v>267610</v>
      </c>
      <c r="AO54" s="9">
        <f>'BR SA'!R56</f>
        <v>165551</v>
      </c>
      <c r="AP54" s="9">
        <f>'BR SA'!S56</f>
        <v>49643</v>
      </c>
      <c r="AQ54" s="9">
        <f>'BR SA'!T56</f>
        <v>56193</v>
      </c>
      <c r="AR54" s="9">
        <f>'BR SA'!U56</f>
        <v>33423</v>
      </c>
      <c r="AS54" s="9">
        <f>'BR SA'!V56</f>
        <v>34442</v>
      </c>
      <c r="AU54" s="9">
        <v>15482</v>
      </c>
      <c r="AV54" s="9">
        <v>57665</v>
      </c>
      <c r="AW54" s="9">
        <v>2021</v>
      </c>
      <c r="AX54" s="9">
        <v>35675</v>
      </c>
      <c r="AY54" s="9">
        <v>5406</v>
      </c>
      <c r="AZ54" s="9">
        <v>13907</v>
      </c>
      <c r="BA54" s="9">
        <v>156607</v>
      </c>
      <c r="BB54" s="9">
        <v>20398</v>
      </c>
      <c r="BC54" s="9">
        <v>7815</v>
      </c>
      <c r="BD54" s="9">
        <v>8927</v>
      </c>
      <c r="BE54" s="9">
        <v>27176</v>
      </c>
      <c r="BF54" s="9">
        <v>23979</v>
      </c>
      <c r="BG54" s="9">
        <v>32238</v>
      </c>
      <c r="BH54" s="9">
        <v>35535</v>
      </c>
      <c r="BI54" s="9">
        <v>229262</v>
      </c>
      <c r="BJ54" s="9">
        <v>37816</v>
      </c>
      <c r="BK54" s="9">
        <v>267611</v>
      </c>
      <c r="BL54" s="9">
        <v>165551</v>
      </c>
      <c r="BM54" s="9">
        <v>49643</v>
      </c>
      <c r="BN54" s="9">
        <v>56193</v>
      </c>
      <c r="BO54" s="9">
        <v>33423</v>
      </c>
      <c r="BP54" s="9">
        <v>34443</v>
      </c>
      <c r="BQ54" s="4"/>
      <c r="BR54" s="5">
        <f t="shared" si="1"/>
        <v>0</v>
      </c>
      <c r="CB54">
        <v>267563</v>
      </c>
    </row>
    <row r="55" spans="1:80" x14ac:dyDescent="0.25">
      <c r="A55" s="8">
        <v>39722</v>
      </c>
      <c r="B55" s="9">
        <f>'BR OBS'!B57</f>
        <v>10796</v>
      </c>
      <c r="C55" s="9">
        <f>'BR OBS'!C57</f>
        <v>54460</v>
      </c>
      <c r="D55" s="9">
        <f>'BR OBS'!D57</f>
        <v>1927</v>
      </c>
      <c r="E55" s="9">
        <f>'BR OBS'!E57</f>
        <v>32883</v>
      </c>
      <c r="F55" s="9">
        <f>'BR OBS'!F57</f>
        <v>5491</v>
      </c>
      <c r="G55" s="9">
        <f>'BR OBS'!G57</f>
        <v>13768</v>
      </c>
      <c r="H55" s="9">
        <f>'BR OBS'!H57</f>
        <v>156366</v>
      </c>
      <c r="I55" s="9">
        <f>'BR OBS'!I57</f>
        <v>19320</v>
      </c>
      <c r="J55" s="9">
        <f>'BR OBS'!J57</f>
        <v>7568</v>
      </c>
      <c r="K55" s="9">
        <f>'BR OBS'!K57</f>
        <v>9473</v>
      </c>
      <c r="L55" s="9">
        <f>'BR OBS'!L57</f>
        <v>27343</v>
      </c>
      <c r="M55" s="9">
        <f>'BR OBS'!M57</f>
        <v>23690</v>
      </c>
      <c r="N55" s="9">
        <f>'BR OBS'!N57</f>
        <v>33091</v>
      </c>
      <c r="O55" s="9">
        <f>'BR OBS'!O57</f>
        <v>35493</v>
      </c>
      <c r="P55" s="9">
        <f>'BR OBS'!P57</f>
        <v>222256</v>
      </c>
      <c r="Q55" s="9">
        <f>'BR OBS'!Q57</f>
        <v>36680</v>
      </c>
      <c r="R55" s="9">
        <f>'BR OBS'!R57</f>
        <v>259315</v>
      </c>
      <c r="S55" s="9">
        <f>'BR OBS'!S57</f>
        <v>167540</v>
      </c>
      <c r="T55" s="9">
        <f>'BR OBS'!T57</f>
        <v>49224</v>
      </c>
      <c r="U55" s="9">
        <f>'BR OBS'!U57</f>
        <v>52211</v>
      </c>
      <c r="V55" s="9">
        <f>'BR OBS'!V57</f>
        <v>32186</v>
      </c>
      <c r="W55" s="9">
        <f>'BR OBS'!W57</f>
        <v>33395</v>
      </c>
      <c r="X55" s="9"/>
      <c r="Y55" s="9">
        <f>'BR SA'!B57</f>
        <v>14869</v>
      </c>
      <c r="Z55" s="9">
        <f>'BR SA'!C57</f>
        <v>53142</v>
      </c>
      <c r="AA55" s="9">
        <f>'BR SA'!D57</f>
        <v>1901</v>
      </c>
      <c r="AB55" s="9">
        <f>'BR SA'!E57</f>
        <v>31865</v>
      </c>
      <c r="AC55" s="9">
        <f>'BR SA'!F57</f>
        <v>5402</v>
      </c>
      <c r="AD55" s="9">
        <f>'BR SA'!G57</f>
        <v>13503</v>
      </c>
      <c r="AE55" s="9">
        <f>'BR SA'!H57</f>
        <v>153690</v>
      </c>
      <c r="AF55" s="9">
        <f>'BR SA'!I57</f>
        <v>18794</v>
      </c>
      <c r="AG55" s="9">
        <f>'BR SA'!J57</f>
        <v>7414</v>
      </c>
      <c r="AH55" s="9">
        <f>'BR SA'!K57</f>
        <v>9061</v>
      </c>
      <c r="AI55" s="9">
        <f>'BR SA'!L57</f>
        <v>26790</v>
      </c>
      <c r="AJ55" s="9">
        <f>'BR SA'!M57</f>
        <v>23605</v>
      </c>
      <c r="AK55" s="9">
        <f>'BR SA'!N57</f>
        <v>31973</v>
      </c>
      <c r="AL55" s="9">
        <f>'BR SA'!O57</f>
        <v>35660</v>
      </c>
      <c r="AM55" s="9">
        <f>'BR SA'!P57</f>
        <v>220896</v>
      </c>
      <c r="AN55" s="9">
        <f>'BR SA'!Q57</f>
        <v>257490</v>
      </c>
      <c r="AO55" s="9">
        <f>'BR SA'!R57</f>
        <v>162885</v>
      </c>
      <c r="AP55" s="9">
        <f>'BR SA'!S57</f>
        <v>47952</v>
      </c>
      <c r="AQ55" s="9">
        <f>'BR SA'!T57</f>
        <v>51720</v>
      </c>
      <c r="AR55" s="9">
        <f>'BR SA'!U57</f>
        <v>31475</v>
      </c>
      <c r="AS55" s="9">
        <f>'BR SA'!V57</f>
        <v>32334</v>
      </c>
      <c r="AU55" s="9">
        <v>14869</v>
      </c>
      <c r="AV55" s="9">
        <v>53142</v>
      </c>
      <c r="AW55" s="9">
        <v>1901</v>
      </c>
      <c r="AX55" s="9">
        <v>31865</v>
      </c>
      <c r="AY55" s="9">
        <v>5402</v>
      </c>
      <c r="AZ55" s="9">
        <v>13489</v>
      </c>
      <c r="BA55" s="9">
        <v>153690</v>
      </c>
      <c r="BB55" s="9">
        <v>18794</v>
      </c>
      <c r="BC55" s="9">
        <v>7414</v>
      </c>
      <c r="BD55" s="9">
        <v>9061</v>
      </c>
      <c r="BE55" s="9">
        <v>26790</v>
      </c>
      <c r="BF55" s="9">
        <v>23626</v>
      </c>
      <c r="BG55" s="9">
        <v>31961</v>
      </c>
      <c r="BH55" s="9">
        <v>35648</v>
      </c>
      <c r="BI55" s="9">
        <v>220897</v>
      </c>
      <c r="BJ55" s="9">
        <v>36182</v>
      </c>
      <c r="BK55" s="9">
        <v>257490</v>
      </c>
      <c r="BL55" s="9">
        <v>162886</v>
      </c>
      <c r="BM55" s="9">
        <v>47953</v>
      </c>
      <c r="BN55" s="9">
        <v>51720</v>
      </c>
      <c r="BO55" s="9">
        <v>31475</v>
      </c>
      <c r="BP55" s="9">
        <v>32334</v>
      </c>
      <c r="BQ55" s="4"/>
      <c r="BR55" s="5">
        <f t="shared" si="1"/>
        <v>0</v>
      </c>
      <c r="CB55">
        <v>257416</v>
      </c>
    </row>
    <row r="56" spans="1:80" x14ac:dyDescent="0.25">
      <c r="A56" s="8">
        <v>39814</v>
      </c>
      <c r="B56" s="9">
        <f>'BR OBS'!B58</f>
        <v>16239</v>
      </c>
      <c r="C56" s="9">
        <f>'BR OBS'!C58</f>
        <v>46597</v>
      </c>
      <c r="D56" s="9">
        <f>'BR OBS'!D58</f>
        <v>1801</v>
      </c>
      <c r="E56" s="9">
        <f>'BR OBS'!E58</f>
        <v>26622</v>
      </c>
      <c r="F56" s="9">
        <f>'BR OBS'!F58</f>
        <v>5108</v>
      </c>
      <c r="G56" s="9">
        <f>'BR OBS'!G58</f>
        <v>12576</v>
      </c>
      <c r="H56" s="9">
        <f>'BR OBS'!H58</f>
        <v>150557</v>
      </c>
      <c r="I56" s="9">
        <f>'BR OBS'!I58</f>
        <v>17266</v>
      </c>
      <c r="J56" s="9">
        <f>'BR OBS'!J58</f>
        <v>6804</v>
      </c>
      <c r="K56" s="9">
        <f>'BR OBS'!K58</f>
        <v>8566</v>
      </c>
      <c r="L56" s="9">
        <f>'BR OBS'!L58</f>
        <v>27922</v>
      </c>
      <c r="M56" s="9">
        <f>'BR OBS'!M58</f>
        <v>23956</v>
      </c>
      <c r="N56" s="9">
        <f>'BR OBS'!N58</f>
        <v>31413</v>
      </c>
      <c r="O56" s="9">
        <f>'BR OBS'!O58</f>
        <v>35973</v>
      </c>
      <c r="P56" s="9">
        <f>'BR OBS'!P58</f>
        <v>212126</v>
      </c>
      <c r="Q56" s="9">
        <f>'BR OBS'!Q58</f>
        <v>34106</v>
      </c>
      <c r="R56" s="9">
        <f>'BR OBS'!R58</f>
        <v>246507</v>
      </c>
      <c r="S56" s="9">
        <f>'BR OBS'!S58</f>
        <v>160352</v>
      </c>
      <c r="T56" s="9">
        <f>'BR OBS'!T58</f>
        <v>48697</v>
      </c>
      <c r="U56" s="9">
        <f>'BR OBS'!U58</f>
        <v>44291</v>
      </c>
      <c r="V56" s="9">
        <f>'BR OBS'!V58</f>
        <v>25585</v>
      </c>
      <c r="W56" s="9">
        <f>'BR OBS'!W58</f>
        <v>25705</v>
      </c>
      <c r="X56" s="9"/>
      <c r="Y56" s="9">
        <f>'BR SA'!B58</f>
        <v>14467</v>
      </c>
      <c r="Z56" s="9">
        <f>'BR SA'!C58</f>
        <v>49606</v>
      </c>
      <c r="AA56" s="9">
        <f>'BR SA'!D58</f>
        <v>1864</v>
      </c>
      <c r="AB56" s="9">
        <f>'BR SA'!E58</f>
        <v>29185</v>
      </c>
      <c r="AC56" s="9">
        <f>'BR SA'!F58</f>
        <v>5189</v>
      </c>
      <c r="AD56" s="9">
        <f>'BR SA'!G58</f>
        <v>13278</v>
      </c>
      <c r="AE56" s="9">
        <f>'BR SA'!H58</f>
        <v>154559</v>
      </c>
      <c r="AF56" s="9">
        <f>'BR SA'!I58</f>
        <v>18191</v>
      </c>
      <c r="AG56" s="9">
        <f>'BR SA'!J58</f>
        <v>7093</v>
      </c>
      <c r="AH56" s="9">
        <f>'BR SA'!K58</f>
        <v>8834</v>
      </c>
      <c r="AI56" s="9">
        <f>'BR SA'!L58</f>
        <v>28159</v>
      </c>
      <c r="AJ56" s="9">
        <f>'BR SA'!M58</f>
        <v>24045</v>
      </c>
      <c r="AK56" s="9">
        <f>'BR SA'!N58</f>
        <v>32676</v>
      </c>
      <c r="AL56" s="9">
        <f>'BR SA'!O58</f>
        <v>36227</v>
      </c>
      <c r="AM56" s="9">
        <f>'BR SA'!P58</f>
        <v>218816</v>
      </c>
      <c r="AN56" s="9">
        <f>'BR SA'!Q58</f>
        <v>253963</v>
      </c>
      <c r="AO56" s="9">
        <f>'BR SA'!R58</f>
        <v>164756</v>
      </c>
      <c r="AP56" s="9">
        <f>'BR SA'!S58</f>
        <v>49838</v>
      </c>
      <c r="AQ56" s="9">
        <f>'BR SA'!T58</f>
        <v>46269</v>
      </c>
      <c r="AR56" s="9">
        <f>'BR SA'!U58</f>
        <v>29723</v>
      </c>
      <c r="AS56" s="9">
        <f>'BR SA'!V58</f>
        <v>27660</v>
      </c>
      <c r="AU56" s="9">
        <v>14467</v>
      </c>
      <c r="AV56" s="9">
        <v>49606</v>
      </c>
      <c r="AW56" s="9">
        <v>1863</v>
      </c>
      <c r="AX56" s="9">
        <v>29185</v>
      </c>
      <c r="AY56" s="9">
        <v>5189</v>
      </c>
      <c r="AZ56" s="9">
        <v>13341</v>
      </c>
      <c r="BA56" s="9">
        <v>154559</v>
      </c>
      <c r="BB56" s="9">
        <v>18191</v>
      </c>
      <c r="BC56" s="9">
        <v>7093</v>
      </c>
      <c r="BD56" s="9">
        <v>8834</v>
      </c>
      <c r="BE56" s="9">
        <v>28159</v>
      </c>
      <c r="BF56" s="9">
        <v>24014</v>
      </c>
      <c r="BG56" s="9">
        <v>32691</v>
      </c>
      <c r="BH56" s="9">
        <v>36231</v>
      </c>
      <c r="BI56" s="9">
        <v>218816</v>
      </c>
      <c r="BJ56" s="9">
        <v>35294</v>
      </c>
      <c r="BK56" s="9">
        <v>253963</v>
      </c>
      <c r="BL56" s="9">
        <v>164755</v>
      </c>
      <c r="BM56" s="9">
        <v>49837</v>
      </c>
      <c r="BN56" s="9">
        <v>46269</v>
      </c>
      <c r="BO56" s="9">
        <v>29723</v>
      </c>
      <c r="BP56" s="9">
        <v>27659</v>
      </c>
      <c r="BQ56" s="4"/>
      <c r="BR56" s="5">
        <f t="shared" si="1"/>
        <v>0</v>
      </c>
      <c r="CB56">
        <v>254112</v>
      </c>
    </row>
    <row r="57" spans="1:80" x14ac:dyDescent="0.25">
      <c r="A57" s="8">
        <v>39904</v>
      </c>
      <c r="B57" s="9">
        <f>'BR OBS'!B59</f>
        <v>15965</v>
      </c>
      <c r="C57" s="9">
        <f>'BR OBS'!C59</f>
        <v>51588</v>
      </c>
      <c r="D57" s="9">
        <f>'BR OBS'!D59</f>
        <v>1903</v>
      </c>
      <c r="E57" s="9">
        <f>'BR OBS'!E59</f>
        <v>30156</v>
      </c>
      <c r="F57" s="9">
        <f>'BR OBS'!F59</f>
        <v>5341</v>
      </c>
      <c r="G57" s="9">
        <f>'BR OBS'!G59</f>
        <v>13925</v>
      </c>
      <c r="H57" s="9">
        <f>'BR OBS'!H59</f>
        <v>155422</v>
      </c>
      <c r="I57" s="9">
        <f>'BR OBS'!I59</f>
        <v>18773</v>
      </c>
      <c r="J57" s="9">
        <f>'BR OBS'!J59</f>
        <v>7130</v>
      </c>
      <c r="K57" s="9">
        <f>'BR OBS'!K59</f>
        <v>8713</v>
      </c>
      <c r="L57" s="9">
        <f>'BR OBS'!L59</f>
        <v>28500</v>
      </c>
      <c r="M57" s="9">
        <f>'BR OBS'!M59</f>
        <v>24232</v>
      </c>
      <c r="N57" s="9">
        <f>'BR OBS'!N59</f>
        <v>32195</v>
      </c>
      <c r="O57" s="9">
        <f>'BR OBS'!O59</f>
        <v>36676</v>
      </c>
      <c r="P57" s="9">
        <f>'BR OBS'!P59</f>
        <v>222190</v>
      </c>
      <c r="Q57" s="9">
        <f>'BR OBS'!Q59</f>
        <v>35887</v>
      </c>
      <c r="R57" s="9">
        <f>'BR OBS'!R59</f>
        <v>258381</v>
      </c>
      <c r="S57" s="9">
        <f>'BR OBS'!S59</f>
        <v>167343</v>
      </c>
      <c r="T57" s="9">
        <f>'BR OBS'!T59</f>
        <v>49121</v>
      </c>
      <c r="U57" s="9">
        <f>'BR OBS'!U59</f>
        <v>48604</v>
      </c>
      <c r="V57" s="9">
        <f>'BR OBS'!V59</f>
        <v>31421</v>
      </c>
      <c r="W57" s="9">
        <f>'BR OBS'!W59</f>
        <v>28548</v>
      </c>
      <c r="X57" s="9"/>
      <c r="Y57" s="9">
        <f>'BR SA'!B59</f>
        <v>14307</v>
      </c>
      <c r="Z57" s="9">
        <f>'BR SA'!C59</f>
        <v>52107</v>
      </c>
      <c r="AA57" s="9">
        <f>'BR SA'!D59</f>
        <v>1914</v>
      </c>
      <c r="AB57" s="9">
        <f>'BR SA'!E59</f>
        <v>30351</v>
      </c>
      <c r="AC57" s="9">
        <f>'BR SA'!F59</f>
        <v>5356</v>
      </c>
      <c r="AD57" s="9">
        <f>'BR SA'!G59</f>
        <v>14026</v>
      </c>
      <c r="AE57" s="9">
        <f>'BR SA'!H59</f>
        <v>156118</v>
      </c>
      <c r="AF57" s="9">
        <f>'BR SA'!I59</f>
        <v>18937</v>
      </c>
      <c r="AG57" s="9">
        <f>'BR SA'!J59</f>
        <v>7160</v>
      </c>
      <c r="AH57" s="9">
        <f>'BR SA'!K59</f>
        <v>8843</v>
      </c>
      <c r="AI57" s="9">
        <f>'BR SA'!L59</f>
        <v>28835</v>
      </c>
      <c r="AJ57" s="9">
        <f>'BR SA'!M59</f>
        <v>24242</v>
      </c>
      <c r="AK57" s="9">
        <f>'BR SA'!N59</f>
        <v>32572</v>
      </c>
      <c r="AL57" s="9">
        <f>'BR SA'!O59</f>
        <v>36433</v>
      </c>
      <c r="AM57" s="9">
        <f>'BR SA'!P59</f>
        <v>221853</v>
      </c>
      <c r="AN57" s="9">
        <f>'BR SA'!Q59</f>
        <v>258496</v>
      </c>
      <c r="AO57" s="9">
        <f>'BR SA'!R59</f>
        <v>169013</v>
      </c>
      <c r="AP57" s="9">
        <f>'BR SA'!S59</f>
        <v>49244</v>
      </c>
      <c r="AQ57" s="9">
        <f>'BR SA'!T59</f>
        <v>49420</v>
      </c>
      <c r="AR57" s="9">
        <f>'BR SA'!U59</f>
        <v>30676</v>
      </c>
      <c r="AS57" s="9">
        <f>'BR SA'!V59</f>
        <v>29168</v>
      </c>
      <c r="AU57" s="9">
        <v>14306</v>
      </c>
      <c r="AV57" s="9">
        <v>52107</v>
      </c>
      <c r="AW57" s="9">
        <v>1913</v>
      </c>
      <c r="AX57" s="9">
        <v>30351</v>
      </c>
      <c r="AY57" s="9">
        <v>5356</v>
      </c>
      <c r="AZ57" s="9">
        <v>14023</v>
      </c>
      <c r="BA57" s="9">
        <v>156118</v>
      </c>
      <c r="BB57" s="9">
        <v>18936</v>
      </c>
      <c r="BC57" s="9">
        <v>7160</v>
      </c>
      <c r="BD57" s="9">
        <v>8843</v>
      </c>
      <c r="BE57" s="9">
        <v>28835</v>
      </c>
      <c r="BF57" s="9">
        <v>24244</v>
      </c>
      <c r="BG57" s="9">
        <v>32571</v>
      </c>
      <c r="BH57" s="9">
        <v>36449</v>
      </c>
      <c r="BI57" s="9">
        <v>221854</v>
      </c>
      <c r="BJ57" s="9">
        <v>36055</v>
      </c>
      <c r="BK57" s="9">
        <v>258496</v>
      </c>
      <c r="BL57" s="9">
        <v>169013</v>
      </c>
      <c r="BM57" s="9">
        <v>49244</v>
      </c>
      <c r="BN57" s="9">
        <v>49421</v>
      </c>
      <c r="BO57" s="9">
        <v>30675</v>
      </c>
      <c r="BP57" s="9">
        <v>29169</v>
      </c>
      <c r="BQ57" s="4"/>
      <c r="BR57" s="5">
        <f t="shared" si="1"/>
        <v>-6.9895855175788074E-5</v>
      </c>
      <c r="CB57">
        <v>258492</v>
      </c>
    </row>
    <row r="58" spans="1:80" x14ac:dyDescent="0.25">
      <c r="A58" s="8">
        <v>39995</v>
      </c>
      <c r="B58" s="9">
        <f>'BR OBS'!B60</f>
        <v>14906</v>
      </c>
      <c r="C58" s="9">
        <f>'BR OBS'!C60</f>
        <v>56407</v>
      </c>
      <c r="D58" s="9">
        <f>'BR OBS'!D60</f>
        <v>1999</v>
      </c>
      <c r="E58" s="9">
        <f>'BR OBS'!E60</f>
        <v>33493</v>
      </c>
      <c r="F58" s="9">
        <f>'BR OBS'!F60</f>
        <v>5435</v>
      </c>
      <c r="G58" s="9">
        <f>'BR OBS'!G60</f>
        <v>15552</v>
      </c>
      <c r="H58" s="9">
        <f>'BR OBS'!H60</f>
        <v>160510</v>
      </c>
      <c r="I58" s="9">
        <f>'BR OBS'!I60</f>
        <v>20266</v>
      </c>
      <c r="J58" s="9">
        <f>'BR OBS'!J60</f>
        <v>7538</v>
      </c>
      <c r="K58" s="9">
        <f>'BR OBS'!K60</f>
        <v>8827</v>
      </c>
      <c r="L58" s="9">
        <f>'BR OBS'!L60</f>
        <v>29266</v>
      </c>
      <c r="M58" s="9">
        <f>'BR OBS'!M60</f>
        <v>24567</v>
      </c>
      <c r="N58" s="9">
        <f>'BR OBS'!N60</f>
        <v>33560</v>
      </c>
      <c r="O58" s="9">
        <f>'BR OBS'!O60</f>
        <v>36814</v>
      </c>
      <c r="P58" s="9">
        <f>'BR OBS'!P60</f>
        <v>231645</v>
      </c>
      <c r="Q58" s="9">
        <f>'BR OBS'!Q60</f>
        <v>38104</v>
      </c>
      <c r="R58" s="9">
        <f>'BR OBS'!R60</f>
        <v>270139</v>
      </c>
      <c r="S58" s="9">
        <f>'BR OBS'!S60</f>
        <v>173837</v>
      </c>
      <c r="T58" s="9">
        <f>'BR OBS'!T60</f>
        <v>49793</v>
      </c>
      <c r="U58" s="9">
        <f>'BR OBS'!U60</f>
        <v>56608</v>
      </c>
      <c r="V58" s="9">
        <f>'BR OBS'!V60</f>
        <v>32922</v>
      </c>
      <c r="W58" s="9">
        <f>'BR OBS'!W60</f>
        <v>32466</v>
      </c>
      <c r="X58" s="9"/>
      <c r="Y58" s="9">
        <f>'BR SA'!B60</f>
        <v>14440</v>
      </c>
      <c r="Z58" s="9">
        <f>'BR SA'!C60</f>
        <v>54118</v>
      </c>
      <c r="AA58" s="9">
        <f>'BR SA'!D60</f>
        <v>1951</v>
      </c>
      <c r="AB58" s="9">
        <f>'BR SA'!E60</f>
        <v>31679</v>
      </c>
      <c r="AC58" s="9">
        <f>'BR SA'!F60</f>
        <v>5430</v>
      </c>
      <c r="AD58" s="9">
        <f>'BR SA'!G60</f>
        <v>14941</v>
      </c>
      <c r="AE58" s="9">
        <f>'BR SA'!H60</f>
        <v>158825</v>
      </c>
      <c r="AF58" s="9">
        <f>'BR SA'!I60</f>
        <v>19631</v>
      </c>
      <c r="AG58" s="9">
        <f>'BR SA'!J60</f>
        <v>7370</v>
      </c>
      <c r="AH58" s="9">
        <f>'BR SA'!K60</f>
        <v>8850</v>
      </c>
      <c r="AI58" s="9">
        <f>'BR SA'!L60</f>
        <v>29276</v>
      </c>
      <c r="AJ58" s="9">
        <f>'BR SA'!M60</f>
        <v>24563</v>
      </c>
      <c r="AK58" s="9">
        <f>'BR SA'!N60</f>
        <v>33106</v>
      </c>
      <c r="AL58" s="9">
        <f>'BR SA'!O60</f>
        <v>36710</v>
      </c>
      <c r="AM58" s="9">
        <f>'BR SA'!P60</f>
        <v>226830</v>
      </c>
      <c r="AN58" s="9">
        <f>'BR SA'!Q60</f>
        <v>264572</v>
      </c>
      <c r="AO58" s="9">
        <f>'BR SA'!R60</f>
        <v>172927</v>
      </c>
      <c r="AP58" s="9">
        <f>'BR SA'!S60</f>
        <v>49787</v>
      </c>
      <c r="AQ58" s="9">
        <f>'BR SA'!T60</f>
        <v>53959</v>
      </c>
      <c r="AR58" s="9">
        <f>'BR SA'!U60</f>
        <v>30065</v>
      </c>
      <c r="AS58" s="9">
        <f>'BR SA'!V60</f>
        <v>30608</v>
      </c>
      <c r="AU58" s="9">
        <v>14440</v>
      </c>
      <c r="AV58" s="9">
        <v>54118</v>
      </c>
      <c r="AW58" s="9">
        <v>1951</v>
      </c>
      <c r="AX58" s="9">
        <v>31679</v>
      </c>
      <c r="AY58" s="9">
        <v>5430</v>
      </c>
      <c r="AZ58" s="9">
        <v>14909</v>
      </c>
      <c r="BA58" s="9">
        <v>158825</v>
      </c>
      <c r="BB58" s="9">
        <v>19631</v>
      </c>
      <c r="BC58" s="9">
        <v>7370</v>
      </c>
      <c r="BD58" s="9">
        <v>8850</v>
      </c>
      <c r="BE58" s="9">
        <v>29276</v>
      </c>
      <c r="BF58" s="9">
        <v>24596</v>
      </c>
      <c r="BG58" s="9">
        <v>33094</v>
      </c>
      <c r="BH58" s="9">
        <v>36714</v>
      </c>
      <c r="BI58" s="9">
        <v>226830</v>
      </c>
      <c r="BJ58" s="9">
        <v>37254</v>
      </c>
      <c r="BK58" s="9">
        <v>264572</v>
      </c>
      <c r="BL58" s="9">
        <v>172927</v>
      </c>
      <c r="BM58" s="9">
        <v>49787</v>
      </c>
      <c r="BN58" s="9">
        <v>53959</v>
      </c>
      <c r="BO58" s="9">
        <v>30065</v>
      </c>
      <c r="BP58" s="9">
        <v>30608</v>
      </c>
      <c r="BQ58" s="4"/>
      <c r="BR58" s="5">
        <f t="shared" si="1"/>
        <v>0</v>
      </c>
      <c r="CB58">
        <v>264497</v>
      </c>
    </row>
    <row r="59" spans="1:80" x14ac:dyDescent="0.25">
      <c r="A59" s="8">
        <v>40087</v>
      </c>
      <c r="B59" s="9">
        <f>'BR OBS'!B61</f>
        <v>10919</v>
      </c>
      <c r="C59" s="9">
        <f>'BR OBS'!C61</f>
        <v>57545</v>
      </c>
      <c r="D59" s="9">
        <f>'BR OBS'!D61</f>
        <v>2032</v>
      </c>
      <c r="E59" s="9">
        <f>'BR OBS'!E61</f>
        <v>33983</v>
      </c>
      <c r="F59" s="9">
        <f>'BR OBS'!F61</f>
        <v>5682</v>
      </c>
      <c r="G59" s="9">
        <f>'BR OBS'!G61</f>
        <v>15984</v>
      </c>
      <c r="H59" s="9">
        <f>'BR OBS'!H61</f>
        <v>164380</v>
      </c>
      <c r="I59" s="9">
        <f>'BR OBS'!I61</f>
        <v>20757</v>
      </c>
      <c r="J59" s="9">
        <f>'BR OBS'!J61</f>
        <v>7847</v>
      </c>
      <c r="K59" s="9">
        <f>'BR OBS'!K61</f>
        <v>9254</v>
      </c>
      <c r="L59" s="9">
        <f>'BR OBS'!L61</f>
        <v>30437</v>
      </c>
      <c r="M59" s="9">
        <f>'BR OBS'!M61</f>
        <v>25009</v>
      </c>
      <c r="N59" s="9">
        <f>'BR OBS'!N61</f>
        <v>34574</v>
      </c>
      <c r="O59" s="9">
        <f>'BR OBS'!O61</f>
        <v>36993</v>
      </c>
      <c r="P59" s="9">
        <f>'BR OBS'!P61</f>
        <v>233473</v>
      </c>
      <c r="Q59" s="9">
        <f>'BR OBS'!Q61</f>
        <v>39175</v>
      </c>
      <c r="R59" s="9">
        <f>'BR OBS'!R61</f>
        <v>273122</v>
      </c>
      <c r="S59" s="9">
        <f>'BR OBS'!S61</f>
        <v>179186</v>
      </c>
      <c r="T59" s="9">
        <f>'BR OBS'!T61</f>
        <v>52249</v>
      </c>
      <c r="U59" s="9">
        <f>'BR OBS'!U61</f>
        <v>58971</v>
      </c>
      <c r="V59" s="9">
        <f>'BR OBS'!V61</f>
        <v>30966</v>
      </c>
      <c r="W59" s="9">
        <f>'BR OBS'!W61</f>
        <v>35528</v>
      </c>
      <c r="X59" s="9"/>
      <c r="Y59" s="9">
        <f>'BR SA'!B61</f>
        <v>15062</v>
      </c>
      <c r="Z59" s="9">
        <f>'BR SA'!C61</f>
        <v>56361</v>
      </c>
      <c r="AA59" s="9">
        <f>'BR SA'!D61</f>
        <v>2001</v>
      </c>
      <c r="AB59" s="9">
        <f>'BR SA'!E61</f>
        <v>33119</v>
      </c>
      <c r="AC59" s="9">
        <f>'BR SA'!F61</f>
        <v>5587</v>
      </c>
      <c r="AD59" s="9">
        <f>'BR SA'!G61</f>
        <v>15695</v>
      </c>
      <c r="AE59" s="9">
        <f>'BR SA'!H61</f>
        <v>161550</v>
      </c>
      <c r="AF59" s="9">
        <f>'BR SA'!I61</f>
        <v>20239</v>
      </c>
      <c r="AG59" s="9">
        <f>'BR SA'!J61</f>
        <v>7693</v>
      </c>
      <c r="AH59" s="9">
        <f>'BR SA'!K61</f>
        <v>8855</v>
      </c>
      <c r="AI59" s="9">
        <f>'BR SA'!L61</f>
        <v>29793</v>
      </c>
      <c r="AJ59" s="9">
        <f>'BR SA'!M61</f>
        <v>24925</v>
      </c>
      <c r="AK59" s="9">
        <f>'BR SA'!N61</f>
        <v>33424</v>
      </c>
      <c r="AL59" s="9">
        <f>'BR SA'!O61</f>
        <v>37146</v>
      </c>
      <c r="AM59" s="9">
        <f>'BR SA'!P61</f>
        <v>232236</v>
      </c>
      <c r="AN59" s="9">
        <f>'BR SA'!Q61</f>
        <v>271270</v>
      </c>
      <c r="AO59" s="9">
        <f>'BR SA'!R61</f>
        <v>174170</v>
      </c>
      <c r="AP59" s="9">
        <f>'BR SA'!S61</f>
        <v>50961</v>
      </c>
      <c r="AQ59" s="9">
        <f>'BR SA'!T61</f>
        <v>58319</v>
      </c>
      <c r="AR59" s="9">
        <f>'BR SA'!U61</f>
        <v>30266</v>
      </c>
      <c r="AS59" s="9">
        <f>'BR SA'!V61</f>
        <v>34267</v>
      </c>
      <c r="AU59" s="9">
        <v>15062</v>
      </c>
      <c r="AV59" s="9">
        <v>56361</v>
      </c>
      <c r="AW59" s="9">
        <v>2001</v>
      </c>
      <c r="AX59" s="9">
        <v>33119</v>
      </c>
      <c r="AY59" s="9">
        <v>5587</v>
      </c>
      <c r="AZ59" s="9">
        <v>15680</v>
      </c>
      <c r="BA59" s="9">
        <v>161550</v>
      </c>
      <c r="BB59" s="9">
        <v>20239</v>
      </c>
      <c r="BC59" s="9">
        <v>7693</v>
      </c>
      <c r="BD59" s="9">
        <v>8855</v>
      </c>
      <c r="BE59" s="9">
        <v>29793</v>
      </c>
      <c r="BF59" s="9">
        <v>24956</v>
      </c>
      <c r="BG59" s="9">
        <v>33414</v>
      </c>
      <c r="BH59" s="9">
        <v>37141</v>
      </c>
      <c r="BI59" s="9">
        <v>232235</v>
      </c>
      <c r="BJ59" s="9">
        <v>38557</v>
      </c>
      <c r="BK59" s="9">
        <v>271271</v>
      </c>
      <c r="BL59" s="9">
        <v>174170</v>
      </c>
      <c r="BM59" s="9">
        <v>50962</v>
      </c>
      <c r="BN59" s="9">
        <v>58319</v>
      </c>
      <c r="BO59" s="9">
        <v>30266</v>
      </c>
      <c r="BP59" s="9">
        <v>34267</v>
      </c>
      <c r="BQ59" s="4"/>
      <c r="BR59" s="5">
        <f t="shared" si="1"/>
        <v>0</v>
      </c>
      <c r="CB59">
        <v>271202</v>
      </c>
    </row>
    <row r="60" spans="1:80" x14ac:dyDescent="0.25">
      <c r="A60" s="8">
        <v>40179</v>
      </c>
      <c r="B60" s="9">
        <f>'BR OBS'!B62</f>
        <v>17355</v>
      </c>
      <c r="C60" s="9">
        <f>'BR OBS'!C62</f>
        <v>53730</v>
      </c>
      <c r="D60" s="9">
        <f>'BR OBS'!D62</f>
        <v>2079</v>
      </c>
      <c r="E60" s="9">
        <f>'BR OBS'!E62</f>
        <v>30860</v>
      </c>
      <c r="F60" s="9">
        <f>'BR OBS'!F62</f>
        <v>5540</v>
      </c>
      <c r="G60" s="9">
        <f>'BR OBS'!G62</f>
        <v>15036</v>
      </c>
      <c r="H60" s="9">
        <f>'BR OBS'!H62</f>
        <v>159911</v>
      </c>
      <c r="I60" s="9">
        <f>'BR OBS'!I62</f>
        <v>20017</v>
      </c>
      <c r="J60" s="9">
        <f>'BR OBS'!J62</f>
        <v>7693</v>
      </c>
      <c r="K60" s="9">
        <f>'BR OBS'!K62</f>
        <v>8820</v>
      </c>
      <c r="L60" s="9">
        <f>'BR OBS'!L62</f>
        <v>30218</v>
      </c>
      <c r="M60" s="9">
        <f>'BR OBS'!M62</f>
        <v>25108</v>
      </c>
      <c r="N60" s="9">
        <f>'BR OBS'!N62</f>
        <v>32246</v>
      </c>
      <c r="O60" s="9">
        <f>'BR OBS'!O62</f>
        <v>36861</v>
      </c>
      <c r="P60" s="9">
        <f>'BR OBS'!P62</f>
        <v>230088</v>
      </c>
      <c r="Q60" s="9">
        <f>'BR OBS'!Q62</f>
        <v>38718</v>
      </c>
      <c r="R60" s="9">
        <f>'BR OBS'!R62</f>
        <v>269208</v>
      </c>
      <c r="S60" s="9">
        <f>'BR OBS'!S62</f>
        <v>172317</v>
      </c>
      <c r="T60" s="9">
        <f>'BR OBS'!T62</f>
        <v>50142</v>
      </c>
      <c r="U60" s="9">
        <f>'BR OBS'!U62</f>
        <v>57136</v>
      </c>
      <c r="V60" s="9">
        <f>'BR OBS'!V62</f>
        <v>29547</v>
      </c>
      <c r="W60" s="9">
        <f>'BR OBS'!W62</f>
        <v>35718</v>
      </c>
      <c r="X60" s="9"/>
      <c r="Y60" s="9">
        <f>'BR SA'!B62</f>
        <v>15351</v>
      </c>
      <c r="Z60" s="9">
        <f>'BR SA'!C62</f>
        <v>56986</v>
      </c>
      <c r="AA60" s="9">
        <f>'BR SA'!D62</f>
        <v>2153</v>
      </c>
      <c r="AB60" s="9">
        <f>'BR SA'!E62</f>
        <v>33348</v>
      </c>
      <c r="AC60" s="9">
        <f>'BR SA'!F62</f>
        <v>5623</v>
      </c>
      <c r="AD60" s="9">
        <f>'BR SA'!G62</f>
        <v>15874</v>
      </c>
      <c r="AE60" s="9">
        <f>'BR SA'!H62</f>
        <v>164155</v>
      </c>
      <c r="AF60" s="9">
        <f>'BR SA'!I62</f>
        <v>21034</v>
      </c>
      <c r="AG60" s="9">
        <f>'BR SA'!J62</f>
        <v>7981</v>
      </c>
      <c r="AH60" s="9">
        <f>'BR SA'!K62</f>
        <v>9104</v>
      </c>
      <c r="AI60" s="9">
        <f>'BR SA'!L62</f>
        <v>30517</v>
      </c>
      <c r="AJ60" s="9">
        <f>'BR SA'!M62</f>
        <v>25176</v>
      </c>
      <c r="AK60" s="9">
        <f>'BR SA'!N62</f>
        <v>33530</v>
      </c>
      <c r="AL60" s="9">
        <f>'BR SA'!O62</f>
        <v>37136</v>
      </c>
      <c r="AM60" s="9">
        <f>'BR SA'!P62</f>
        <v>237100</v>
      </c>
      <c r="AN60" s="9">
        <f>'BR SA'!Q62</f>
        <v>277466</v>
      </c>
      <c r="AO60" s="9">
        <f>'BR SA'!R62</f>
        <v>177028</v>
      </c>
      <c r="AP60" s="9">
        <f>'BR SA'!S62</f>
        <v>51375</v>
      </c>
      <c r="AQ60" s="9">
        <f>'BR SA'!T62</f>
        <v>59910</v>
      </c>
      <c r="AR60" s="9">
        <f>'BR SA'!U62</f>
        <v>33534</v>
      </c>
      <c r="AS60" s="9">
        <f>'BR SA'!V62</f>
        <v>38539</v>
      </c>
      <c r="AU60" s="9">
        <v>15352</v>
      </c>
      <c r="AV60" s="9">
        <v>56986</v>
      </c>
      <c r="AW60" s="9">
        <v>2154</v>
      </c>
      <c r="AX60" s="9">
        <v>33348</v>
      </c>
      <c r="AY60" s="9">
        <v>5624</v>
      </c>
      <c r="AZ60" s="9">
        <v>15938</v>
      </c>
      <c r="BA60" s="9">
        <v>164155</v>
      </c>
      <c r="BB60" s="9">
        <v>21034</v>
      </c>
      <c r="BC60" s="9">
        <v>7981</v>
      </c>
      <c r="BD60" s="9">
        <v>9103</v>
      </c>
      <c r="BE60" s="9">
        <v>30517</v>
      </c>
      <c r="BF60" s="9">
        <v>25144</v>
      </c>
      <c r="BG60" s="9">
        <v>33540</v>
      </c>
      <c r="BH60" s="9">
        <v>37137</v>
      </c>
      <c r="BI60" s="9">
        <v>237100</v>
      </c>
      <c r="BJ60" s="9">
        <v>40183</v>
      </c>
      <c r="BK60" s="9">
        <v>277467</v>
      </c>
      <c r="BL60" s="9">
        <v>177028</v>
      </c>
      <c r="BM60" s="9">
        <v>51375</v>
      </c>
      <c r="BN60" s="9">
        <v>59911</v>
      </c>
      <c r="BO60" s="9">
        <v>33535</v>
      </c>
      <c r="BP60" s="9">
        <v>38539</v>
      </c>
      <c r="BQ60" s="4"/>
      <c r="BR60" s="5">
        <f t="shared" si="1"/>
        <v>6.5142336004169103E-5</v>
      </c>
      <c r="CB60">
        <v>277557</v>
      </c>
    </row>
    <row r="61" spans="1:80" x14ac:dyDescent="0.25">
      <c r="A61" s="8">
        <v>40269</v>
      </c>
      <c r="B61" s="9">
        <f>'BR OBS'!B63</f>
        <v>17571</v>
      </c>
      <c r="C61" s="9">
        <f>'BR OBS'!C63</f>
        <v>58292</v>
      </c>
      <c r="D61" s="9">
        <f>'BR OBS'!D63</f>
        <v>2201</v>
      </c>
      <c r="E61" s="9">
        <f>'BR OBS'!E63</f>
        <v>33797</v>
      </c>
      <c r="F61" s="9">
        <f>'BR OBS'!F63</f>
        <v>5731</v>
      </c>
      <c r="G61" s="9">
        <f>'BR OBS'!G63</f>
        <v>16432</v>
      </c>
      <c r="H61" s="9">
        <f>'BR OBS'!H63</f>
        <v>164788</v>
      </c>
      <c r="I61" s="9">
        <f>'BR OBS'!I63</f>
        <v>21037</v>
      </c>
      <c r="J61" s="9">
        <f>'BR OBS'!J63</f>
        <v>8077</v>
      </c>
      <c r="K61" s="9">
        <f>'BR OBS'!K63</f>
        <v>9148</v>
      </c>
      <c r="L61" s="9">
        <f>'BR OBS'!L63</f>
        <v>30758</v>
      </c>
      <c r="M61" s="9">
        <f>'BR OBS'!M63</f>
        <v>25535</v>
      </c>
      <c r="N61" s="9">
        <f>'BR OBS'!N63</f>
        <v>33273</v>
      </c>
      <c r="O61" s="9">
        <f>'BR OBS'!O63</f>
        <v>37576</v>
      </c>
      <c r="P61" s="9">
        <f>'BR OBS'!P63</f>
        <v>240022</v>
      </c>
      <c r="Q61" s="9">
        <f>'BR OBS'!Q63</f>
        <v>39961</v>
      </c>
      <c r="R61" s="9">
        <f>'BR OBS'!R63</f>
        <v>280390</v>
      </c>
      <c r="S61" s="9">
        <f>'BR OBS'!S63</f>
        <v>176377</v>
      </c>
      <c r="T61" s="9">
        <f>'BR OBS'!T63</f>
        <v>51646</v>
      </c>
      <c r="U61" s="9">
        <f>'BR OBS'!U63</f>
        <v>59746</v>
      </c>
      <c r="V61" s="9">
        <f>'BR OBS'!V63</f>
        <v>33641</v>
      </c>
      <c r="W61" s="9">
        <f>'BR OBS'!W63</f>
        <v>38867</v>
      </c>
      <c r="X61" s="9"/>
      <c r="Y61" s="9">
        <f>'BR SA'!B63</f>
        <v>15715</v>
      </c>
      <c r="Z61" s="9">
        <f>'BR SA'!C63</f>
        <v>58510</v>
      </c>
      <c r="AA61" s="9">
        <f>'BR SA'!D63</f>
        <v>2214</v>
      </c>
      <c r="AB61" s="9">
        <f>'BR SA'!E63</f>
        <v>33978</v>
      </c>
      <c r="AC61" s="9">
        <f>'BR SA'!F63</f>
        <v>5746</v>
      </c>
      <c r="AD61" s="9">
        <f>'BR SA'!G63</f>
        <v>16507</v>
      </c>
      <c r="AE61" s="9">
        <f>'BR SA'!H63</f>
        <v>165555</v>
      </c>
      <c r="AF61" s="9">
        <f>'BR SA'!I63</f>
        <v>21225</v>
      </c>
      <c r="AG61" s="9">
        <f>'BR SA'!J63</f>
        <v>8126</v>
      </c>
      <c r="AH61" s="9">
        <f>'BR SA'!K63</f>
        <v>9276</v>
      </c>
      <c r="AI61" s="9">
        <f>'BR SA'!L63</f>
        <v>31127</v>
      </c>
      <c r="AJ61" s="9">
        <f>'BR SA'!M63</f>
        <v>25542</v>
      </c>
      <c r="AK61" s="9">
        <f>'BR SA'!N63</f>
        <v>33656</v>
      </c>
      <c r="AL61" s="9">
        <f>'BR SA'!O63</f>
        <v>37335</v>
      </c>
      <c r="AM61" s="9">
        <f>'BR SA'!P63</f>
        <v>239595</v>
      </c>
      <c r="AN61" s="9">
        <f>'BR SA'!Q63</f>
        <v>280172</v>
      </c>
      <c r="AO61" s="9">
        <f>'BR SA'!R63</f>
        <v>178217</v>
      </c>
      <c r="AP61" s="9">
        <f>'BR SA'!S63</f>
        <v>51691</v>
      </c>
      <c r="AQ61" s="9">
        <f>'BR SA'!T63</f>
        <v>60549</v>
      </c>
      <c r="AR61" s="9">
        <f>'BR SA'!U63</f>
        <v>33037</v>
      </c>
      <c r="AS61" s="9">
        <f>'BR SA'!V63</f>
        <v>39423</v>
      </c>
      <c r="AU61" s="9">
        <v>15715</v>
      </c>
      <c r="AV61" s="9">
        <v>58510</v>
      </c>
      <c r="AW61" s="9">
        <v>2214</v>
      </c>
      <c r="AX61" s="9">
        <v>33978</v>
      </c>
      <c r="AY61" s="9">
        <v>5746</v>
      </c>
      <c r="AZ61" s="9">
        <v>16507</v>
      </c>
      <c r="BA61" s="9">
        <v>165555</v>
      </c>
      <c r="BB61" s="9">
        <v>21225</v>
      </c>
      <c r="BC61" s="9">
        <v>8126</v>
      </c>
      <c r="BD61" s="9">
        <v>9276</v>
      </c>
      <c r="BE61" s="9">
        <v>31127</v>
      </c>
      <c r="BF61" s="9">
        <v>25547</v>
      </c>
      <c r="BG61" s="9">
        <v>33652</v>
      </c>
      <c r="BH61" s="9">
        <v>37345</v>
      </c>
      <c r="BI61" s="9">
        <v>239595</v>
      </c>
      <c r="BJ61" s="9">
        <v>40060</v>
      </c>
      <c r="BK61" s="9">
        <v>280172</v>
      </c>
      <c r="BL61" s="9">
        <v>178217</v>
      </c>
      <c r="BM61" s="9">
        <v>51691</v>
      </c>
      <c r="BN61" s="9">
        <v>60549</v>
      </c>
      <c r="BO61" s="9">
        <v>33036</v>
      </c>
      <c r="BP61" s="9">
        <v>39423</v>
      </c>
      <c r="BQ61" s="4"/>
      <c r="BR61" s="5">
        <f t="shared" si="1"/>
        <v>0</v>
      </c>
      <c r="CB61">
        <v>280245</v>
      </c>
    </row>
    <row r="62" spans="1:80" x14ac:dyDescent="0.25">
      <c r="A62" s="8">
        <v>40360</v>
      </c>
      <c r="B62" s="9">
        <f>'BR OBS'!B64</f>
        <v>15732</v>
      </c>
      <c r="C62" s="9">
        <f>'BR OBS'!C64</f>
        <v>61099</v>
      </c>
      <c r="D62" s="9">
        <f>'BR OBS'!D64</f>
        <v>2288</v>
      </c>
      <c r="E62" s="9">
        <f>'BR OBS'!E64</f>
        <v>35881</v>
      </c>
      <c r="F62" s="9">
        <f>'BR OBS'!F64</f>
        <v>5765</v>
      </c>
      <c r="G62" s="9">
        <f>'BR OBS'!G64</f>
        <v>17004</v>
      </c>
      <c r="H62" s="9">
        <f>'BR OBS'!H64</f>
        <v>169699</v>
      </c>
      <c r="I62" s="9">
        <f>'BR OBS'!I64</f>
        <v>22259</v>
      </c>
      <c r="J62" s="9">
        <f>'BR OBS'!J64</f>
        <v>8379</v>
      </c>
      <c r="K62" s="9">
        <f>'BR OBS'!K64</f>
        <v>9390</v>
      </c>
      <c r="L62" s="9">
        <f>'BR OBS'!L64</f>
        <v>32127</v>
      </c>
      <c r="M62" s="9">
        <f>'BR OBS'!M64</f>
        <v>25792</v>
      </c>
      <c r="N62" s="9">
        <f>'BR OBS'!N64</f>
        <v>34607</v>
      </c>
      <c r="O62" s="9">
        <f>'BR OBS'!O64</f>
        <v>37627</v>
      </c>
      <c r="P62" s="9">
        <f>'BR OBS'!P64</f>
        <v>246419</v>
      </c>
      <c r="Q62" s="9">
        <f>'BR OBS'!Q64</f>
        <v>41933</v>
      </c>
      <c r="R62" s="9">
        <f>'BR OBS'!R64</f>
        <v>288798</v>
      </c>
      <c r="S62" s="9">
        <f>'BR OBS'!S64</f>
        <v>183015</v>
      </c>
      <c r="T62" s="9">
        <f>'BR OBS'!T64</f>
        <v>52201</v>
      </c>
      <c r="U62" s="9">
        <f>'BR OBS'!U64</f>
        <v>65246</v>
      </c>
      <c r="V62" s="9">
        <f>'BR OBS'!V64</f>
        <v>36717</v>
      </c>
      <c r="W62" s="9">
        <f>'BR OBS'!W64</f>
        <v>44565</v>
      </c>
      <c r="X62" s="9"/>
      <c r="Y62" s="9">
        <f>'BR SA'!B64</f>
        <v>15359</v>
      </c>
      <c r="Z62" s="9">
        <f>'BR SA'!C64</f>
        <v>58729</v>
      </c>
      <c r="AA62" s="9">
        <f>'BR SA'!D64</f>
        <v>2236</v>
      </c>
      <c r="AB62" s="9">
        <f>'BR SA'!E64</f>
        <v>33994</v>
      </c>
      <c r="AC62" s="9">
        <f>'BR SA'!F64</f>
        <v>5767</v>
      </c>
      <c r="AD62" s="9">
        <f>'BR SA'!G64</f>
        <v>16370</v>
      </c>
      <c r="AE62" s="9">
        <f>'BR SA'!H64</f>
        <v>167959</v>
      </c>
      <c r="AF62" s="9">
        <f>'BR SA'!I64</f>
        <v>21585</v>
      </c>
      <c r="AG62" s="9">
        <f>'BR SA'!J64</f>
        <v>8191</v>
      </c>
      <c r="AH62" s="9">
        <f>'BR SA'!K64</f>
        <v>9417</v>
      </c>
      <c r="AI62" s="9">
        <f>'BR SA'!L64</f>
        <v>32139</v>
      </c>
      <c r="AJ62" s="9">
        <f>'BR SA'!M64</f>
        <v>25813</v>
      </c>
      <c r="AK62" s="9">
        <f>'BR SA'!N64</f>
        <v>34149</v>
      </c>
      <c r="AL62" s="9">
        <f>'BR SA'!O64</f>
        <v>37519</v>
      </c>
      <c r="AM62" s="9">
        <f>'BR SA'!P64</f>
        <v>241410</v>
      </c>
      <c r="AN62" s="9">
        <f>'BR SA'!Q64</f>
        <v>283023</v>
      </c>
      <c r="AO62" s="9">
        <f>'BR SA'!R64</f>
        <v>182110</v>
      </c>
      <c r="AP62" s="9">
        <f>'BR SA'!S64</f>
        <v>52195</v>
      </c>
      <c r="AQ62" s="9">
        <f>'BR SA'!T64</f>
        <v>62315</v>
      </c>
      <c r="AR62" s="9">
        <f>'BR SA'!U64</f>
        <v>33974</v>
      </c>
      <c r="AS62" s="9">
        <f>'BR SA'!V64</f>
        <v>42409</v>
      </c>
      <c r="AU62" s="9">
        <v>15360</v>
      </c>
      <c r="AV62" s="9">
        <v>58729</v>
      </c>
      <c r="AW62" s="9">
        <v>2236</v>
      </c>
      <c r="AX62" s="9">
        <v>33994</v>
      </c>
      <c r="AY62" s="9">
        <v>5767</v>
      </c>
      <c r="AZ62" s="9">
        <v>16342</v>
      </c>
      <c r="BA62" s="9">
        <v>167959</v>
      </c>
      <c r="BB62" s="9">
        <v>21585</v>
      </c>
      <c r="BC62" s="9">
        <v>8192</v>
      </c>
      <c r="BD62" s="9">
        <v>9417</v>
      </c>
      <c r="BE62" s="9">
        <v>32139</v>
      </c>
      <c r="BF62" s="9">
        <v>25837</v>
      </c>
      <c r="BG62" s="9">
        <v>34141</v>
      </c>
      <c r="BH62" s="9">
        <v>37523</v>
      </c>
      <c r="BI62" s="9">
        <v>241410</v>
      </c>
      <c r="BJ62" s="9">
        <v>41074</v>
      </c>
      <c r="BK62" s="9">
        <v>283023</v>
      </c>
      <c r="BL62" s="9">
        <v>182110</v>
      </c>
      <c r="BM62" s="9">
        <v>52195</v>
      </c>
      <c r="BN62" s="9">
        <v>62315</v>
      </c>
      <c r="BO62" s="9">
        <v>33975</v>
      </c>
      <c r="BP62" s="9">
        <v>42409</v>
      </c>
      <c r="BQ62" s="4"/>
      <c r="BR62" s="5">
        <f t="shared" si="1"/>
        <v>6.5108405495149422E-5</v>
      </c>
      <c r="CB62">
        <v>282985</v>
      </c>
    </row>
    <row r="63" spans="1:80" x14ac:dyDescent="0.25">
      <c r="A63" s="8">
        <v>40452</v>
      </c>
      <c r="B63" s="9">
        <f>'BR OBS'!B65</f>
        <v>11259</v>
      </c>
      <c r="C63" s="9">
        <f>'BR OBS'!C65</f>
        <v>60661</v>
      </c>
      <c r="D63" s="9">
        <f>'BR OBS'!D65</f>
        <v>2320</v>
      </c>
      <c r="E63" s="9">
        <f>'BR OBS'!E65</f>
        <v>35134</v>
      </c>
      <c r="F63" s="9">
        <f>'BR OBS'!F65</f>
        <v>5882</v>
      </c>
      <c r="G63" s="9">
        <f>'BR OBS'!G65</f>
        <v>17169</v>
      </c>
      <c r="H63" s="9">
        <f>'BR OBS'!H65</f>
        <v>173084</v>
      </c>
      <c r="I63" s="9">
        <f>'BR OBS'!I65</f>
        <v>22343</v>
      </c>
      <c r="J63" s="9">
        <f>'BR OBS'!J65</f>
        <v>8451</v>
      </c>
      <c r="K63" s="9">
        <f>'BR OBS'!K65</f>
        <v>9894</v>
      </c>
      <c r="L63" s="9">
        <f>'BR OBS'!L65</f>
        <v>33848</v>
      </c>
      <c r="M63" s="9">
        <f>'BR OBS'!M65</f>
        <v>26107</v>
      </c>
      <c r="N63" s="9">
        <f>'BR OBS'!N65</f>
        <v>35913</v>
      </c>
      <c r="O63" s="9">
        <f>'BR OBS'!O65</f>
        <v>37650</v>
      </c>
      <c r="P63" s="9">
        <f>'BR OBS'!P65</f>
        <v>245652</v>
      </c>
      <c r="Q63" s="9">
        <f>'BR OBS'!Q65</f>
        <v>42540</v>
      </c>
      <c r="R63" s="9">
        <f>'BR OBS'!R65</f>
        <v>288661</v>
      </c>
      <c r="S63" s="9">
        <f>'BR OBS'!S65</f>
        <v>191414</v>
      </c>
      <c r="T63" s="9">
        <f>'BR OBS'!T65</f>
        <v>53707</v>
      </c>
      <c r="U63" s="9">
        <f>'BR OBS'!U65</f>
        <v>63567</v>
      </c>
      <c r="V63" s="9">
        <f>'BR OBS'!V65</f>
        <v>35161</v>
      </c>
      <c r="W63" s="9">
        <f>'BR OBS'!W65</f>
        <v>44220</v>
      </c>
      <c r="X63" s="9"/>
      <c r="Y63" s="9">
        <f>'BR SA'!B65</f>
        <v>15630</v>
      </c>
      <c r="Z63" s="9">
        <f>'BR SA'!C65</f>
        <v>59638</v>
      </c>
      <c r="AA63" s="9">
        <f>'BR SA'!D65</f>
        <v>2277</v>
      </c>
      <c r="AB63" s="9">
        <f>'BR SA'!E65</f>
        <v>34440</v>
      </c>
      <c r="AC63" s="9">
        <f>'BR SA'!F65</f>
        <v>5787</v>
      </c>
      <c r="AD63" s="9">
        <f>'BR SA'!G65</f>
        <v>16904</v>
      </c>
      <c r="AE63" s="9">
        <f>'BR SA'!H65</f>
        <v>170044</v>
      </c>
      <c r="AF63" s="9">
        <f>'BR SA'!I65</f>
        <v>21793</v>
      </c>
      <c r="AG63" s="9">
        <f>'BR SA'!J65</f>
        <v>8296</v>
      </c>
      <c r="AH63" s="9">
        <f>'BR SA'!K65</f>
        <v>9466</v>
      </c>
      <c r="AI63" s="9">
        <f>'BR SA'!L65</f>
        <v>33101</v>
      </c>
      <c r="AJ63" s="9">
        <f>'BR SA'!M65</f>
        <v>26021</v>
      </c>
      <c r="AK63" s="9">
        <f>'BR SA'!N65</f>
        <v>34730</v>
      </c>
      <c r="AL63" s="9">
        <f>'BR SA'!O65</f>
        <v>37773</v>
      </c>
      <c r="AM63" s="9">
        <f>'BR SA'!P65</f>
        <v>244652</v>
      </c>
      <c r="AN63" s="9">
        <f>'BR SA'!Q65</f>
        <v>286863</v>
      </c>
      <c r="AO63" s="9">
        <f>'BR SA'!R65</f>
        <v>185966</v>
      </c>
      <c r="AP63" s="9">
        <f>'BR SA'!S65</f>
        <v>52384</v>
      </c>
      <c r="AQ63" s="9">
        <f>'BR SA'!T65</f>
        <v>62875</v>
      </c>
      <c r="AR63" s="9">
        <f>'BR SA'!U65</f>
        <v>34221</v>
      </c>
      <c r="AS63" s="9">
        <f>'BR SA'!V65</f>
        <v>42557</v>
      </c>
      <c r="AU63" s="9">
        <v>15630</v>
      </c>
      <c r="AV63" s="9">
        <v>59638</v>
      </c>
      <c r="AW63" s="9">
        <v>2277</v>
      </c>
      <c r="AX63" s="9">
        <v>34440</v>
      </c>
      <c r="AY63" s="9">
        <v>5787</v>
      </c>
      <c r="AZ63" s="9">
        <v>16881</v>
      </c>
      <c r="BA63" s="9">
        <v>170044</v>
      </c>
      <c r="BB63" s="9">
        <v>21794</v>
      </c>
      <c r="BC63" s="9">
        <v>8296</v>
      </c>
      <c r="BD63" s="9">
        <v>9466</v>
      </c>
      <c r="BE63" s="9">
        <v>33101</v>
      </c>
      <c r="BF63" s="9">
        <v>26059</v>
      </c>
      <c r="BG63" s="9">
        <v>34720</v>
      </c>
      <c r="BH63" s="9">
        <v>37774</v>
      </c>
      <c r="BI63" s="9">
        <v>244652</v>
      </c>
      <c r="BJ63" s="9">
        <v>41750</v>
      </c>
      <c r="BK63" s="9">
        <v>286863</v>
      </c>
      <c r="BL63" s="9">
        <v>185966</v>
      </c>
      <c r="BM63" s="9">
        <v>52385</v>
      </c>
      <c r="BN63" s="9">
        <v>62875</v>
      </c>
      <c r="BO63" s="9">
        <v>34221</v>
      </c>
      <c r="BP63" s="9">
        <v>42558</v>
      </c>
      <c r="BQ63" s="4"/>
      <c r="BR63" s="5">
        <f t="shared" si="1"/>
        <v>0</v>
      </c>
      <c r="CB63">
        <v>286717</v>
      </c>
    </row>
    <row r="64" spans="1:80" x14ac:dyDescent="0.25">
      <c r="A64" s="8">
        <v>40544</v>
      </c>
      <c r="B64" s="9">
        <f>'BR OBS'!B66</f>
        <v>18287</v>
      </c>
      <c r="C64" s="9">
        <f>'BR OBS'!C66</f>
        <v>56819</v>
      </c>
      <c r="D64" s="9">
        <f>'BR OBS'!D66</f>
        <v>2168</v>
      </c>
      <c r="E64" s="9">
        <f>'BR OBS'!E66</f>
        <v>32375</v>
      </c>
      <c r="F64" s="9">
        <f>'BR OBS'!F66</f>
        <v>5792</v>
      </c>
      <c r="G64" s="9">
        <f>'BR OBS'!G66</f>
        <v>16331</v>
      </c>
      <c r="H64" s="9">
        <f>'BR OBS'!H66</f>
        <v>167436</v>
      </c>
      <c r="I64" s="9">
        <f>'BR OBS'!I66</f>
        <v>20908</v>
      </c>
      <c r="J64" s="9">
        <f>'BR OBS'!J66</f>
        <v>8205</v>
      </c>
      <c r="K64" s="9">
        <f>'BR OBS'!K66</f>
        <v>9363</v>
      </c>
      <c r="L64" s="9">
        <f>'BR OBS'!L66</f>
        <v>32672</v>
      </c>
      <c r="M64" s="9">
        <f>'BR OBS'!M66</f>
        <v>26042</v>
      </c>
      <c r="N64" s="9">
        <f>'BR OBS'!N66</f>
        <v>34038</v>
      </c>
      <c r="O64" s="9">
        <f>'BR OBS'!O66</f>
        <v>37735</v>
      </c>
      <c r="P64" s="9">
        <f>'BR OBS'!P66</f>
        <v>241378</v>
      </c>
      <c r="Q64" s="9">
        <f>'BR OBS'!Q66</f>
        <v>41367</v>
      </c>
      <c r="R64" s="9">
        <f>'BR OBS'!R66</f>
        <v>283194</v>
      </c>
      <c r="S64" s="9">
        <f>'BR OBS'!S66</f>
        <v>183360</v>
      </c>
      <c r="T64" s="9">
        <f>'BR OBS'!T66</f>
        <v>51438</v>
      </c>
      <c r="U64" s="9">
        <f>'BR OBS'!U66</f>
        <v>61837</v>
      </c>
      <c r="V64" s="9">
        <f>'BR OBS'!V66</f>
        <v>30798</v>
      </c>
      <c r="W64" s="9">
        <f>'BR OBS'!W66</f>
        <v>39890</v>
      </c>
      <c r="X64" s="9"/>
      <c r="Y64" s="9">
        <f>'BR SA'!B66</f>
        <v>15996</v>
      </c>
      <c r="Z64" s="9">
        <f>'BR SA'!C66</f>
        <v>59692</v>
      </c>
      <c r="AA64" s="9">
        <f>'BR SA'!D66</f>
        <v>2247</v>
      </c>
      <c r="AB64" s="9">
        <f>'BR SA'!E66</f>
        <v>34768</v>
      </c>
      <c r="AC64" s="9">
        <f>'BR SA'!F66</f>
        <v>5858</v>
      </c>
      <c r="AD64" s="9">
        <f>'BR SA'!G66</f>
        <v>17159</v>
      </c>
      <c r="AE64" s="9">
        <f>'BR SA'!H66</f>
        <v>171808</v>
      </c>
      <c r="AF64" s="9">
        <f>'BR SA'!I66</f>
        <v>21954</v>
      </c>
      <c r="AG64" s="9">
        <f>'BR SA'!J66</f>
        <v>8494</v>
      </c>
      <c r="AH64" s="9">
        <f>'BR SA'!K66</f>
        <v>9666</v>
      </c>
      <c r="AI64" s="9">
        <f>'BR SA'!L66</f>
        <v>33057</v>
      </c>
      <c r="AJ64" s="9">
        <f>'BR SA'!M66</f>
        <v>26087</v>
      </c>
      <c r="AK64" s="9">
        <f>'BR SA'!N66</f>
        <v>35368</v>
      </c>
      <c r="AL64" s="9">
        <f>'BR SA'!O66</f>
        <v>38059</v>
      </c>
      <c r="AM64" s="9">
        <f>'BR SA'!P66</f>
        <v>248236</v>
      </c>
      <c r="AN64" s="9">
        <f>'BR SA'!Q66</f>
        <v>291069</v>
      </c>
      <c r="AO64" s="9">
        <f>'BR SA'!R66</f>
        <v>188221</v>
      </c>
      <c r="AP64" s="9">
        <f>'BR SA'!S66</f>
        <v>52798</v>
      </c>
      <c r="AQ64" s="9">
        <f>'BR SA'!T66</f>
        <v>64435</v>
      </c>
      <c r="AR64" s="9">
        <f>'BR SA'!U66</f>
        <v>34844</v>
      </c>
      <c r="AS64" s="9">
        <f>'BR SA'!V66</f>
        <v>42936</v>
      </c>
      <c r="AU64" s="9">
        <v>15996</v>
      </c>
      <c r="AV64" s="9">
        <v>59693</v>
      </c>
      <c r="AW64" s="9">
        <v>2248</v>
      </c>
      <c r="AX64" s="9">
        <v>34768</v>
      </c>
      <c r="AY64" s="9">
        <v>5858</v>
      </c>
      <c r="AZ64" s="9">
        <v>17232</v>
      </c>
      <c r="BA64" s="9">
        <v>171807</v>
      </c>
      <c r="BB64" s="9">
        <v>21954</v>
      </c>
      <c r="BC64" s="9">
        <v>8494</v>
      </c>
      <c r="BD64" s="9">
        <v>9666</v>
      </c>
      <c r="BE64" s="9">
        <v>33057</v>
      </c>
      <c r="BF64" s="9">
        <v>26054</v>
      </c>
      <c r="BG64" s="9">
        <v>35377</v>
      </c>
      <c r="BH64" s="9">
        <v>38059</v>
      </c>
      <c r="BI64" s="9">
        <v>248236</v>
      </c>
      <c r="BJ64" s="9">
        <v>42697</v>
      </c>
      <c r="BK64" s="9">
        <v>291070</v>
      </c>
      <c r="BL64" s="9">
        <v>188220</v>
      </c>
      <c r="BM64" s="9">
        <v>52798</v>
      </c>
      <c r="BN64" s="9">
        <v>64435</v>
      </c>
      <c r="BO64" s="9">
        <v>34844</v>
      </c>
      <c r="BP64" s="9">
        <v>42936</v>
      </c>
      <c r="BQ64" s="4"/>
      <c r="BR64" s="5">
        <f t="shared" si="1"/>
        <v>0</v>
      </c>
      <c r="CB64">
        <v>291131</v>
      </c>
    </row>
    <row r="65" spans="1:80" x14ac:dyDescent="0.25">
      <c r="A65" s="8">
        <v>40634</v>
      </c>
      <c r="B65" s="9">
        <f>'BR OBS'!B67</f>
        <v>17698</v>
      </c>
      <c r="C65" s="9">
        <f>'BR OBS'!C67</f>
        <v>61278</v>
      </c>
      <c r="D65" s="9">
        <f>'BR OBS'!D67</f>
        <v>2280</v>
      </c>
      <c r="E65" s="9">
        <f>'BR OBS'!E67</f>
        <v>35279</v>
      </c>
      <c r="F65" s="9">
        <f>'BR OBS'!F67</f>
        <v>6078</v>
      </c>
      <c r="G65" s="9">
        <f>'BR OBS'!G67</f>
        <v>17637</v>
      </c>
      <c r="H65" s="9">
        <f>'BR OBS'!H67</f>
        <v>171955</v>
      </c>
      <c r="I65" s="9">
        <f>'BR OBS'!I67</f>
        <v>21917</v>
      </c>
      <c r="J65" s="9">
        <f>'BR OBS'!J67</f>
        <v>8453</v>
      </c>
      <c r="K65" s="9">
        <f>'BR OBS'!K67</f>
        <v>9801</v>
      </c>
      <c r="L65" s="9">
        <f>'BR OBS'!L67</f>
        <v>33123</v>
      </c>
      <c r="M65" s="9">
        <f>'BR OBS'!M67</f>
        <v>25941</v>
      </c>
      <c r="N65" s="9">
        <f>'BR OBS'!N67</f>
        <v>35301</v>
      </c>
      <c r="O65" s="9">
        <f>'BR OBS'!O67</f>
        <v>38391</v>
      </c>
      <c r="P65" s="9">
        <f>'BR OBS'!P67</f>
        <v>250374</v>
      </c>
      <c r="Q65" s="9">
        <f>'BR OBS'!Q67</f>
        <v>42737</v>
      </c>
      <c r="R65" s="9">
        <f>'BR OBS'!R67</f>
        <v>293569</v>
      </c>
      <c r="S65" s="9">
        <f>'BR OBS'!S67</f>
        <v>188065</v>
      </c>
      <c r="T65" s="9">
        <f>'BR OBS'!T67</f>
        <v>53344</v>
      </c>
      <c r="U65" s="9">
        <f>'BR OBS'!U67</f>
        <v>64604</v>
      </c>
      <c r="V65" s="9">
        <f>'BR OBS'!V67</f>
        <v>35829</v>
      </c>
      <c r="W65" s="9">
        <f>'BR OBS'!W67</f>
        <v>44345</v>
      </c>
      <c r="X65" s="9"/>
      <c r="Y65" s="9">
        <f>'BR SA'!B67</f>
        <v>15840</v>
      </c>
      <c r="Z65" s="9">
        <f>'BR SA'!C67</f>
        <v>61813</v>
      </c>
      <c r="AA65" s="9">
        <f>'BR SA'!D67</f>
        <v>2299</v>
      </c>
      <c r="AB65" s="9">
        <f>'BR SA'!E67</f>
        <v>35476</v>
      </c>
      <c r="AC65" s="9">
        <f>'BR SA'!F67</f>
        <v>6105</v>
      </c>
      <c r="AD65" s="9">
        <f>'BR SA'!G67</f>
        <v>17698</v>
      </c>
      <c r="AE65" s="9">
        <f>'BR SA'!H67</f>
        <v>172867</v>
      </c>
      <c r="AF65" s="9">
        <f>'BR SA'!I67</f>
        <v>22072</v>
      </c>
      <c r="AG65" s="9">
        <f>'BR SA'!J67</f>
        <v>8526</v>
      </c>
      <c r="AH65" s="9">
        <f>'BR SA'!K67</f>
        <v>9935</v>
      </c>
      <c r="AI65" s="9">
        <f>'BR SA'!L67</f>
        <v>33473</v>
      </c>
      <c r="AJ65" s="9">
        <f>'BR SA'!M67</f>
        <v>25949</v>
      </c>
      <c r="AK65" s="9">
        <f>'BR SA'!N67</f>
        <v>35703</v>
      </c>
      <c r="AL65" s="9">
        <f>'BR SA'!O67</f>
        <v>38142</v>
      </c>
      <c r="AM65" s="9">
        <f>'BR SA'!P67</f>
        <v>249998</v>
      </c>
      <c r="AN65" s="9">
        <f>'BR SA'!Q67</f>
        <v>293812</v>
      </c>
      <c r="AO65" s="9">
        <f>'BR SA'!R67</f>
        <v>190211</v>
      </c>
      <c r="AP65" s="9">
        <f>'BR SA'!S67</f>
        <v>53311</v>
      </c>
      <c r="AQ65" s="9">
        <f>'BR SA'!T67</f>
        <v>65583</v>
      </c>
      <c r="AR65" s="9">
        <f>'BR SA'!U67</f>
        <v>35226</v>
      </c>
      <c r="AS65" s="9">
        <f>'BR SA'!V67</f>
        <v>44753</v>
      </c>
      <c r="AU65" s="9">
        <v>15840</v>
      </c>
      <c r="AV65" s="9">
        <v>61813</v>
      </c>
      <c r="AW65" s="9">
        <v>2299</v>
      </c>
      <c r="AX65" s="9">
        <v>35476</v>
      </c>
      <c r="AY65" s="9">
        <v>6105</v>
      </c>
      <c r="AZ65" s="9">
        <v>17695</v>
      </c>
      <c r="BA65" s="9">
        <v>172867</v>
      </c>
      <c r="BB65" s="9">
        <v>22072</v>
      </c>
      <c r="BC65" s="9">
        <v>8526</v>
      </c>
      <c r="BD65" s="9">
        <v>9935</v>
      </c>
      <c r="BE65" s="9">
        <v>33473</v>
      </c>
      <c r="BF65" s="9">
        <v>25954</v>
      </c>
      <c r="BG65" s="9">
        <v>35699</v>
      </c>
      <c r="BH65" s="9">
        <v>38146</v>
      </c>
      <c r="BI65" s="9">
        <v>249998</v>
      </c>
      <c r="BJ65" s="9">
        <v>43093</v>
      </c>
      <c r="BK65" s="9">
        <v>293812</v>
      </c>
      <c r="BL65" s="9">
        <v>190210</v>
      </c>
      <c r="BM65" s="9">
        <v>53311</v>
      </c>
      <c r="BN65" s="9">
        <v>65582</v>
      </c>
      <c r="BO65" s="9">
        <v>35227</v>
      </c>
      <c r="BP65" s="9">
        <v>44754</v>
      </c>
      <c r="BQ65" s="4"/>
      <c r="BR65" s="5">
        <f t="shared" si="1"/>
        <v>0</v>
      </c>
      <c r="CB65">
        <v>293939</v>
      </c>
    </row>
    <row r="66" spans="1:80" x14ac:dyDescent="0.25">
      <c r="A66" s="8">
        <v>40725</v>
      </c>
      <c r="B66" s="9">
        <f>'BR OBS'!B68</f>
        <v>16939</v>
      </c>
      <c r="C66" s="9">
        <f>'BR OBS'!C68</f>
        <v>63520</v>
      </c>
      <c r="D66" s="9">
        <f>'BR OBS'!D68</f>
        <v>2351</v>
      </c>
      <c r="E66" s="9">
        <f>'BR OBS'!E68</f>
        <v>36544</v>
      </c>
      <c r="F66" s="9">
        <f>'BR OBS'!F68</f>
        <v>6113</v>
      </c>
      <c r="G66" s="9">
        <f>'BR OBS'!G68</f>
        <v>18601</v>
      </c>
      <c r="H66" s="9">
        <f>'BR OBS'!H68</f>
        <v>174480</v>
      </c>
      <c r="I66" s="9">
        <f>'BR OBS'!I68</f>
        <v>22364</v>
      </c>
      <c r="J66" s="9">
        <f>'BR OBS'!J68</f>
        <v>8657</v>
      </c>
      <c r="K66" s="9">
        <f>'BR OBS'!K68</f>
        <v>9969</v>
      </c>
      <c r="L66" s="9">
        <f>'BR OBS'!L68</f>
        <v>33998</v>
      </c>
      <c r="M66" s="9">
        <f>'BR OBS'!M68</f>
        <v>26087</v>
      </c>
      <c r="N66" s="9">
        <f>'BR OBS'!N68</f>
        <v>36174</v>
      </c>
      <c r="O66" s="9">
        <f>'BR OBS'!O68</f>
        <v>38274</v>
      </c>
      <c r="P66" s="9">
        <f>'BR OBS'!P68</f>
        <v>254797</v>
      </c>
      <c r="Q66" s="9">
        <f>'BR OBS'!Q68</f>
        <v>43742</v>
      </c>
      <c r="R66" s="9">
        <f>'BR OBS'!R68</f>
        <v>299014</v>
      </c>
      <c r="S66" s="9">
        <f>'BR OBS'!S68</f>
        <v>190260</v>
      </c>
      <c r="T66" s="9">
        <f>'BR OBS'!T68</f>
        <v>53123</v>
      </c>
      <c r="U66" s="9">
        <f>'BR OBS'!U68</f>
        <v>69004</v>
      </c>
      <c r="V66" s="9">
        <f>'BR OBS'!V68</f>
        <v>38349</v>
      </c>
      <c r="W66" s="9">
        <f>'BR OBS'!W68</f>
        <v>47203</v>
      </c>
      <c r="X66" s="9"/>
      <c r="Y66" s="9">
        <f>'BR SA'!B68</f>
        <v>16649</v>
      </c>
      <c r="Z66" s="9">
        <f>'BR SA'!C68</f>
        <v>61071</v>
      </c>
      <c r="AA66" s="9">
        <f>'BR SA'!D68</f>
        <v>2298</v>
      </c>
      <c r="AB66" s="9">
        <f>'BR SA'!E68</f>
        <v>34566</v>
      </c>
      <c r="AC66" s="9">
        <f>'BR SA'!F68</f>
        <v>6123</v>
      </c>
      <c r="AD66" s="9">
        <f>'BR SA'!G68</f>
        <v>17975</v>
      </c>
      <c r="AE66" s="9">
        <f>'BR SA'!H68</f>
        <v>172729</v>
      </c>
      <c r="AF66" s="9">
        <f>'BR SA'!I68</f>
        <v>21758</v>
      </c>
      <c r="AG66" s="9">
        <f>'BR SA'!J68</f>
        <v>8443</v>
      </c>
      <c r="AH66" s="9">
        <f>'BR SA'!K68</f>
        <v>10005</v>
      </c>
      <c r="AI66" s="9">
        <f>'BR SA'!L68</f>
        <v>34027</v>
      </c>
      <c r="AJ66" s="9">
        <f>'BR SA'!M68</f>
        <v>26137</v>
      </c>
      <c r="AK66" s="9">
        <f>'BR SA'!N68</f>
        <v>35716</v>
      </c>
      <c r="AL66" s="9">
        <f>'BR SA'!O68</f>
        <v>38146</v>
      </c>
      <c r="AM66" s="9">
        <f>'BR SA'!P68</f>
        <v>249736</v>
      </c>
      <c r="AN66" s="9">
        <f>'BR SA'!Q68</f>
        <v>293211</v>
      </c>
      <c r="AO66" s="9">
        <f>'BR SA'!R68</f>
        <v>189488</v>
      </c>
      <c r="AP66" s="9">
        <f>'BR SA'!S68</f>
        <v>53102</v>
      </c>
      <c r="AQ66" s="9">
        <f>'BR SA'!T68</f>
        <v>66210</v>
      </c>
      <c r="AR66" s="9">
        <f>'BR SA'!U68</f>
        <v>35834</v>
      </c>
      <c r="AS66" s="9">
        <f>'BR SA'!V68</f>
        <v>45253</v>
      </c>
      <c r="AU66" s="9">
        <v>16650</v>
      </c>
      <c r="AV66" s="9">
        <v>61071</v>
      </c>
      <c r="AW66" s="9">
        <v>2298</v>
      </c>
      <c r="AX66" s="9">
        <v>34566</v>
      </c>
      <c r="AY66" s="9">
        <v>6123</v>
      </c>
      <c r="AZ66" s="9">
        <v>17945</v>
      </c>
      <c r="BA66" s="9">
        <v>172729</v>
      </c>
      <c r="BB66" s="9">
        <v>21758</v>
      </c>
      <c r="BC66" s="9">
        <v>8443</v>
      </c>
      <c r="BD66" s="9">
        <v>10006</v>
      </c>
      <c r="BE66" s="9">
        <v>34027</v>
      </c>
      <c r="BF66" s="9">
        <v>26156</v>
      </c>
      <c r="BG66" s="9">
        <v>35707</v>
      </c>
      <c r="BH66" s="9">
        <v>38151</v>
      </c>
      <c r="BI66" s="9">
        <v>249736</v>
      </c>
      <c r="BJ66" s="9">
        <v>42971</v>
      </c>
      <c r="BK66" s="9">
        <v>293211</v>
      </c>
      <c r="BL66" s="9">
        <v>189488</v>
      </c>
      <c r="BM66" s="9">
        <v>53102</v>
      </c>
      <c r="BN66" s="9">
        <v>66210</v>
      </c>
      <c r="BO66" s="9">
        <v>35833</v>
      </c>
      <c r="BP66" s="9">
        <v>45253</v>
      </c>
      <c r="BQ66" s="4"/>
      <c r="BR66" s="5">
        <f t="shared" si="1"/>
        <v>6.0063667487536791E-5</v>
      </c>
      <c r="CB66">
        <v>293217</v>
      </c>
    </row>
    <row r="67" spans="1:80" x14ac:dyDescent="0.25">
      <c r="A67" s="8">
        <v>40817</v>
      </c>
      <c r="B67" s="9">
        <f>'BR OBS'!B69</f>
        <v>12483</v>
      </c>
      <c r="C67" s="9">
        <f>'BR OBS'!C69</f>
        <v>61783</v>
      </c>
      <c r="D67" s="9">
        <f>'BR OBS'!D69</f>
        <v>2397</v>
      </c>
      <c r="E67" s="9">
        <f>'BR OBS'!E69</f>
        <v>34523</v>
      </c>
      <c r="F67" s="9">
        <f>'BR OBS'!F69</f>
        <v>6220</v>
      </c>
      <c r="G67" s="9">
        <f>'BR OBS'!G69</f>
        <v>18487</v>
      </c>
      <c r="H67" s="9">
        <f>'BR OBS'!H69</f>
        <v>176691</v>
      </c>
      <c r="I67" s="9">
        <f>'BR OBS'!I69</f>
        <v>22471</v>
      </c>
      <c r="J67" s="9">
        <f>'BR OBS'!J69</f>
        <v>8679</v>
      </c>
      <c r="K67" s="9">
        <f>'BR OBS'!K69</f>
        <v>10539</v>
      </c>
      <c r="L67" s="9">
        <f>'BR OBS'!L69</f>
        <v>35039</v>
      </c>
      <c r="M67" s="9">
        <f>'BR OBS'!M69</f>
        <v>26453</v>
      </c>
      <c r="N67" s="9">
        <f>'BR OBS'!N69</f>
        <v>36816</v>
      </c>
      <c r="O67" s="9">
        <f>'BR OBS'!O69</f>
        <v>38162</v>
      </c>
      <c r="P67" s="9">
        <f>'BR OBS'!P69</f>
        <v>251648</v>
      </c>
      <c r="Q67" s="9">
        <f>'BR OBS'!Q69</f>
        <v>43929</v>
      </c>
      <c r="R67" s="9">
        <f>'BR OBS'!R69</f>
        <v>296073</v>
      </c>
      <c r="S67" s="9">
        <f>'BR OBS'!S69</f>
        <v>196280</v>
      </c>
      <c r="T67" s="9">
        <f>'BR OBS'!T69</f>
        <v>54368</v>
      </c>
      <c r="U67" s="9">
        <f>'BR OBS'!U69</f>
        <v>67039</v>
      </c>
      <c r="V67" s="9">
        <f>'BR OBS'!V69</f>
        <v>36589</v>
      </c>
      <c r="W67" s="9">
        <f>'BR OBS'!W69</f>
        <v>47278</v>
      </c>
      <c r="X67" s="9"/>
      <c r="Y67" s="9">
        <f>'BR SA'!B69</f>
        <v>17467</v>
      </c>
      <c r="Z67" s="9">
        <f>'BR SA'!C69</f>
        <v>60903</v>
      </c>
      <c r="AA67" s="9">
        <f>'BR SA'!D69</f>
        <v>2343</v>
      </c>
      <c r="AB67" s="9">
        <f>'BR SA'!E69</f>
        <v>33987</v>
      </c>
      <c r="AC67" s="9">
        <f>'BR SA'!F69</f>
        <v>6126</v>
      </c>
      <c r="AD67" s="9">
        <f>'BR SA'!G69</f>
        <v>18258</v>
      </c>
      <c r="AE67" s="9">
        <f>'BR SA'!H69</f>
        <v>173772</v>
      </c>
      <c r="AF67" s="9">
        <f>'BR SA'!I69</f>
        <v>21893</v>
      </c>
      <c r="AG67" s="9">
        <f>'BR SA'!J69</f>
        <v>8520</v>
      </c>
      <c r="AH67" s="9">
        <f>'BR SA'!K69</f>
        <v>10078</v>
      </c>
      <c r="AI67" s="9">
        <f>'BR SA'!L69</f>
        <v>34261</v>
      </c>
      <c r="AJ67" s="9">
        <f>'BR SA'!M69</f>
        <v>26357</v>
      </c>
      <c r="AK67" s="9">
        <f>'BR SA'!N69</f>
        <v>35726</v>
      </c>
      <c r="AL67" s="9">
        <f>'BR SA'!O69</f>
        <v>38368</v>
      </c>
      <c r="AM67" s="9">
        <f>'BR SA'!P69</f>
        <v>251795</v>
      </c>
      <c r="AN67" s="9">
        <f>'BR SA'!Q69</f>
        <v>295632</v>
      </c>
      <c r="AO67" s="9">
        <f>'BR SA'!R69</f>
        <v>190476</v>
      </c>
      <c r="AP67" s="9">
        <f>'BR SA'!S69</f>
        <v>52983</v>
      </c>
      <c r="AQ67" s="9">
        <f>'BR SA'!T69</f>
        <v>66397</v>
      </c>
      <c r="AR67" s="9">
        <f>'BR SA'!U69</f>
        <v>36369</v>
      </c>
      <c r="AS67" s="9">
        <f>'BR SA'!V69</f>
        <v>46581</v>
      </c>
      <c r="AU67" s="9">
        <v>17466</v>
      </c>
      <c r="AV67" s="9">
        <v>60903</v>
      </c>
      <c r="AW67" s="9">
        <v>2342</v>
      </c>
      <c r="AX67" s="9">
        <v>33987</v>
      </c>
      <c r="AY67" s="9">
        <v>6126</v>
      </c>
      <c r="AZ67" s="9">
        <v>18343</v>
      </c>
      <c r="BA67" s="9">
        <v>173772</v>
      </c>
      <c r="BB67" s="9">
        <v>21892</v>
      </c>
      <c r="BC67" s="9">
        <v>8520</v>
      </c>
      <c r="BD67" s="9">
        <v>10077</v>
      </c>
      <c r="BE67" s="9">
        <v>34261</v>
      </c>
      <c r="BF67" s="9">
        <v>26280</v>
      </c>
      <c r="BG67" s="9">
        <v>35763</v>
      </c>
      <c r="BH67" s="9">
        <v>38325</v>
      </c>
      <c r="BI67" s="9">
        <v>251795</v>
      </c>
      <c r="BJ67" s="9">
        <v>43368</v>
      </c>
      <c r="BK67" s="9">
        <v>295632</v>
      </c>
      <c r="BL67" s="9">
        <v>190477</v>
      </c>
      <c r="BM67" s="9">
        <v>52982</v>
      </c>
      <c r="BN67" s="9">
        <v>66396</v>
      </c>
      <c r="BO67" s="9">
        <v>36369</v>
      </c>
      <c r="BP67" s="9">
        <v>46581</v>
      </c>
      <c r="BQ67" s="4"/>
      <c r="BR67" s="5">
        <f t="shared" si="1"/>
        <v>-5.7250815824125495E-5</v>
      </c>
      <c r="CB67">
        <v>295441</v>
      </c>
    </row>
    <row r="68" spans="1:80" x14ac:dyDescent="0.25">
      <c r="A68" s="8">
        <v>40909</v>
      </c>
      <c r="B68" s="9">
        <f>'BR OBS'!B70</f>
        <v>16234</v>
      </c>
      <c r="C68" s="9">
        <f>'BR OBS'!C70</f>
        <v>58175</v>
      </c>
      <c r="D68" s="9">
        <f>'BR OBS'!D70</f>
        <v>2233</v>
      </c>
      <c r="E68" s="9">
        <f>'BR OBS'!E70</f>
        <v>31868</v>
      </c>
      <c r="F68" s="9">
        <f>'BR OBS'!F70</f>
        <v>6182</v>
      </c>
      <c r="G68" s="9">
        <f>'BR OBS'!G70</f>
        <v>17753</v>
      </c>
      <c r="H68" s="9">
        <f>'BR OBS'!H70</f>
        <v>171071</v>
      </c>
      <c r="I68" s="9">
        <f>'BR OBS'!I70</f>
        <v>21033</v>
      </c>
      <c r="J68" s="9">
        <f>'BR OBS'!J70</f>
        <v>8205</v>
      </c>
      <c r="K68" s="9">
        <f>'BR OBS'!K70</f>
        <v>9995</v>
      </c>
      <c r="L68" s="9">
        <f>'BR OBS'!L70</f>
        <v>33765</v>
      </c>
      <c r="M68" s="9">
        <f>'BR OBS'!M70</f>
        <v>26752</v>
      </c>
      <c r="N68" s="9">
        <f>'BR OBS'!N70</f>
        <v>35066</v>
      </c>
      <c r="O68" s="9">
        <f>'BR OBS'!O70</f>
        <v>38251</v>
      </c>
      <c r="P68" s="9">
        <f>'BR OBS'!P70</f>
        <v>244940</v>
      </c>
      <c r="Q68" s="9">
        <f>'BR OBS'!Q70</f>
        <v>42617</v>
      </c>
      <c r="R68" s="9">
        <f>'BR OBS'!R70</f>
        <v>288028</v>
      </c>
      <c r="S68" s="9">
        <f>'BR OBS'!S70</f>
        <v>188826</v>
      </c>
      <c r="T68" s="9">
        <f>'BR OBS'!T70</f>
        <v>52512</v>
      </c>
      <c r="U68" s="9">
        <f>'BR OBS'!U70</f>
        <v>63780</v>
      </c>
      <c r="V68" s="9">
        <f>'BR OBS'!V70</f>
        <v>32443</v>
      </c>
      <c r="W68" s="9">
        <f>'BR OBS'!W70</f>
        <v>42513</v>
      </c>
      <c r="X68" s="9"/>
      <c r="Y68" s="9">
        <f>'BR SA'!B70</f>
        <v>14046</v>
      </c>
      <c r="Z68" s="9">
        <f>'BR SA'!C70</f>
        <v>60993</v>
      </c>
      <c r="AA68" s="9">
        <f>'BR SA'!D70</f>
        <v>2320</v>
      </c>
      <c r="AB68" s="9">
        <f>'BR SA'!E70</f>
        <v>34186</v>
      </c>
      <c r="AC68" s="9">
        <f>'BR SA'!F70</f>
        <v>6223</v>
      </c>
      <c r="AD68" s="9">
        <f>'BR SA'!G70</f>
        <v>18505</v>
      </c>
      <c r="AE68" s="9">
        <f>'BR SA'!H70</f>
        <v>173411</v>
      </c>
      <c r="AF68" s="9">
        <f>'BR SA'!I70</f>
        <v>22052</v>
      </c>
      <c r="AG68" s="9">
        <f>'BR SA'!J70</f>
        <v>8500</v>
      </c>
      <c r="AH68" s="9">
        <f>'BR SA'!K70</f>
        <v>10201</v>
      </c>
      <c r="AI68" s="9">
        <f>'BR SA'!L70</f>
        <v>34182</v>
      </c>
      <c r="AJ68" s="9">
        <f>'BR SA'!M70</f>
        <v>26770</v>
      </c>
      <c r="AK68" s="9">
        <f>'BR SA'!N70</f>
        <v>35964</v>
      </c>
      <c r="AL68" s="9">
        <f>'BR SA'!O70</f>
        <v>38163</v>
      </c>
      <c r="AM68" s="9">
        <f>'BR SA'!P70</f>
        <v>248213</v>
      </c>
      <c r="AN68" s="9">
        <f>'BR SA'!Q70</f>
        <v>291855</v>
      </c>
      <c r="AO68" s="9">
        <f>'BR SA'!R70</f>
        <v>191535</v>
      </c>
      <c r="AP68" s="9">
        <f>'BR SA'!S70</f>
        <v>54047</v>
      </c>
      <c r="AQ68" s="9">
        <f>'BR SA'!T70</f>
        <v>66136</v>
      </c>
      <c r="AR68" s="9">
        <f>'BR SA'!U70</f>
        <v>35999</v>
      </c>
      <c r="AS68" s="9">
        <f>'BR SA'!V70</f>
        <v>44682</v>
      </c>
      <c r="AU68" s="9">
        <v>14047</v>
      </c>
      <c r="AV68" s="9">
        <v>60992</v>
      </c>
      <c r="AW68" s="9">
        <v>2320</v>
      </c>
      <c r="AX68" s="9">
        <v>34185</v>
      </c>
      <c r="AY68" s="9">
        <v>6223</v>
      </c>
      <c r="AZ68" s="9">
        <v>18351</v>
      </c>
      <c r="BA68" s="9">
        <v>173411</v>
      </c>
      <c r="BB68" s="9">
        <v>22051</v>
      </c>
      <c r="BC68" s="9">
        <v>8500</v>
      </c>
      <c r="BD68" s="9">
        <v>10200</v>
      </c>
      <c r="BE68" s="9">
        <v>34182</v>
      </c>
      <c r="BF68" s="9">
        <v>26777</v>
      </c>
      <c r="BG68" s="9">
        <v>35958</v>
      </c>
      <c r="BH68" s="9">
        <v>38178</v>
      </c>
      <c r="BI68" s="9">
        <v>248212</v>
      </c>
      <c r="BJ68" s="9">
        <v>43400</v>
      </c>
      <c r="BK68" s="9">
        <v>291855</v>
      </c>
      <c r="BL68" s="9">
        <v>191535</v>
      </c>
      <c r="BM68" s="9">
        <v>54047</v>
      </c>
      <c r="BN68" s="9">
        <v>66136</v>
      </c>
      <c r="BO68" s="9">
        <v>36000</v>
      </c>
      <c r="BP68" s="9">
        <v>44681</v>
      </c>
      <c r="BQ68" s="4"/>
      <c r="BR68" s="5">
        <f t="shared" ref="BR68:BR99" si="2">(AU68-Y68)/Y68</f>
        <v>7.1194646162608578E-5</v>
      </c>
      <c r="CB68">
        <v>291894</v>
      </c>
    </row>
    <row r="69" spans="1:80" x14ac:dyDescent="0.25">
      <c r="A69" s="8">
        <v>41000</v>
      </c>
      <c r="B69" s="9">
        <f>'BR OBS'!B71</f>
        <v>17669</v>
      </c>
      <c r="C69" s="9">
        <f>'BR OBS'!C71</f>
        <v>59324</v>
      </c>
      <c r="D69" s="9">
        <f>'BR OBS'!D71</f>
        <v>2225</v>
      </c>
      <c r="E69" s="9">
        <f>'BR OBS'!E71</f>
        <v>33185</v>
      </c>
      <c r="F69" s="9">
        <f>'BR OBS'!F71</f>
        <v>6022</v>
      </c>
      <c r="G69" s="9">
        <f>'BR OBS'!G71</f>
        <v>17962</v>
      </c>
      <c r="H69" s="9">
        <f>'BR OBS'!H71</f>
        <v>176093</v>
      </c>
      <c r="I69" s="9">
        <f>'BR OBS'!I71</f>
        <v>22133</v>
      </c>
      <c r="J69" s="9">
        <f>'BR OBS'!J71</f>
        <v>8468</v>
      </c>
      <c r="K69" s="9">
        <f>'BR OBS'!K71</f>
        <v>10267</v>
      </c>
      <c r="L69" s="9">
        <f>'BR OBS'!L71</f>
        <v>33801</v>
      </c>
      <c r="M69" s="9">
        <f>'BR OBS'!M71</f>
        <v>27434</v>
      </c>
      <c r="N69" s="9">
        <f>'BR OBS'!N71</f>
        <v>36173</v>
      </c>
      <c r="O69" s="9">
        <f>'BR OBS'!O71</f>
        <v>39124</v>
      </c>
      <c r="P69" s="9">
        <f>'BR OBS'!P71</f>
        <v>252256</v>
      </c>
      <c r="Q69" s="9">
        <f>'BR OBS'!Q71</f>
        <v>43728</v>
      </c>
      <c r="R69" s="9">
        <f>'BR OBS'!R71</f>
        <v>296465</v>
      </c>
      <c r="S69" s="9">
        <f>'BR OBS'!S71</f>
        <v>192242</v>
      </c>
      <c r="T69" s="9">
        <f>'BR OBS'!T71</f>
        <v>54474</v>
      </c>
      <c r="U69" s="9">
        <f>'BR OBS'!U71</f>
        <v>65323</v>
      </c>
      <c r="V69" s="9">
        <f>'BR OBS'!V71</f>
        <v>35433</v>
      </c>
      <c r="W69" s="9">
        <f>'BR OBS'!W71</f>
        <v>45443</v>
      </c>
      <c r="X69" s="9"/>
      <c r="Y69" s="9">
        <f>'BR SA'!B71</f>
        <v>15791</v>
      </c>
      <c r="Z69" s="9">
        <f>'BR SA'!C71</f>
        <v>59838</v>
      </c>
      <c r="AA69" s="9">
        <f>'BR SA'!D71</f>
        <v>2249</v>
      </c>
      <c r="AB69" s="9">
        <f>'BR SA'!E71</f>
        <v>33384</v>
      </c>
      <c r="AC69" s="9">
        <f>'BR SA'!F71</f>
        <v>6062</v>
      </c>
      <c r="AD69" s="9">
        <f>'BR SA'!G71</f>
        <v>18032</v>
      </c>
      <c r="AE69" s="9">
        <f>'BR SA'!H71</f>
        <v>177151</v>
      </c>
      <c r="AF69" s="9">
        <f>'BR SA'!I71</f>
        <v>22305</v>
      </c>
      <c r="AG69" s="9">
        <f>'BR SA'!J71</f>
        <v>8579</v>
      </c>
      <c r="AH69" s="9">
        <f>'BR SA'!K71</f>
        <v>10407</v>
      </c>
      <c r="AI69" s="9">
        <f>'BR SA'!L71</f>
        <v>34098</v>
      </c>
      <c r="AJ69" s="9">
        <f>'BR SA'!M71</f>
        <v>27458</v>
      </c>
      <c r="AK69" s="9">
        <f>'BR SA'!N71</f>
        <v>36571</v>
      </c>
      <c r="AL69" s="9">
        <f>'BR SA'!O71</f>
        <v>38878</v>
      </c>
      <c r="AM69" s="9">
        <f>'BR SA'!P71</f>
        <v>252018</v>
      </c>
      <c r="AN69" s="9">
        <f>'BR SA'!Q71</f>
        <v>296812</v>
      </c>
      <c r="AO69" s="9">
        <f>'BR SA'!R71</f>
        <v>194616</v>
      </c>
      <c r="AP69" s="9">
        <f>'BR SA'!S71</f>
        <v>54357</v>
      </c>
      <c r="AQ69" s="9">
        <f>'BR SA'!T71</f>
        <v>66159</v>
      </c>
      <c r="AR69" s="9">
        <f>'BR SA'!U71</f>
        <v>34691</v>
      </c>
      <c r="AS69" s="9">
        <f>'BR SA'!V71</f>
        <v>45759</v>
      </c>
      <c r="AU69" s="9">
        <v>15791</v>
      </c>
      <c r="AV69" s="9">
        <v>59837</v>
      </c>
      <c r="AW69" s="9">
        <v>2249</v>
      </c>
      <c r="AX69" s="9">
        <v>33384</v>
      </c>
      <c r="AY69" s="9">
        <v>6061</v>
      </c>
      <c r="AZ69" s="9">
        <v>18028</v>
      </c>
      <c r="BA69" s="9">
        <v>177150</v>
      </c>
      <c r="BB69" s="9">
        <v>22304</v>
      </c>
      <c r="BC69" s="9">
        <v>8579</v>
      </c>
      <c r="BD69" s="9">
        <v>10406</v>
      </c>
      <c r="BE69" s="9">
        <v>34097</v>
      </c>
      <c r="BF69" s="9">
        <v>27463</v>
      </c>
      <c r="BG69" s="9">
        <v>36570</v>
      </c>
      <c r="BH69" s="9">
        <v>38878</v>
      </c>
      <c r="BI69" s="9">
        <v>252018</v>
      </c>
      <c r="BJ69" s="9">
        <v>44139</v>
      </c>
      <c r="BK69" s="9">
        <v>296812</v>
      </c>
      <c r="BL69" s="9">
        <v>194616</v>
      </c>
      <c r="BM69" s="9">
        <v>54357</v>
      </c>
      <c r="BN69" s="9">
        <v>66159</v>
      </c>
      <c r="BO69" s="9">
        <v>34690</v>
      </c>
      <c r="BP69" s="9">
        <v>45759</v>
      </c>
      <c r="BQ69" s="4"/>
      <c r="BR69" s="5">
        <f t="shared" si="2"/>
        <v>0</v>
      </c>
      <c r="CB69">
        <v>296913</v>
      </c>
    </row>
    <row r="70" spans="1:80" x14ac:dyDescent="0.25">
      <c r="A70" s="8">
        <v>41091</v>
      </c>
      <c r="B70" s="9">
        <f>'BR OBS'!B72</f>
        <v>17741</v>
      </c>
      <c r="C70" s="9">
        <f>'BR OBS'!C72</f>
        <v>63228</v>
      </c>
      <c r="D70" s="9">
        <f>'BR OBS'!D72</f>
        <v>2265</v>
      </c>
      <c r="E70" s="9">
        <f>'BR OBS'!E72</f>
        <v>36068</v>
      </c>
      <c r="F70" s="9">
        <f>'BR OBS'!F72</f>
        <v>6247</v>
      </c>
      <c r="G70" s="9">
        <f>'BR OBS'!G72</f>
        <v>19136</v>
      </c>
      <c r="H70" s="9">
        <f>'BR OBS'!H72</f>
        <v>180214</v>
      </c>
      <c r="I70" s="9">
        <f>'BR OBS'!I72</f>
        <v>23237</v>
      </c>
      <c r="J70" s="9">
        <f>'BR OBS'!J72</f>
        <v>9114</v>
      </c>
      <c r="K70" s="9">
        <f>'BR OBS'!K72</f>
        <v>10728</v>
      </c>
      <c r="L70" s="9">
        <f>'BR OBS'!L72</f>
        <v>34018</v>
      </c>
      <c r="M70" s="9">
        <f>'BR OBS'!M72</f>
        <v>27699</v>
      </c>
      <c r="N70" s="9">
        <f>'BR OBS'!N72</f>
        <v>37341</v>
      </c>
      <c r="O70" s="9">
        <f>'BR OBS'!O72</f>
        <v>38679</v>
      </c>
      <c r="P70" s="9">
        <f>'BR OBS'!P72</f>
        <v>260695</v>
      </c>
      <c r="Q70" s="9">
        <f>'BR OBS'!Q72</f>
        <v>45252</v>
      </c>
      <c r="R70" s="9">
        <f>'BR OBS'!R72</f>
        <v>306446</v>
      </c>
      <c r="S70" s="9">
        <f>'BR OBS'!S72</f>
        <v>197728</v>
      </c>
      <c r="T70" s="9">
        <f>'BR OBS'!T72</f>
        <v>54153</v>
      </c>
      <c r="U70" s="9">
        <f>'BR OBS'!U72</f>
        <v>67979</v>
      </c>
      <c r="V70" s="9">
        <f>'BR OBS'!V72</f>
        <v>36981</v>
      </c>
      <c r="W70" s="9">
        <f>'BR OBS'!W72</f>
        <v>44639</v>
      </c>
      <c r="X70" s="9"/>
      <c r="Y70" s="9">
        <f>'BR SA'!B72</f>
        <v>17575</v>
      </c>
      <c r="Z70" s="9">
        <f>'BR SA'!C72</f>
        <v>60729</v>
      </c>
      <c r="AA70" s="9">
        <f>'BR SA'!D72</f>
        <v>2213</v>
      </c>
      <c r="AB70" s="9">
        <f>'BR SA'!E72</f>
        <v>34013</v>
      </c>
      <c r="AC70" s="9">
        <f>'BR SA'!F72</f>
        <v>6270</v>
      </c>
      <c r="AD70" s="9">
        <f>'BR SA'!G72</f>
        <v>18579</v>
      </c>
      <c r="AE70" s="9">
        <f>'BR SA'!H72</f>
        <v>178747</v>
      </c>
      <c r="AF70" s="9">
        <f>'BR SA'!I72</f>
        <v>22659</v>
      </c>
      <c r="AG70" s="9">
        <f>'BR SA'!J72</f>
        <v>8850</v>
      </c>
      <c r="AH70" s="9">
        <f>'BR SA'!K72</f>
        <v>10786</v>
      </c>
      <c r="AI70" s="9">
        <f>'BR SA'!L72</f>
        <v>34090</v>
      </c>
      <c r="AJ70" s="9">
        <f>'BR SA'!M72</f>
        <v>27771</v>
      </c>
      <c r="AK70" s="9">
        <f>'BR SA'!N72</f>
        <v>37015</v>
      </c>
      <c r="AL70" s="9">
        <f>'BR SA'!O72</f>
        <v>38617</v>
      </c>
      <c r="AM70" s="9">
        <f>'BR SA'!P72</f>
        <v>256554</v>
      </c>
      <c r="AN70" s="9">
        <f>'BR SA'!Q72</f>
        <v>302005</v>
      </c>
      <c r="AO70" s="9">
        <f>'BR SA'!R72</f>
        <v>197195</v>
      </c>
      <c r="AP70" s="9">
        <f>'BR SA'!S72</f>
        <v>54082</v>
      </c>
      <c r="AQ70" s="9">
        <f>'BR SA'!T72</f>
        <v>65573</v>
      </c>
      <c r="AR70" s="9">
        <f>'BR SA'!U72</f>
        <v>35587</v>
      </c>
      <c r="AS70" s="9">
        <f>'BR SA'!V72</f>
        <v>43967</v>
      </c>
      <c r="AU70" s="9">
        <v>17575</v>
      </c>
      <c r="AV70" s="9">
        <v>60730</v>
      </c>
      <c r="AW70" s="9">
        <v>2212</v>
      </c>
      <c r="AX70" s="9">
        <v>34013</v>
      </c>
      <c r="AY70" s="9">
        <v>6270</v>
      </c>
      <c r="AZ70" s="9">
        <v>18662</v>
      </c>
      <c r="BA70" s="9">
        <v>178748</v>
      </c>
      <c r="BB70" s="9">
        <v>22659</v>
      </c>
      <c r="BC70" s="9">
        <v>8851</v>
      </c>
      <c r="BD70" s="9">
        <v>10786</v>
      </c>
      <c r="BE70" s="9">
        <v>34089</v>
      </c>
      <c r="BF70" s="9">
        <v>27667</v>
      </c>
      <c r="BG70" s="9">
        <v>37048</v>
      </c>
      <c r="BH70" s="9">
        <v>38573</v>
      </c>
      <c r="BI70" s="9">
        <v>256554</v>
      </c>
      <c r="BJ70" s="9">
        <v>44953</v>
      </c>
      <c r="BK70" s="9">
        <v>302005</v>
      </c>
      <c r="BL70" s="9">
        <v>197194</v>
      </c>
      <c r="BM70" s="9">
        <v>54082</v>
      </c>
      <c r="BN70" s="9">
        <v>65573</v>
      </c>
      <c r="BO70" s="9">
        <v>35588</v>
      </c>
      <c r="BP70" s="9">
        <v>43968</v>
      </c>
      <c r="BQ70" s="4"/>
      <c r="BR70" s="5">
        <f t="shared" si="2"/>
        <v>0</v>
      </c>
      <c r="CB70">
        <v>302078</v>
      </c>
    </row>
    <row r="71" spans="1:80" x14ac:dyDescent="0.25">
      <c r="A71" s="8">
        <v>41183</v>
      </c>
      <c r="B71" s="9">
        <f>'BR OBS'!B73</f>
        <v>11747</v>
      </c>
      <c r="C71" s="9">
        <f>'BR OBS'!C73</f>
        <v>60913</v>
      </c>
      <c r="D71" s="9">
        <f>'BR OBS'!D73</f>
        <v>2294</v>
      </c>
      <c r="E71" s="9">
        <f>'BR OBS'!E73</f>
        <v>34300</v>
      </c>
      <c r="F71" s="9">
        <f>'BR OBS'!F73</f>
        <v>5917</v>
      </c>
      <c r="G71" s="9">
        <f>'BR OBS'!G73</f>
        <v>18466</v>
      </c>
      <c r="H71" s="9">
        <f>'BR OBS'!H73</f>
        <v>183231</v>
      </c>
      <c r="I71" s="9">
        <f>'BR OBS'!I73</f>
        <v>23330</v>
      </c>
      <c r="J71" s="9">
        <f>'BR OBS'!J73</f>
        <v>8902</v>
      </c>
      <c r="K71" s="9">
        <f>'BR OBS'!K73</f>
        <v>11457</v>
      </c>
      <c r="L71" s="9">
        <f>'BR OBS'!L73</f>
        <v>35337</v>
      </c>
      <c r="M71" s="9">
        <f>'BR OBS'!M73</f>
        <v>27956</v>
      </c>
      <c r="N71" s="9">
        <f>'BR OBS'!N73</f>
        <v>38879</v>
      </c>
      <c r="O71" s="9">
        <f>'BR OBS'!O73</f>
        <v>38559</v>
      </c>
      <c r="P71" s="9">
        <f>'BR OBS'!P73</f>
        <v>256396</v>
      </c>
      <c r="Q71" s="9">
        <f>'BR OBS'!Q73</f>
        <v>46492</v>
      </c>
      <c r="R71" s="9">
        <f>'BR OBS'!R73</f>
        <v>303424</v>
      </c>
      <c r="S71" s="9">
        <f>'BR OBS'!S73</f>
        <v>205695</v>
      </c>
      <c r="T71" s="9">
        <f>'BR OBS'!T73</f>
        <v>55968</v>
      </c>
      <c r="U71" s="9">
        <f>'BR OBS'!U73</f>
        <v>67447</v>
      </c>
      <c r="V71" s="9">
        <f>'BR OBS'!V73</f>
        <v>37710</v>
      </c>
      <c r="W71" s="9">
        <f>'BR OBS'!W73</f>
        <v>48142</v>
      </c>
      <c r="X71" s="9"/>
      <c r="Y71" s="9">
        <f>'BR SA'!B73</f>
        <v>16657</v>
      </c>
      <c r="Z71" s="9">
        <f>'BR SA'!C73</f>
        <v>60197</v>
      </c>
      <c r="AA71" s="9">
        <f>'BR SA'!D73</f>
        <v>2236</v>
      </c>
      <c r="AB71" s="9">
        <f>'BR SA'!E73</f>
        <v>33922</v>
      </c>
      <c r="AC71" s="9">
        <f>'BR SA'!F73</f>
        <v>5829</v>
      </c>
      <c r="AD71" s="9">
        <f>'BR SA'!G73</f>
        <v>18290</v>
      </c>
      <c r="AE71" s="9">
        <f>'BR SA'!H73</f>
        <v>179839</v>
      </c>
      <c r="AF71" s="9">
        <f>'BR SA'!I73</f>
        <v>22676</v>
      </c>
      <c r="AG71" s="9">
        <f>'BR SA'!J73</f>
        <v>8743</v>
      </c>
      <c r="AH71" s="9">
        <f>'BR SA'!K73</f>
        <v>10951</v>
      </c>
      <c r="AI71" s="9">
        <f>'BR SA'!L73</f>
        <v>34580</v>
      </c>
      <c r="AJ71" s="9">
        <f>'BR SA'!M73</f>
        <v>27846</v>
      </c>
      <c r="AK71" s="9">
        <f>'BR SA'!N73</f>
        <v>37643</v>
      </c>
      <c r="AL71" s="9">
        <f>'BR SA'!O73</f>
        <v>38643</v>
      </c>
      <c r="AM71" s="9">
        <f>'BR SA'!P73</f>
        <v>256023</v>
      </c>
      <c r="AN71" s="9">
        <f>'BR SA'!Q73</f>
        <v>301925</v>
      </c>
      <c r="AO71" s="9">
        <f>'BR SA'!R73</f>
        <v>199344</v>
      </c>
      <c r="AP71" s="9">
        <f>'BR SA'!S73</f>
        <v>54567</v>
      </c>
      <c r="AQ71" s="9">
        <f>'BR SA'!T73</f>
        <v>66935</v>
      </c>
      <c r="AR71" s="9">
        <f>'BR SA'!U73</f>
        <v>36430</v>
      </c>
      <c r="AS71" s="9">
        <f>'BR SA'!V73</f>
        <v>46538</v>
      </c>
      <c r="AU71" s="9">
        <v>16658</v>
      </c>
      <c r="AV71" s="9">
        <v>60197</v>
      </c>
      <c r="AW71" s="9">
        <v>2236</v>
      </c>
      <c r="AX71" s="9">
        <v>33921</v>
      </c>
      <c r="AY71" s="9">
        <v>5829</v>
      </c>
      <c r="AZ71" s="9">
        <v>18253</v>
      </c>
      <c r="BA71" s="9">
        <v>179839</v>
      </c>
      <c r="BB71" s="9">
        <v>22676</v>
      </c>
      <c r="BC71" s="9">
        <v>8743</v>
      </c>
      <c r="BD71" s="9">
        <v>10951</v>
      </c>
      <c r="BE71" s="9">
        <v>34580</v>
      </c>
      <c r="BF71" s="9">
        <v>27894</v>
      </c>
      <c r="BG71" s="9">
        <v>37637</v>
      </c>
      <c r="BH71" s="9">
        <v>38654</v>
      </c>
      <c r="BI71" s="9">
        <v>256022</v>
      </c>
      <c r="BJ71" s="9">
        <v>45333</v>
      </c>
      <c r="BK71" s="9">
        <v>301924</v>
      </c>
      <c r="BL71" s="9">
        <v>199344</v>
      </c>
      <c r="BM71" s="9">
        <v>54567</v>
      </c>
      <c r="BN71" s="9">
        <v>66935</v>
      </c>
      <c r="BO71" s="9">
        <v>36430</v>
      </c>
      <c r="BP71" s="9">
        <v>46539</v>
      </c>
      <c r="BQ71" s="4"/>
      <c r="BR71" s="5">
        <f t="shared" si="2"/>
        <v>6.0034820195713513E-5</v>
      </c>
      <c r="CB71">
        <v>301758</v>
      </c>
    </row>
    <row r="72" spans="1:80" x14ac:dyDescent="0.25">
      <c r="A72" s="8">
        <v>41275</v>
      </c>
      <c r="B72" s="9">
        <f>'BR OBS'!B74</f>
        <v>19726</v>
      </c>
      <c r="C72" s="9">
        <f>'BR OBS'!C74</f>
        <v>57345</v>
      </c>
      <c r="D72" s="9">
        <f>'BR OBS'!D74</f>
        <v>2045</v>
      </c>
      <c r="E72" s="9">
        <f>'BR OBS'!E74</f>
        <v>31873</v>
      </c>
      <c r="F72" s="9">
        <f>'BR OBS'!F74</f>
        <v>5999</v>
      </c>
      <c r="G72" s="9">
        <f>'BR OBS'!G74</f>
        <v>17972</v>
      </c>
      <c r="H72" s="9">
        <f>'BR OBS'!H74</f>
        <v>175832</v>
      </c>
      <c r="I72" s="9">
        <f>'BR OBS'!I74</f>
        <v>21804</v>
      </c>
      <c r="J72" s="9">
        <f>'BR OBS'!J74</f>
        <v>8265</v>
      </c>
      <c r="K72" s="9">
        <f>'BR OBS'!K74</f>
        <v>10523</v>
      </c>
      <c r="L72" s="9">
        <f>'BR OBS'!L74</f>
        <v>33949</v>
      </c>
      <c r="M72" s="9">
        <f>'BR OBS'!M74</f>
        <v>28681</v>
      </c>
      <c r="N72" s="9">
        <f>'BR OBS'!N74</f>
        <v>35724</v>
      </c>
      <c r="O72" s="9">
        <f>'BR OBS'!O74</f>
        <v>38853</v>
      </c>
      <c r="P72" s="9">
        <f>'BR OBS'!P74</f>
        <v>251470</v>
      </c>
      <c r="Q72" s="9">
        <f>'BR OBS'!Q74</f>
        <v>43904</v>
      </c>
      <c r="R72" s="9">
        <f>'BR OBS'!R74</f>
        <v>295866</v>
      </c>
      <c r="S72" s="9">
        <f>'BR OBS'!S74</f>
        <v>196075</v>
      </c>
      <c r="T72" s="9">
        <f>'BR OBS'!T74</f>
        <v>52447</v>
      </c>
      <c r="U72" s="9">
        <f>'BR OBS'!U74</f>
        <v>65664</v>
      </c>
      <c r="V72" s="9">
        <f>'BR OBS'!V74</f>
        <v>30834</v>
      </c>
      <c r="W72" s="9">
        <f>'BR OBS'!W74</f>
        <v>45413</v>
      </c>
      <c r="X72" s="9"/>
      <c r="Y72" s="9">
        <f>'BR SA'!B74</f>
        <v>16803</v>
      </c>
      <c r="Z72" s="9">
        <f>'BR SA'!C74</f>
        <v>60341</v>
      </c>
      <c r="AA72" s="9">
        <f>'BR SA'!D74</f>
        <v>2161</v>
      </c>
      <c r="AB72" s="9">
        <f>'BR SA'!E74</f>
        <v>34082</v>
      </c>
      <c r="AC72" s="9">
        <f>'BR SA'!F74</f>
        <v>6005</v>
      </c>
      <c r="AD72" s="9">
        <f>'BR SA'!G74</f>
        <v>18544</v>
      </c>
      <c r="AE72" s="9">
        <f>'BR SA'!H74</f>
        <v>180651</v>
      </c>
      <c r="AF72" s="9">
        <f>'BR SA'!I74</f>
        <v>22823</v>
      </c>
      <c r="AG72" s="9">
        <f>'BR SA'!J74</f>
        <v>8627</v>
      </c>
      <c r="AH72" s="9">
        <f>'BR SA'!K74</f>
        <v>10834</v>
      </c>
      <c r="AI72" s="9">
        <f>'BR SA'!L74</f>
        <v>34349</v>
      </c>
      <c r="AJ72" s="9">
        <f>'BR SA'!M74</f>
        <v>28679</v>
      </c>
      <c r="AK72" s="9">
        <f>'BR SA'!N74</f>
        <v>37031</v>
      </c>
      <c r="AL72" s="9">
        <f>'BR SA'!O74</f>
        <v>39287</v>
      </c>
      <c r="AM72" s="9">
        <f>'BR SA'!P74</f>
        <v>257215</v>
      </c>
      <c r="AN72" s="9">
        <f>'BR SA'!Q74</f>
        <v>303296</v>
      </c>
      <c r="AO72" s="9">
        <f>'BR SA'!R74</f>
        <v>200870</v>
      </c>
      <c r="AP72" s="9">
        <f>'BR SA'!S74</f>
        <v>54104</v>
      </c>
      <c r="AQ72" s="9">
        <f>'BR SA'!T74</f>
        <v>67972</v>
      </c>
      <c r="AR72" s="9">
        <f>'BR SA'!U74</f>
        <v>35356</v>
      </c>
      <c r="AS72" s="9">
        <f>'BR SA'!V74</f>
        <v>48231</v>
      </c>
      <c r="AU72" s="9">
        <v>16803</v>
      </c>
      <c r="AV72" s="9">
        <v>60340</v>
      </c>
      <c r="AW72" s="9">
        <v>2160</v>
      </c>
      <c r="AX72" s="9">
        <v>34082</v>
      </c>
      <c r="AY72" s="9">
        <v>6006</v>
      </c>
      <c r="AZ72" s="9">
        <v>18648</v>
      </c>
      <c r="BA72" s="9">
        <v>180651</v>
      </c>
      <c r="BB72" s="9">
        <v>22823</v>
      </c>
      <c r="BC72" s="9">
        <v>8627</v>
      </c>
      <c r="BD72" s="9">
        <v>10835</v>
      </c>
      <c r="BE72" s="9">
        <v>34348</v>
      </c>
      <c r="BF72" s="9">
        <v>28639</v>
      </c>
      <c r="BG72" s="9">
        <v>37041</v>
      </c>
      <c r="BH72" s="9">
        <v>39267</v>
      </c>
      <c r="BI72" s="9">
        <v>257215</v>
      </c>
      <c r="BJ72" s="9">
        <v>45578</v>
      </c>
      <c r="BK72" s="9">
        <v>303296</v>
      </c>
      <c r="BL72" s="9">
        <v>200871</v>
      </c>
      <c r="BM72" s="9">
        <v>54105</v>
      </c>
      <c r="BN72" s="9">
        <v>67972</v>
      </c>
      <c r="BO72" s="9">
        <v>35356</v>
      </c>
      <c r="BP72" s="9">
        <v>48231</v>
      </c>
      <c r="BQ72" s="4"/>
      <c r="BR72" s="5">
        <f t="shared" si="2"/>
        <v>0</v>
      </c>
      <c r="CB72">
        <v>303285</v>
      </c>
    </row>
    <row r="73" spans="1:80" x14ac:dyDescent="0.25">
      <c r="A73" s="8">
        <v>41365</v>
      </c>
      <c r="B73" s="9">
        <f>'BR OBS'!B75</f>
        <v>19464</v>
      </c>
      <c r="C73" s="9">
        <f>'BR OBS'!C75</f>
        <v>61964</v>
      </c>
      <c r="D73" s="9">
        <f>'BR OBS'!D75</f>
        <v>2149</v>
      </c>
      <c r="E73" s="9">
        <f>'BR OBS'!E75</f>
        <v>35162</v>
      </c>
      <c r="F73" s="9">
        <f>'BR OBS'!F75</f>
        <v>6152</v>
      </c>
      <c r="G73" s="9">
        <f>'BR OBS'!G75</f>
        <v>19387</v>
      </c>
      <c r="H73" s="9">
        <f>'BR OBS'!H75</f>
        <v>181544</v>
      </c>
      <c r="I73" s="9">
        <f>'BR OBS'!I75</f>
        <v>23030</v>
      </c>
      <c r="J73" s="9">
        <f>'BR OBS'!J75</f>
        <v>8989</v>
      </c>
      <c r="K73" s="9">
        <f>'BR OBS'!K75</f>
        <v>10850</v>
      </c>
      <c r="L73" s="9">
        <f>'BR OBS'!L75</f>
        <v>35026</v>
      </c>
      <c r="M73" s="9">
        <f>'BR OBS'!M75</f>
        <v>28763</v>
      </c>
      <c r="N73" s="9">
        <f>'BR OBS'!N75</f>
        <v>36722</v>
      </c>
      <c r="O73" s="9">
        <f>'BR OBS'!O75</f>
        <v>39655</v>
      </c>
      <c r="P73" s="9">
        <f>'BR OBS'!P75</f>
        <v>261943</v>
      </c>
      <c r="Q73" s="9">
        <f>'BR OBS'!Q75</f>
        <v>45933</v>
      </c>
      <c r="R73" s="9">
        <f>'BR OBS'!R75</f>
        <v>308389</v>
      </c>
      <c r="S73" s="9">
        <f>'BR OBS'!S75</f>
        <v>200152</v>
      </c>
      <c r="T73" s="9">
        <f>'BR OBS'!T75</f>
        <v>55113</v>
      </c>
      <c r="U73" s="9">
        <f>'BR OBS'!U75</f>
        <v>70868</v>
      </c>
      <c r="V73" s="9">
        <f>'BR OBS'!V75</f>
        <v>37514</v>
      </c>
      <c r="W73" s="9">
        <f>'BR OBS'!W75</f>
        <v>48451</v>
      </c>
      <c r="X73" s="9"/>
      <c r="Y73" s="9">
        <f>'BR SA'!B75</f>
        <v>17370</v>
      </c>
      <c r="Z73" s="9">
        <f>'BR SA'!C75</f>
        <v>62209</v>
      </c>
      <c r="AA73" s="9">
        <f>'BR SA'!D75</f>
        <v>2146</v>
      </c>
      <c r="AB73" s="9">
        <f>'BR SA'!E75</f>
        <v>35401</v>
      </c>
      <c r="AC73" s="9">
        <f>'BR SA'!F75</f>
        <v>6204</v>
      </c>
      <c r="AD73" s="9">
        <f>'BR SA'!G75</f>
        <v>19520</v>
      </c>
      <c r="AE73" s="9">
        <f>'BR SA'!H75</f>
        <v>182293</v>
      </c>
      <c r="AF73" s="9">
        <f>'BR SA'!I75</f>
        <v>23266</v>
      </c>
      <c r="AG73" s="9">
        <f>'BR SA'!J75</f>
        <v>9078</v>
      </c>
      <c r="AH73" s="9">
        <f>'BR SA'!K75</f>
        <v>11010</v>
      </c>
      <c r="AI73" s="9">
        <f>'BR SA'!L75</f>
        <v>35268</v>
      </c>
      <c r="AJ73" s="9">
        <f>'BR SA'!M75</f>
        <v>28802</v>
      </c>
      <c r="AK73" s="9">
        <f>'BR SA'!N75</f>
        <v>37091</v>
      </c>
      <c r="AL73" s="9">
        <f>'BR SA'!O75</f>
        <v>39404</v>
      </c>
      <c r="AM73" s="9">
        <f>'BR SA'!P75</f>
        <v>261838</v>
      </c>
      <c r="AN73" s="9">
        <f>'BR SA'!Q75</f>
        <v>308448</v>
      </c>
      <c r="AO73" s="9">
        <f>'BR SA'!R75</f>
        <v>202908</v>
      </c>
      <c r="AP73" s="9">
        <f>'BR SA'!S75</f>
        <v>54960</v>
      </c>
      <c r="AQ73" s="9">
        <f>'BR SA'!T75</f>
        <v>71375</v>
      </c>
      <c r="AR73" s="9">
        <f>'BR SA'!U75</f>
        <v>36244</v>
      </c>
      <c r="AS73" s="9">
        <f>'BR SA'!V75</f>
        <v>48803</v>
      </c>
      <c r="AU73" s="9">
        <v>17370</v>
      </c>
      <c r="AV73" s="9">
        <v>62209</v>
      </c>
      <c r="AW73" s="9">
        <v>2146</v>
      </c>
      <c r="AX73" s="9">
        <v>35401</v>
      </c>
      <c r="AY73" s="9">
        <v>6204</v>
      </c>
      <c r="AZ73" s="9">
        <v>19505</v>
      </c>
      <c r="BA73" s="9">
        <v>182292</v>
      </c>
      <c r="BB73" s="9">
        <v>23266</v>
      </c>
      <c r="BC73" s="9">
        <v>9078</v>
      </c>
      <c r="BD73" s="9">
        <v>11010</v>
      </c>
      <c r="BE73" s="9">
        <v>35267</v>
      </c>
      <c r="BF73" s="9">
        <v>28805</v>
      </c>
      <c r="BG73" s="9">
        <v>37093</v>
      </c>
      <c r="BH73" s="9">
        <v>39420</v>
      </c>
      <c r="BI73" s="9">
        <v>261838</v>
      </c>
      <c r="BJ73" s="9">
        <v>46178</v>
      </c>
      <c r="BK73" s="9">
        <v>308448</v>
      </c>
      <c r="BL73" s="9">
        <v>202908</v>
      </c>
      <c r="BM73" s="9">
        <v>54960</v>
      </c>
      <c r="BN73" s="9">
        <v>71375</v>
      </c>
      <c r="BO73" s="9">
        <v>36244</v>
      </c>
      <c r="BP73" s="9">
        <v>48803</v>
      </c>
      <c r="BQ73" s="4"/>
      <c r="BR73" s="5">
        <f t="shared" si="2"/>
        <v>0</v>
      </c>
      <c r="CB73">
        <v>308516</v>
      </c>
    </row>
    <row r="74" spans="1:80" x14ac:dyDescent="0.25">
      <c r="A74" s="8">
        <v>41456</v>
      </c>
      <c r="B74" s="9">
        <f>'BR OBS'!B76</f>
        <v>17265</v>
      </c>
      <c r="C74" s="9">
        <f>'BR OBS'!C76</f>
        <v>65039</v>
      </c>
      <c r="D74" s="9">
        <f>'BR OBS'!D76</f>
        <v>2248</v>
      </c>
      <c r="E74" s="9">
        <f>'BR OBS'!E76</f>
        <v>37331</v>
      </c>
      <c r="F74" s="9">
        <f>'BR OBS'!F76</f>
        <v>6238</v>
      </c>
      <c r="G74" s="9">
        <f>'BR OBS'!G76</f>
        <v>20194</v>
      </c>
      <c r="H74" s="9">
        <f>'BR OBS'!H76</f>
        <v>185153</v>
      </c>
      <c r="I74" s="9">
        <f>'BR OBS'!I76</f>
        <v>23908</v>
      </c>
      <c r="J74" s="9">
        <f>'BR OBS'!J76</f>
        <v>9269</v>
      </c>
      <c r="K74" s="9">
        <f>'BR OBS'!K76</f>
        <v>10846</v>
      </c>
      <c r="L74" s="9">
        <f>'BR OBS'!L76</f>
        <v>35087</v>
      </c>
      <c r="M74" s="9">
        <f>'BR OBS'!M76</f>
        <v>28862</v>
      </c>
      <c r="N74" s="9">
        <f>'BR OBS'!N76</f>
        <v>38048</v>
      </c>
      <c r="O74" s="9">
        <f>'BR OBS'!O76</f>
        <v>39895</v>
      </c>
      <c r="P74" s="9">
        <f>'BR OBS'!P76</f>
        <v>267136</v>
      </c>
      <c r="Q74" s="9">
        <f>'BR OBS'!Q76</f>
        <v>47239</v>
      </c>
      <c r="R74" s="9">
        <f>'BR OBS'!R76</f>
        <v>314900</v>
      </c>
      <c r="S74" s="9">
        <f>'BR OBS'!S76</f>
        <v>204598</v>
      </c>
      <c r="T74" s="9">
        <f>'BR OBS'!T76</f>
        <v>55496</v>
      </c>
      <c r="U74" s="9">
        <f>'BR OBS'!U76</f>
        <v>72975</v>
      </c>
      <c r="V74" s="9">
        <f>'BR OBS'!V76</f>
        <v>37901</v>
      </c>
      <c r="W74" s="9">
        <f>'BR OBS'!W76</f>
        <v>49650</v>
      </c>
      <c r="X74" s="9"/>
      <c r="Y74" s="9">
        <f>'BR SA'!B76</f>
        <v>17319</v>
      </c>
      <c r="Z74" s="9">
        <f>'BR SA'!C76</f>
        <v>62474</v>
      </c>
      <c r="AA74" s="9">
        <f>'BR SA'!D76</f>
        <v>2188</v>
      </c>
      <c r="AB74" s="9">
        <f>'BR SA'!E76</f>
        <v>35199</v>
      </c>
      <c r="AC74" s="9">
        <f>'BR SA'!F76</f>
        <v>6277</v>
      </c>
      <c r="AD74" s="9">
        <f>'BR SA'!G76</f>
        <v>19683</v>
      </c>
      <c r="AE74" s="9">
        <f>'BR SA'!H76</f>
        <v>183437</v>
      </c>
      <c r="AF74" s="9">
        <f>'BR SA'!I76</f>
        <v>23356</v>
      </c>
      <c r="AG74" s="9">
        <f>'BR SA'!J76</f>
        <v>8967</v>
      </c>
      <c r="AH74" s="9">
        <f>'BR SA'!K76</f>
        <v>10922</v>
      </c>
      <c r="AI74" s="9">
        <f>'BR SA'!L76</f>
        <v>35204</v>
      </c>
      <c r="AJ74" s="9">
        <f>'BR SA'!M76</f>
        <v>28952</v>
      </c>
      <c r="AK74" s="9">
        <f>'BR SA'!N76</f>
        <v>37651</v>
      </c>
      <c r="AL74" s="9">
        <f>'BR SA'!O76</f>
        <v>39678</v>
      </c>
      <c r="AM74" s="9">
        <f>'BR SA'!P76</f>
        <v>262314</v>
      </c>
      <c r="AN74" s="9">
        <f>'BR SA'!Q76</f>
        <v>309408</v>
      </c>
      <c r="AO74" s="9">
        <f>'BR SA'!R76</f>
        <v>204253</v>
      </c>
      <c r="AP74" s="9">
        <f>'BR SA'!S76</f>
        <v>55347</v>
      </c>
      <c r="AQ74" s="9">
        <f>'BR SA'!T76</f>
        <v>70708</v>
      </c>
      <c r="AR74" s="9">
        <f>'BR SA'!U76</f>
        <v>35596</v>
      </c>
      <c r="AS74" s="9">
        <f>'BR SA'!V76</f>
        <v>47956</v>
      </c>
      <c r="AU74" s="9">
        <v>17318</v>
      </c>
      <c r="AV74" s="9">
        <v>62475</v>
      </c>
      <c r="AW74" s="9">
        <v>2188</v>
      </c>
      <c r="AX74" s="9">
        <v>35198</v>
      </c>
      <c r="AY74" s="9">
        <v>6277</v>
      </c>
      <c r="AZ74" s="9">
        <v>19649</v>
      </c>
      <c r="BA74" s="9">
        <v>183437</v>
      </c>
      <c r="BB74" s="9">
        <v>23356</v>
      </c>
      <c r="BC74" s="9">
        <v>8966</v>
      </c>
      <c r="BD74" s="9">
        <v>10922</v>
      </c>
      <c r="BE74" s="9">
        <v>35203</v>
      </c>
      <c r="BF74" s="9">
        <v>28973</v>
      </c>
      <c r="BG74" s="9">
        <v>37626</v>
      </c>
      <c r="BH74" s="9">
        <v>39685</v>
      </c>
      <c r="BI74" s="9">
        <v>262314</v>
      </c>
      <c r="BJ74" s="9">
        <v>46549</v>
      </c>
      <c r="BK74" s="9">
        <v>309407</v>
      </c>
      <c r="BL74" s="9">
        <v>204253</v>
      </c>
      <c r="BM74" s="9">
        <v>55347</v>
      </c>
      <c r="BN74" s="9">
        <v>70708</v>
      </c>
      <c r="BO74" s="9">
        <v>35595</v>
      </c>
      <c r="BP74" s="9">
        <v>47956</v>
      </c>
      <c r="BQ74" s="4"/>
      <c r="BR74" s="5">
        <f t="shared" si="2"/>
        <v>-5.7740054275651017E-5</v>
      </c>
      <c r="CB74">
        <v>309482</v>
      </c>
    </row>
    <row r="75" spans="1:80" x14ac:dyDescent="0.25">
      <c r="A75" s="8">
        <v>41548</v>
      </c>
      <c r="B75" s="9">
        <f>'BR OBS'!B77</f>
        <v>12236</v>
      </c>
      <c r="C75" s="9">
        <f>'BR OBS'!C77</f>
        <v>62527</v>
      </c>
      <c r="D75" s="9">
        <f>'BR OBS'!D77</f>
        <v>2288</v>
      </c>
      <c r="E75" s="9">
        <f>'BR OBS'!E77</f>
        <v>35136</v>
      </c>
      <c r="F75" s="9">
        <f>'BR OBS'!F77</f>
        <v>6370</v>
      </c>
      <c r="G75" s="9">
        <f>'BR OBS'!G77</f>
        <v>19061</v>
      </c>
      <c r="H75" s="9">
        <f>'BR OBS'!H77</f>
        <v>187648</v>
      </c>
      <c r="I75" s="9">
        <f>'BR OBS'!I77</f>
        <v>24065</v>
      </c>
      <c r="J75" s="9">
        <f>'BR OBS'!J77</f>
        <v>9077</v>
      </c>
      <c r="K75" s="9">
        <f>'BR OBS'!K77</f>
        <v>11930</v>
      </c>
      <c r="L75" s="9">
        <f>'BR OBS'!L77</f>
        <v>35328</v>
      </c>
      <c r="M75" s="9">
        <f>'BR OBS'!M77</f>
        <v>29160</v>
      </c>
      <c r="N75" s="9">
        <f>'BR OBS'!N77</f>
        <v>39329</v>
      </c>
      <c r="O75" s="9">
        <f>'BR OBS'!O77</f>
        <v>39629</v>
      </c>
      <c r="P75" s="9">
        <f>'BR OBS'!P77</f>
        <v>262907</v>
      </c>
      <c r="Q75" s="9">
        <f>'BR OBS'!Q77</f>
        <v>47670</v>
      </c>
      <c r="R75" s="9">
        <f>'BR OBS'!R77</f>
        <v>311097</v>
      </c>
      <c r="S75" s="9">
        <f>'BR OBS'!S77</f>
        <v>210895</v>
      </c>
      <c r="T75" s="9">
        <f>'BR OBS'!T77</f>
        <v>57330</v>
      </c>
      <c r="U75" s="9">
        <f>'BR OBS'!U77</f>
        <v>70437</v>
      </c>
      <c r="V75" s="9">
        <f>'BR OBS'!V77</f>
        <v>38927</v>
      </c>
      <c r="W75" s="9">
        <f>'BR OBS'!W77</f>
        <v>49277</v>
      </c>
      <c r="X75" s="9"/>
      <c r="Y75" s="9">
        <f>'BR SA'!B77</f>
        <v>17543</v>
      </c>
      <c r="Z75" s="9">
        <f>'BR SA'!C77</f>
        <v>61962</v>
      </c>
      <c r="AA75" s="9">
        <f>'BR SA'!D77</f>
        <v>2230</v>
      </c>
      <c r="AB75" s="9">
        <f>'BR SA'!E77</f>
        <v>34900</v>
      </c>
      <c r="AC75" s="9">
        <f>'BR SA'!F77</f>
        <v>6289</v>
      </c>
      <c r="AD75" s="9">
        <f>'BR SA'!G77</f>
        <v>18910</v>
      </c>
      <c r="AE75" s="9">
        <f>'BR SA'!H77</f>
        <v>184109</v>
      </c>
      <c r="AF75" s="9">
        <f>'BR SA'!I77</f>
        <v>23325</v>
      </c>
      <c r="AG75" s="9">
        <f>'BR SA'!J77</f>
        <v>8917</v>
      </c>
      <c r="AH75" s="9">
        <f>'BR SA'!K77</f>
        <v>11395</v>
      </c>
      <c r="AI75" s="9">
        <f>'BR SA'!L77</f>
        <v>34623</v>
      </c>
      <c r="AJ75" s="9">
        <f>'BR SA'!M77</f>
        <v>29028</v>
      </c>
      <c r="AK75" s="9">
        <f>'BR SA'!N77</f>
        <v>38115</v>
      </c>
      <c r="AL75" s="9">
        <f>'BR SA'!O77</f>
        <v>39715</v>
      </c>
      <c r="AM75" s="9">
        <f>'BR SA'!P77</f>
        <v>262816</v>
      </c>
      <c r="AN75" s="9">
        <f>'BR SA'!Q77</f>
        <v>309752</v>
      </c>
      <c r="AO75" s="9">
        <f>'BR SA'!R77</f>
        <v>204059</v>
      </c>
      <c r="AP75" s="9">
        <f>'BR SA'!S77</f>
        <v>55928</v>
      </c>
      <c r="AQ75" s="9">
        <f>'BR SA'!T77</f>
        <v>69999</v>
      </c>
      <c r="AR75" s="9">
        <f>'BR SA'!U77</f>
        <v>38050</v>
      </c>
      <c r="AS75" s="9">
        <f>'BR SA'!V77</f>
        <v>47806</v>
      </c>
      <c r="AU75" s="9">
        <v>17542</v>
      </c>
      <c r="AV75" s="9">
        <v>61962</v>
      </c>
      <c r="AW75" s="9">
        <v>2230</v>
      </c>
      <c r="AX75" s="9">
        <v>34900</v>
      </c>
      <c r="AY75" s="9">
        <v>6289</v>
      </c>
      <c r="AZ75" s="9">
        <v>18870</v>
      </c>
      <c r="BA75" s="9">
        <v>184108</v>
      </c>
      <c r="BB75" s="9">
        <v>23325</v>
      </c>
      <c r="BC75" s="9">
        <v>8917</v>
      </c>
      <c r="BD75" s="9">
        <v>11395</v>
      </c>
      <c r="BE75" s="9">
        <v>34622</v>
      </c>
      <c r="BF75" s="9">
        <v>29080</v>
      </c>
      <c r="BG75" s="9">
        <v>38114</v>
      </c>
      <c r="BH75" s="9">
        <v>39729</v>
      </c>
      <c r="BI75" s="9">
        <v>262816</v>
      </c>
      <c r="BJ75" s="9">
        <v>46366</v>
      </c>
      <c r="BK75" s="9">
        <v>309752</v>
      </c>
      <c r="BL75" s="9">
        <v>204059</v>
      </c>
      <c r="BM75" s="9">
        <v>55928</v>
      </c>
      <c r="BN75" s="9">
        <v>69998</v>
      </c>
      <c r="BO75" s="9">
        <v>38050</v>
      </c>
      <c r="BP75" s="9">
        <v>47806</v>
      </c>
      <c r="BQ75" s="4"/>
      <c r="BR75" s="5">
        <f t="shared" si="2"/>
        <v>-5.7002793136863709E-5</v>
      </c>
      <c r="CB75">
        <v>309698</v>
      </c>
    </row>
    <row r="76" spans="1:80" x14ac:dyDescent="0.25">
      <c r="A76" s="8">
        <v>41640</v>
      </c>
      <c r="B76" s="9">
        <f>'BR OBS'!B78</f>
        <v>21086</v>
      </c>
      <c r="C76" s="9">
        <f>'BR OBS'!C78</f>
        <v>59574</v>
      </c>
      <c r="D76" s="9">
        <f>'BR OBS'!D78</f>
        <v>2176</v>
      </c>
      <c r="E76" s="9">
        <f>'BR OBS'!E78</f>
        <v>32066</v>
      </c>
      <c r="F76" s="9">
        <f>'BR OBS'!F78</f>
        <v>6314</v>
      </c>
      <c r="G76" s="9">
        <f>'BR OBS'!G78</f>
        <v>19443</v>
      </c>
      <c r="H76" s="9">
        <f>'BR OBS'!H78</f>
        <v>180768</v>
      </c>
      <c r="I76" s="9">
        <f>'BR OBS'!I78</f>
        <v>22754</v>
      </c>
      <c r="J76" s="9">
        <f>'BR OBS'!J78</f>
        <v>8680</v>
      </c>
      <c r="K76" s="9">
        <f>'BR OBS'!K78</f>
        <v>11228</v>
      </c>
      <c r="L76" s="9">
        <f>'BR OBS'!L78</f>
        <v>34481</v>
      </c>
      <c r="M76" s="9">
        <f>'BR OBS'!M78</f>
        <v>29128</v>
      </c>
      <c r="N76" s="9">
        <f>'BR OBS'!N78</f>
        <v>37107</v>
      </c>
      <c r="O76" s="9">
        <f>'BR OBS'!O78</f>
        <v>38948</v>
      </c>
      <c r="P76" s="9">
        <f>'BR OBS'!P78</f>
        <v>259973</v>
      </c>
      <c r="Q76" s="9">
        <f>'BR OBS'!Q78</f>
        <v>45635</v>
      </c>
      <c r="R76" s="9">
        <f>'BR OBS'!R78</f>
        <v>306130</v>
      </c>
      <c r="S76" s="9">
        <f>'BR OBS'!S78</f>
        <v>203075</v>
      </c>
      <c r="T76" s="9">
        <f>'BR OBS'!T78</f>
        <v>53515</v>
      </c>
      <c r="U76" s="9">
        <f>'BR OBS'!U78</f>
        <v>68397</v>
      </c>
      <c r="V76" s="9">
        <f>'BR OBS'!V78</f>
        <v>31577</v>
      </c>
      <c r="W76" s="9">
        <f>'BR OBS'!W78</f>
        <v>45383</v>
      </c>
      <c r="X76" s="9"/>
      <c r="Y76" s="9">
        <f>'BR SA'!B78</f>
        <v>17672</v>
      </c>
      <c r="Z76" s="9">
        <f>'BR SA'!C78</f>
        <v>61924</v>
      </c>
      <c r="AA76" s="9">
        <f>'BR SA'!D78</f>
        <v>2266</v>
      </c>
      <c r="AB76" s="9">
        <f>'BR SA'!E78</f>
        <v>34166</v>
      </c>
      <c r="AC76" s="9">
        <f>'BR SA'!F78</f>
        <v>6290</v>
      </c>
      <c r="AD76" s="9">
        <f>'BR SA'!G78</f>
        <v>19898</v>
      </c>
      <c r="AE76" s="9">
        <f>'BR SA'!H78</f>
        <v>185252</v>
      </c>
      <c r="AF76" s="9">
        <f>'BR SA'!I78</f>
        <v>23774</v>
      </c>
      <c r="AG76" s="9">
        <f>'BR SA'!J78</f>
        <v>9005</v>
      </c>
      <c r="AH76" s="9">
        <f>'BR SA'!K78</f>
        <v>11537</v>
      </c>
      <c r="AI76" s="9">
        <f>'BR SA'!L78</f>
        <v>34805</v>
      </c>
      <c r="AJ76" s="9">
        <f>'BR SA'!M78</f>
        <v>29120</v>
      </c>
      <c r="AK76" s="9">
        <f>'BR SA'!N78</f>
        <v>38423</v>
      </c>
      <c r="AL76" s="9">
        <f>'BR SA'!O78</f>
        <v>39427</v>
      </c>
      <c r="AM76" s="9">
        <f>'BR SA'!P78</f>
        <v>265268</v>
      </c>
      <c r="AN76" s="9">
        <f>'BR SA'!Q78</f>
        <v>312608</v>
      </c>
      <c r="AO76" s="9">
        <f>'BR SA'!R78</f>
        <v>207969</v>
      </c>
      <c r="AP76" s="9">
        <f>'BR SA'!S78</f>
        <v>55269</v>
      </c>
      <c r="AQ76" s="9">
        <f>'BR SA'!T78</f>
        <v>70125</v>
      </c>
      <c r="AR76" s="9">
        <f>'BR SA'!U78</f>
        <v>35996</v>
      </c>
      <c r="AS76" s="9">
        <f>'BR SA'!V78</f>
        <v>47827</v>
      </c>
      <c r="AU76" s="9">
        <v>17672</v>
      </c>
      <c r="AV76" s="9">
        <v>61924</v>
      </c>
      <c r="AW76" s="9">
        <v>2266</v>
      </c>
      <c r="AX76" s="9">
        <v>34166</v>
      </c>
      <c r="AY76" s="9">
        <v>6290</v>
      </c>
      <c r="AZ76" s="9">
        <v>20016</v>
      </c>
      <c r="BA76" s="9">
        <v>185252</v>
      </c>
      <c r="BB76" s="9">
        <v>23774</v>
      </c>
      <c r="BC76" s="9">
        <v>9005</v>
      </c>
      <c r="BD76" s="9">
        <v>11537</v>
      </c>
      <c r="BE76" s="9">
        <v>34805</v>
      </c>
      <c r="BF76" s="9">
        <v>29076</v>
      </c>
      <c r="BG76" s="9">
        <v>38438</v>
      </c>
      <c r="BH76" s="9">
        <v>39423</v>
      </c>
      <c r="BI76" s="9">
        <v>265268</v>
      </c>
      <c r="BJ76" s="9">
        <v>46966</v>
      </c>
      <c r="BK76" s="9">
        <v>312608</v>
      </c>
      <c r="BL76" s="9">
        <v>207969</v>
      </c>
      <c r="BM76" s="9">
        <v>55270</v>
      </c>
      <c r="BN76" s="9">
        <v>70125</v>
      </c>
      <c r="BO76" s="9">
        <v>35996</v>
      </c>
      <c r="BP76" s="9">
        <v>47827</v>
      </c>
      <c r="BQ76" s="4"/>
      <c r="BR76" s="5">
        <f t="shared" si="2"/>
        <v>0</v>
      </c>
      <c r="CB76">
        <v>312521</v>
      </c>
    </row>
    <row r="77" spans="1:80" x14ac:dyDescent="0.25">
      <c r="A77" s="8">
        <v>41730</v>
      </c>
      <c r="B77" s="9">
        <f>'BR OBS'!B79</f>
        <v>19500</v>
      </c>
      <c r="C77" s="9">
        <f>'BR OBS'!C79</f>
        <v>59772</v>
      </c>
      <c r="D77" s="9">
        <f>'BR OBS'!D79</f>
        <v>2317</v>
      </c>
      <c r="E77" s="9">
        <f>'BR OBS'!E79</f>
        <v>32457</v>
      </c>
      <c r="F77" s="9">
        <f>'BR OBS'!F79</f>
        <v>5937</v>
      </c>
      <c r="G77" s="9">
        <f>'BR OBS'!G79</f>
        <v>18832</v>
      </c>
      <c r="H77" s="9">
        <f>'BR OBS'!H79</f>
        <v>182746</v>
      </c>
      <c r="I77" s="9">
        <f>'BR OBS'!I79</f>
        <v>22676</v>
      </c>
      <c r="J77" s="9">
        <f>'BR OBS'!J79</f>
        <v>8815</v>
      </c>
      <c r="K77" s="9">
        <f>'BR OBS'!K79</f>
        <v>11445</v>
      </c>
      <c r="L77" s="9">
        <f>'BR OBS'!L79</f>
        <v>34421</v>
      </c>
      <c r="M77" s="9">
        <f>'BR OBS'!M79</f>
        <v>28934</v>
      </c>
      <c r="N77" s="9">
        <f>'BR OBS'!N79</f>
        <v>37898</v>
      </c>
      <c r="O77" s="9">
        <f>'BR OBS'!O79</f>
        <v>39871</v>
      </c>
      <c r="P77" s="9">
        <f>'BR OBS'!P79</f>
        <v>260886</v>
      </c>
      <c r="Q77" s="9">
        <f>'BR OBS'!Q79</f>
        <v>45632</v>
      </c>
      <c r="R77" s="9">
        <f>'BR OBS'!R79</f>
        <v>307046</v>
      </c>
      <c r="S77" s="9">
        <f>'BR OBS'!S79</f>
        <v>203224</v>
      </c>
      <c r="T77" s="9">
        <f>'BR OBS'!T79</f>
        <v>55795</v>
      </c>
      <c r="U77" s="9">
        <f>'BR OBS'!U79</f>
        <v>66335</v>
      </c>
      <c r="V77" s="9">
        <f>'BR OBS'!V79</f>
        <v>37153</v>
      </c>
      <c r="W77" s="9">
        <f>'BR OBS'!W79</f>
        <v>46409</v>
      </c>
      <c r="X77" s="9"/>
      <c r="Y77" s="9">
        <f>'BR SA'!B79</f>
        <v>17371</v>
      </c>
      <c r="Z77" s="9">
        <f>'BR SA'!C79</f>
        <v>60553</v>
      </c>
      <c r="AA77" s="9">
        <f>'BR SA'!D79</f>
        <v>2356</v>
      </c>
      <c r="AB77" s="9">
        <f>'BR SA'!E79</f>
        <v>32722</v>
      </c>
      <c r="AC77" s="9">
        <f>'BR SA'!F79</f>
        <v>5990</v>
      </c>
      <c r="AD77" s="9">
        <f>'BR SA'!G79</f>
        <v>19021</v>
      </c>
      <c r="AE77" s="9">
        <f>'BR SA'!H79</f>
        <v>183985</v>
      </c>
      <c r="AF77" s="9">
        <f>'BR SA'!I79</f>
        <v>22995</v>
      </c>
      <c r="AG77" s="9">
        <f>'BR SA'!J79</f>
        <v>8967</v>
      </c>
      <c r="AH77" s="9">
        <f>'BR SA'!K79</f>
        <v>11625</v>
      </c>
      <c r="AI77" s="9">
        <f>'BR SA'!L79</f>
        <v>34653</v>
      </c>
      <c r="AJ77" s="9">
        <f>'BR SA'!M79</f>
        <v>28989</v>
      </c>
      <c r="AK77" s="9">
        <f>'BR SA'!N79</f>
        <v>38234</v>
      </c>
      <c r="AL77" s="9">
        <f>'BR SA'!O79</f>
        <v>39628</v>
      </c>
      <c r="AM77" s="9">
        <f>'BR SA'!P79</f>
        <v>260836</v>
      </c>
      <c r="AN77" s="9">
        <f>'BR SA'!Q79</f>
        <v>307779</v>
      </c>
      <c r="AO77" s="9">
        <f>'BR SA'!R79</f>
        <v>206266</v>
      </c>
      <c r="AP77" s="9">
        <f>'BR SA'!S79</f>
        <v>55623</v>
      </c>
      <c r="AQ77" s="9">
        <f>'BR SA'!T79</f>
        <v>67158</v>
      </c>
      <c r="AR77" s="9">
        <f>'BR SA'!U79</f>
        <v>35444</v>
      </c>
      <c r="AS77" s="9">
        <f>'BR SA'!V79</f>
        <v>46947</v>
      </c>
      <c r="AU77" s="9">
        <v>17371</v>
      </c>
      <c r="AV77" s="9">
        <v>60554</v>
      </c>
      <c r="AW77" s="9">
        <v>2355</v>
      </c>
      <c r="AX77" s="9">
        <v>32722</v>
      </c>
      <c r="AY77" s="9">
        <v>5990</v>
      </c>
      <c r="AZ77" s="9">
        <v>19004</v>
      </c>
      <c r="BA77" s="9">
        <v>183985</v>
      </c>
      <c r="BB77" s="9">
        <v>22995</v>
      </c>
      <c r="BC77" s="9">
        <v>8967</v>
      </c>
      <c r="BD77" s="9">
        <v>11625</v>
      </c>
      <c r="BE77" s="9">
        <v>34653</v>
      </c>
      <c r="BF77" s="9">
        <v>28991</v>
      </c>
      <c r="BG77" s="9">
        <v>38233</v>
      </c>
      <c r="BH77" s="9">
        <v>39624</v>
      </c>
      <c r="BI77" s="9">
        <v>260837</v>
      </c>
      <c r="BJ77" s="9">
        <v>46330</v>
      </c>
      <c r="BK77" s="9">
        <v>307779</v>
      </c>
      <c r="BL77" s="9">
        <v>206266</v>
      </c>
      <c r="BM77" s="9">
        <v>55623</v>
      </c>
      <c r="BN77" s="9">
        <v>67158</v>
      </c>
      <c r="BO77" s="9">
        <v>35444</v>
      </c>
      <c r="BP77" s="9">
        <v>46947</v>
      </c>
      <c r="BQ77" s="4"/>
      <c r="BR77" s="5">
        <f t="shared" si="2"/>
        <v>0</v>
      </c>
      <c r="CB77">
        <v>307820</v>
      </c>
    </row>
    <row r="78" spans="1:80" x14ac:dyDescent="0.25">
      <c r="A78" s="8">
        <v>41821</v>
      </c>
      <c r="B78" s="9">
        <f>'BR OBS'!B80</f>
        <v>17447</v>
      </c>
      <c r="C78" s="9">
        <f>'BR OBS'!C80</f>
        <v>62729</v>
      </c>
      <c r="D78" s="9">
        <f>'BR OBS'!D80</f>
        <v>2486</v>
      </c>
      <c r="E78" s="9">
        <f>'BR OBS'!E80</f>
        <v>35424</v>
      </c>
      <c r="F78" s="9">
        <f>'BR OBS'!F80</f>
        <v>5867</v>
      </c>
      <c r="G78" s="9">
        <f>'BR OBS'!G80</f>
        <v>18376</v>
      </c>
      <c r="H78" s="9">
        <f>'BR OBS'!H80</f>
        <v>185876</v>
      </c>
      <c r="I78" s="9">
        <f>'BR OBS'!I80</f>
        <v>23760</v>
      </c>
      <c r="J78" s="9">
        <f>'BR OBS'!J80</f>
        <v>9391</v>
      </c>
      <c r="K78" s="9">
        <f>'BR OBS'!K80</f>
        <v>11549</v>
      </c>
      <c r="L78" s="9">
        <f>'BR OBS'!L80</f>
        <v>34413</v>
      </c>
      <c r="M78" s="9">
        <f>'BR OBS'!M80</f>
        <v>28914</v>
      </c>
      <c r="N78" s="9">
        <f>'BR OBS'!N80</f>
        <v>38494</v>
      </c>
      <c r="O78" s="9">
        <f>'BR OBS'!O80</f>
        <v>39833</v>
      </c>
      <c r="P78" s="9">
        <f>'BR OBS'!P80</f>
        <v>265471</v>
      </c>
      <c r="Q78" s="9">
        <f>'BR OBS'!Q80</f>
        <v>46893</v>
      </c>
      <c r="R78" s="9">
        <f>'BR OBS'!R80</f>
        <v>312889</v>
      </c>
      <c r="S78" s="9">
        <f>'BR OBS'!S80</f>
        <v>206858</v>
      </c>
      <c r="T78" s="9">
        <f>'BR OBS'!T80</f>
        <v>56071</v>
      </c>
      <c r="U78" s="9">
        <f>'BR OBS'!U80</f>
        <v>67540</v>
      </c>
      <c r="V78" s="9">
        <f>'BR OBS'!V80</f>
        <v>39448</v>
      </c>
      <c r="W78" s="9">
        <f>'BR OBS'!W80</f>
        <v>49971</v>
      </c>
      <c r="X78" s="9"/>
      <c r="Y78" s="9">
        <f>'BR SA'!B80</f>
        <v>17749</v>
      </c>
      <c r="Z78" s="9">
        <f>'BR SA'!C80</f>
        <v>60150</v>
      </c>
      <c r="AA78" s="9">
        <f>'BR SA'!D80</f>
        <v>2409</v>
      </c>
      <c r="AB78" s="9">
        <f>'BR SA'!E80</f>
        <v>33269</v>
      </c>
      <c r="AC78" s="9">
        <f>'BR SA'!F80</f>
        <v>5925</v>
      </c>
      <c r="AD78" s="9">
        <f>'BR SA'!G80</f>
        <v>17974</v>
      </c>
      <c r="AE78" s="9">
        <f>'BR SA'!H80</f>
        <v>184151</v>
      </c>
      <c r="AF78" s="9">
        <f>'BR SA'!I80</f>
        <v>23218</v>
      </c>
      <c r="AG78" s="9">
        <f>'BR SA'!J80</f>
        <v>9067</v>
      </c>
      <c r="AH78" s="9">
        <f>'BR SA'!K80</f>
        <v>11648</v>
      </c>
      <c r="AI78" s="9">
        <f>'BR SA'!L80</f>
        <v>34589</v>
      </c>
      <c r="AJ78" s="9">
        <f>'BR SA'!M80</f>
        <v>29008</v>
      </c>
      <c r="AK78" s="9">
        <f>'BR SA'!N80</f>
        <v>38133</v>
      </c>
      <c r="AL78" s="9">
        <f>'BR SA'!O80</f>
        <v>39570</v>
      </c>
      <c r="AM78" s="9">
        <f>'BR SA'!P80</f>
        <v>260959</v>
      </c>
      <c r="AN78" s="9">
        <f>'BR SA'!Q80</f>
        <v>307715</v>
      </c>
      <c r="AO78" s="9">
        <f>'BR SA'!R80</f>
        <v>206570</v>
      </c>
      <c r="AP78" s="9">
        <f>'BR SA'!S80</f>
        <v>55859</v>
      </c>
      <c r="AQ78" s="9">
        <f>'BR SA'!T80</f>
        <v>65584</v>
      </c>
      <c r="AR78" s="9">
        <f>'BR SA'!U80</f>
        <v>37117</v>
      </c>
      <c r="AS78" s="9">
        <f>'BR SA'!V80</f>
        <v>48252</v>
      </c>
      <c r="AU78" s="9">
        <v>17748</v>
      </c>
      <c r="AV78" s="9">
        <v>60150</v>
      </c>
      <c r="AW78" s="9">
        <v>2409</v>
      </c>
      <c r="AX78" s="9">
        <v>33269</v>
      </c>
      <c r="AY78" s="9">
        <v>5925</v>
      </c>
      <c r="AZ78" s="9">
        <v>17940</v>
      </c>
      <c r="BA78" s="9">
        <v>184152</v>
      </c>
      <c r="BB78" s="9">
        <v>23217</v>
      </c>
      <c r="BC78" s="9">
        <v>9067</v>
      </c>
      <c r="BD78" s="9">
        <v>11647</v>
      </c>
      <c r="BE78" s="9">
        <v>34589</v>
      </c>
      <c r="BF78" s="9">
        <v>29031</v>
      </c>
      <c r="BG78" s="9">
        <v>38091</v>
      </c>
      <c r="BH78" s="9">
        <v>39578</v>
      </c>
      <c r="BI78" s="9">
        <v>260959</v>
      </c>
      <c r="BJ78" s="9">
        <v>46255</v>
      </c>
      <c r="BK78" s="9">
        <v>307715</v>
      </c>
      <c r="BL78" s="9">
        <v>206570</v>
      </c>
      <c r="BM78" s="9">
        <v>55859</v>
      </c>
      <c r="BN78" s="9">
        <v>65584</v>
      </c>
      <c r="BO78" s="9">
        <v>37117</v>
      </c>
      <c r="BP78" s="9">
        <v>48252</v>
      </c>
      <c r="BQ78" s="4"/>
      <c r="BR78" s="5">
        <f t="shared" si="2"/>
        <v>-5.6341202321257534E-5</v>
      </c>
      <c r="CB78">
        <v>307782</v>
      </c>
    </row>
    <row r="79" spans="1:80" x14ac:dyDescent="0.25">
      <c r="A79" s="8">
        <v>41913</v>
      </c>
      <c r="B79" s="9">
        <f>'BR OBS'!B81</f>
        <v>12575</v>
      </c>
      <c r="C79" s="9">
        <f>'BR OBS'!C81</f>
        <v>61077</v>
      </c>
      <c r="D79" s="9">
        <f>'BR OBS'!D81</f>
        <v>2541</v>
      </c>
      <c r="E79" s="9">
        <f>'BR OBS'!E81</f>
        <v>33016</v>
      </c>
      <c r="F79" s="9">
        <f>'BR OBS'!F81</f>
        <v>6159</v>
      </c>
      <c r="G79" s="9">
        <f>'BR OBS'!G81</f>
        <v>18322</v>
      </c>
      <c r="H79" s="9">
        <f>'BR OBS'!H81</f>
        <v>187983</v>
      </c>
      <c r="I79" s="9">
        <f>'BR OBS'!I81</f>
        <v>24132</v>
      </c>
      <c r="J79" s="9">
        <f>'BR OBS'!J81</f>
        <v>9246</v>
      </c>
      <c r="K79" s="9">
        <f>'BR OBS'!K81</f>
        <v>12250</v>
      </c>
      <c r="L79" s="9">
        <f>'BR OBS'!L81</f>
        <v>35289</v>
      </c>
      <c r="M79" s="9">
        <f>'BR OBS'!M81</f>
        <v>29338</v>
      </c>
      <c r="N79" s="9">
        <f>'BR OBS'!N81</f>
        <v>39119</v>
      </c>
      <c r="O79" s="9">
        <f>'BR OBS'!O81</f>
        <v>39535</v>
      </c>
      <c r="P79" s="9">
        <f>'BR OBS'!P81</f>
        <v>261936</v>
      </c>
      <c r="Q79" s="9">
        <f>'BR OBS'!Q81</f>
        <v>47982</v>
      </c>
      <c r="R79" s="9">
        <f>'BR OBS'!R81</f>
        <v>310387</v>
      </c>
      <c r="S79" s="9">
        <f>'BR OBS'!S81</f>
        <v>216830</v>
      </c>
      <c r="T79" s="9">
        <f>'BR OBS'!T81</f>
        <v>56796</v>
      </c>
      <c r="U79" s="9">
        <f>'BR OBS'!U81</f>
        <v>65847</v>
      </c>
      <c r="V79" s="9">
        <f>'BR OBS'!V81</f>
        <v>34720</v>
      </c>
      <c r="W79" s="9">
        <f>'BR OBS'!W81</f>
        <v>46648</v>
      </c>
      <c r="X79" s="9"/>
      <c r="Y79" s="9">
        <f>'BR SA'!B81</f>
        <v>18230</v>
      </c>
      <c r="Z79" s="9">
        <f>'BR SA'!C81</f>
        <v>60617</v>
      </c>
      <c r="AA79" s="9">
        <f>'BR SA'!D81</f>
        <v>2481</v>
      </c>
      <c r="AB79" s="9">
        <f>'BR SA'!E81</f>
        <v>32869</v>
      </c>
      <c r="AC79" s="9">
        <f>'BR SA'!F81</f>
        <v>6094</v>
      </c>
      <c r="AD79" s="9">
        <f>'BR SA'!G81</f>
        <v>18166</v>
      </c>
      <c r="AE79" s="9">
        <f>'BR SA'!H81</f>
        <v>184445</v>
      </c>
      <c r="AF79" s="9">
        <f>'BR SA'!I81</f>
        <v>23332</v>
      </c>
      <c r="AG79" s="9">
        <f>'BR SA'!J81</f>
        <v>9091</v>
      </c>
      <c r="AH79" s="9">
        <f>'BR SA'!K81</f>
        <v>11694</v>
      </c>
      <c r="AI79" s="9">
        <f>'BR SA'!L81</f>
        <v>34571</v>
      </c>
      <c r="AJ79" s="9">
        <f>'BR SA'!M81</f>
        <v>29186</v>
      </c>
      <c r="AK79" s="9">
        <f>'BR SA'!N81</f>
        <v>37957</v>
      </c>
      <c r="AL79" s="9">
        <f>'BR SA'!O81</f>
        <v>39610</v>
      </c>
      <c r="AM79" s="9">
        <f>'BR SA'!P81</f>
        <v>262096</v>
      </c>
      <c r="AN79" s="9">
        <f>'BR SA'!Q81</f>
        <v>309251</v>
      </c>
      <c r="AO79" s="9">
        <f>'BR SA'!R81</f>
        <v>209591</v>
      </c>
      <c r="AP79" s="9">
        <f>'BR SA'!S81</f>
        <v>55389</v>
      </c>
      <c r="AQ79" s="9">
        <f>'BR SA'!T81</f>
        <v>65471</v>
      </c>
      <c r="AR79" s="9">
        <f>'BR SA'!U81</f>
        <v>34622</v>
      </c>
      <c r="AS79" s="9">
        <f>'BR SA'!V81</f>
        <v>45337</v>
      </c>
      <c r="AU79" s="9">
        <v>18230</v>
      </c>
      <c r="AV79" s="9">
        <v>60617</v>
      </c>
      <c r="AW79" s="9">
        <v>2481</v>
      </c>
      <c r="AX79" s="9">
        <v>32869</v>
      </c>
      <c r="AY79" s="9">
        <v>6094</v>
      </c>
      <c r="AZ79" s="9">
        <v>18124</v>
      </c>
      <c r="BA79" s="9">
        <v>184444</v>
      </c>
      <c r="BB79" s="9">
        <v>23331</v>
      </c>
      <c r="BC79" s="9">
        <v>9091</v>
      </c>
      <c r="BD79" s="9">
        <v>11694</v>
      </c>
      <c r="BE79" s="9">
        <v>34571</v>
      </c>
      <c r="BF79" s="9">
        <v>29241</v>
      </c>
      <c r="BG79" s="9">
        <v>37970</v>
      </c>
      <c r="BH79" s="9">
        <v>39629</v>
      </c>
      <c r="BI79" s="9">
        <v>262096</v>
      </c>
      <c r="BJ79" s="9">
        <v>46568</v>
      </c>
      <c r="BK79" s="9">
        <v>309251</v>
      </c>
      <c r="BL79" s="9">
        <v>209592</v>
      </c>
      <c r="BM79" s="9">
        <v>55389</v>
      </c>
      <c r="BN79" s="9">
        <v>65471</v>
      </c>
      <c r="BO79" s="9">
        <v>34622</v>
      </c>
      <c r="BP79" s="9">
        <v>45337</v>
      </c>
      <c r="BQ79" s="4"/>
      <c r="BR79" s="5">
        <f t="shared" si="2"/>
        <v>0</v>
      </c>
      <c r="CB79">
        <v>309252</v>
      </c>
    </row>
    <row r="80" spans="1:80" x14ac:dyDescent="0.25">
      <c r="A80" s="8">
        <v>42005</v>
      </c>
      <c r="B80" s="9">
        <f>'BR OBS'!B82</f>
        <v>22591</v>
      </c>
      <c r="C80" s="9">
        <f>'BR OBS'!C82</f>
        <v>57106</v>
      </c>
      <c r="D80" s="9">
        <f>'BR OBS'!D82</f>
        <v>2457</v>
      </c>
      <c r="E80" s="9">
        <f>'BR OBS'!E82</f>
        <v>30067</v>
      </c>
      <c r="F80" s="9">
        <f>'BR OBS'!F82</f>
        <v>5997</v>
      </c>
      <c r="G80" s="9">
        <f>'BR OBS'!G82</f>
        <v>17557</v>
      </c>
      <c r="H80" s="9">
        <f>'BR OBS'!H82</f>
        <v>178583</v>
      </c>
      <c r="I80" s="9">
        <f>'BR OBS'!I82</f>
        <v>21838</v>
      </c>
      <c r="J80" s="9">
        <f>'BR OBS'!J82</f>
        <v>8483</v>
      </c>
      <c r="K80" s="9">
        <f>'BR OBS'!K82</f>
        <v>11556</v>
      </c>
      <c r="L80" s="9">
        <f>'BR OBS'!L82</f>
        <v>34219</v>
      </c>
      <c r="M80" s="9">
        <f>'BR OBS'!M82</f>
        <v>29086</v>
      </c>
      <c r="N80" s="9">
        <f>'BR OBS'!N82</f>
        <v>36394</v>
      </c>
      <c r="O80" s="9">
        <f>'BR OBS'!O82</f>
        <v>39128</v>
      </c>
      <c r="P80" s="9">
        <f>'BR OBS'!P82</f>
        <v>256146</v>
      </c>
      <c r="Q80" s="9">
        <f>'BR OBS'!Q82</f>
        <v>44452</v>
      </c>
      <c r="R80" s="9">
        <f>'BR OBS'!R82</f>
        <v>301174</v>
      </c>
      <c r="S80" s="9">
        <f>'BR OBS'!S82</f>
        <v>201798</v>
      </c>
      <c r="T80" s="9">
        <f>'BR OBS'!T82</f>
        <v>53312</v>
      </c>
      <c r="U80" s="9">
        <f>'BR OBS'!U82</f>
        <v>61943</v>
      </c>
      <c r="V80" s="9">
        <f>'BR OBS'!V82</f>
        <v>32882</v>
      </c>
      <c r="W80" s="9">
        <f>'BR OBS'!W82</f>
        <v>42971</v>
      </c>
      <c r="X80" s="9"/>
      <c r="Y80" s="9">
        <f>'BR SA'!B82</f>
        <v>18641</v>
      </c>
      <c r="Z80" s="9">
        <f>'BR SA'!C82</f>
        <v>59505</v>
      </c>
      <c r="AA80" s="9">
        <f>'BR SA'!D82</f>
        <v>2561</v>
      </c>
      <c r="AB80" s="9">
        <f>'BR SA'!E82</f>
        <v>32066</v>
      </c>
      <c r="AC80" s="9">
        <f>'BR SA'!F82</f>
        <v>5940</v>
      </c>
      <c r="AD80" s="9">
        <f>'BR SA'!G82</f>
        <v>17875</v>
      </c>
      <c r="AE80" s="9">
        <f>'BR SA'!H82</f>
        <v>182966</v>
      </c>
      <c r="AF80" s="9">
        <f>'BR SA'!I82</f>
        <v>22792</v>
      </c>
      <c r="AG80" s="9">
        <f>'BR SA'!J82</f>
        <v>8816</v>
      </c>
      <c r="AH80" s="9">
        <f>'BR SA'!K82</f>
        <v>11857</v>
      </c>
      <c r="AI80" s="9">
        <f>'BR SA'!L82</f>
        <v>34511</v>
      </c>
      <c r="AJ80" s="9">
        <f>'BR SA'!M82</f>
        <v>29092</v>
      </c>
      <c r="AK80" s="9">
        <f>'BR SA'!N82</f>
        <v>37646</v>
      </c>
      <c r="AL80" s="9">
        <f>'BR SA'!O82</f>
        <v>39660</v>
      </c>
      <c r="AM80" s="9">
        <f>'BR SA'!P82</f>
        <v>260803</v>
      </c>
      <c r="AN80" s="9">
        <f>'BR SA'!Q82</f>
        <v>307243</v>
      </c>
      <c r="AO80" s="9">
        <f>'BR SA'!R82</f>
        <v>206577</v>
      </c>
      <c r="AP80" s="9">
        <f>'BR SA'!S82</f>
        <v>55138</v>
      </c>
      <c r="AQ80" s="9">
        <f>'BR SA'!T82</f>
        <v>63484</v>
      </c>
      <c r="AR80" s="9">
        <f>'BR SA'!U82</f>
        <v>36894</v>
      </c>
      <c r="AS80" s="9">
        <f>'BR SA'!V82</f>
        <v>44944</v>
      </c>
      <c r="AU80" s="9">
        <v>18641</v>
      </c>
      <c r="AV80" s="9">
        <v>59505</v>
      </c>
      <c r="AW80" s="9">
        <v>2561</v>
      </c>
      <c r="AX80" s="9">
        <v>32066</v>
      </c>
      <c r="AY80" s="9">
        <v>5940</v>
      </c>
      <c r="AZ80" s="9">
        <v>17991</v>
      </c>
      <c r="BA80" s="9">
        <v>182966</v>
      </c>
      <c r="BB80" s="9">
        <v>22792</v>
      </c>
      <c r="BC80" s="9">
        <v>8816</v>
      </c>
      <c r="BD80" s="9">
        <v>11857</v>
      </c>
      <c r="BE80" s="9">
        <v>34511</v>
      </c>
      <c r="BF80" s="9">
        <v>29042</v>
      </c>
      <c r="BG80" s="9">
        <v>37666</v>
      </c>
      <c r="BH80" s="9">
        <v>39651</v>
      </c>
      <c r="BI80" s="9">
        <v>260803</v>
      </c>
      <c r="BJ80" s="9">
        <v>45893</v>
      </c>
      <c r="BK80" s="9">
        <v>307243</v>
      </c>
      <c r="BL80" s="9">
        <v>206577</v>
      </c>
      <c r="BM80" s="9">
        <v>55139</v>
      </c>
      <c r="BN80" s="9">
        <v>63484</v>
      </c>
      <c r="BO80" s="9">
        <v>36894</v>
      </c>
      <c r="BP80" s="9">
        <v>44944</v>
      </c>
      <c r="BQ80" s="4"/>
      <c r="BR80" s="5">
        <f t="shared" si="2"/>
        <v>0</v>
      </c>
      <c r="CB80">
        <v>307133</v>
      </c>
    </row>
    <row r="81" spans="1:80" x14ac:dyDescent="0.25">
      <c r="A81" s="8">
        <v>42095</v>
      </c>
      <c r="B81" s="9">
        <f>'BR OBS'!B83</f>
        <v>20376</v>
      </c>
      <c r="C81" s="9">
        <f>'BR OBS'!C83</f>
        <v>56924</v>
      </c>
      <c r="D81" s="9">
        <f>'BR OBS'!D83</f>
        <v>2518</v>
      </c>
      <c r="E81" s="9">
        <f>'BR OBS'!E83</f>
        <v>30377</v>
      </c>
      <c r="F81" s="9">
        <f>'BR OBS'!F83</f>
        <v>5890</v>
      </c>
      <c r="G81" s="9">
        <f>'BR OBS'!G83</f>
        <v>16811</v>
      </c>
      <c r="H81" s="9">
        <f>'BR OBS'!H83</f>
        <v>178695</v>
      </c>
      <c r="I81" s="9">
        <f>'BR OBS'!I83</f>
        <v>21407</v>
      </c>
      <c r="J81" s="9">
        <f>'BR OBS'!J83</f>
        <v>8535</v>
      </c>
      <c r="K81" s="9">
        <f>'BR OBS'!K83</f>
        <v>11351</v>
      </c>
      <c r="L81" s="9">
        <f>'BR OBS'!L83</f>
        <v>34032</v>
      </c>
      <c r="M81" s="9">
        <f>'BR OBS'!M83</f>
        <v>28826</v>
      </c>
      <c r="N81" s="9">
        <f>'BR OBS'!N83</f>
        <v>36777</v>
      </c>
      <c r="O81" s="9">
        <f>'BR OBS'!O83</f>
        <v>39780</v>
      </c>
      <c r="P81" s="9">
        <f>'BR OBS'!P83</f>
        <v>254421</v>
      </c>
      <c r="Q81" s="9">
        <f>'BR OBS'!Q83</f>
        <v>43600</v>
      </c>
      <c r="R81" s="9">
        <f>'BR OBS'!R83</f>
        <v>298633</v>
      </c>
      <c r="S81" s="9">
        <f>'BR OBS'!S83</f>
        <v>198799</v>
      </c>
      <c r="T81" s="9">
        <f>'BR OBS'!T83</f>
        <v>54886</v>
      </c>
      <c r="U81" s="9">
        <f>'BR OBS'!U83</f>
        <v>58206</v>
      </c>
      <c r="V81" s="9">
        <f>'BR OBS'!V83</f>
        <v>40424</v>
      </c>
      <c r="W81" s="9">
        <f>'BR OBS'!W83</f>
        <v>41258</v>
      </c>
      <c r="X81" s="9"/>
      <c r="Y81" s="9">
        <f>'BR SA'!B83</f>
        <v>18100</v>
      </c>
      <c r="Z81" s="9">
        <f>'BR SA'!C83</f>
        <v>57562</v>
      </c>
      <c r="AA81" s="9">
        <f>'BR SA'!D83</f>
        <v>2562</v>
      </c>
      <c r="AB81" s="9">
        <f>'BR SA'!E83</f>
        <v>30675</v>
      </c>
      <c r="AC81" s="9">
        <f>'BR SA'!F83</f>
        <v>5934</v>
      </c>
      <c r="AD81" s="9">
        <f>'BR SA'!G83</f>
        <v>17028</v>
      </c>
      <c r="AE81" s="9">
        <f>'BR SA'!H83</f>
        <v>179975</v>
      </c>
      <c r="AF81" s="9">
        <f>'BR SA'!I83</f>
        <v>21791</v>
      </c>
      <c r="AG81" s="9">
        <f>'BR SA'!J83</f>
        <v>8675</v>
      </c>
      <c r="AH81" s="9">
        <f>'BR SA'!K83</f>
        <v>11537</v>
      </c>
      <c r="AI81" s="9">
        <f>'BR SA'!L83</f>
        <v>34264</v>
      </c>
      <c r="AJ81" s="9">
        <f>'BR SA'!M83</f>
        <v>28887</v>
      </c>
      <c r="AK81" s="9">
        <f>'BR SA'!N83</f>
        <v>37062</v>
      </c>
      <c r="AL81" s="9">
        <f>'BR SA'!O83</f>
        <v>39537</v>
      </c>
      <c r="AM81" s="9">
        <f>'BR SA'!P83</f>
        <v>254436</v>
      </c>
      <c r="AN81" s="9">
        <f>'BR SA'!Q83</f>
        <v>299217</v>
      </c>
      <c r="AO81" s="9">
        <f>'BR SA'!R83</f>
        <v>202074</v>
      </c>
      <c r="AP81" s="9">
        <f>'BR SA'!S83</f>
        <v>54701</v>
      </c>
      <c r="AQ81" s="9">
        <f>'BR SA'!T83</f>
        <v>58920</v>
      </c>
      <c r="AR81" s="9">
        <f>'BR SA'!U83</f>
        <v>38350</v>
      </c>
      <c r="AS81" s="9">
        <f>'BR SA'!V83</f>
        <v>42134</v>
      </c>
      <c r="AU81" s="9">
        <v>18100</v>
      </c>
      <c r="AV81" s="9">
        <v>57562</v>
      </c>
      <c r="AW81" s="9">
        <v>2562</v>
      </c>
      <c r="AX81" s="9">
        <v>30675</v>
      </c>
      <c r="AY81" s="9">
        <v>5934</v>
      </c>
      <c r="AZ81" s="9">
        <v>17010</v>
      </c>
      <c r="BA81" s="9">
        <v>179975</v>
      </c>
      <c r="BB81" s="9">
        <v>21791</v>
      </c>
      <c r="BC81" s="9">
        <v>8675</v>
      </c>
      <c r="BD81" s="9">
        <v>11537</v>
      </c>
      <c r="BE81" s="9">
        <v>34264</v>
      </c>
      <c r="BF81" s="9">
        <v>28886</v>
      </c>
      <c r="BG81" s="9">
        <v>37061</v>
      </c>
      <c r="BH81" s="9">
        <v>39530</v>
      </c>
      <c r="BI81" s="9">
        <v>254435</v>
      </c>
      <c r="BJ81" s="9">
        <v>44186</v>
      </c>
      <c r="BK81" s="9">
        <v>299217</v>
      </c>
      <c r="BL81" s="9">
        <v>202073</v>
      </c>
      <c r="BM81" s="9">
        <v>54701</v>
      </c>
      <c r="BN81" s="9">
        <v>58920</v>
      </c>
      <c r="BO81" s="9">
        <v>38350</v>
      </c>
      <c r="BP81" s="9">
        <v>42134</v>
      </c>
      <c r="BQ81" s="4"/>
      <c r="BR81" s="5">
        <f t="shared" si="2"/>
        <v>0</v>
      </c>
      <c r="CB81">
        <v>299288</v>
      </c>
    </row>
    <row r="82" spans="1:80" x14ac:dyDescent="0.25">
      <c r="A82" s="8">
        <v>42186</v>
      </c>
      <c r="B82" s="9">
        <f>'BR OBS'!B84</f>
        <v>17409</v>
      </c>
      <c r="C82" s="9">
        <f>'BR OBS'!C84</f>
        <v>59122</v>
      </c>
      <c r="D82" s="9">
        <f>'BR OBS'!D84</f>
        <v>2612</v>
      </c>
      <c r="E82" s="9">
        <f>'BR OBS'!E84</f>
        <v>31940</v>
      </c>
      <c r="F82" s="9">
        <f>'BR OBS'!F84</f>
        <v>6031</v>
      </c>
      <c r="G82" s="9">
        <f>'BR OBS'!G84</f>
        <v>17129</v>
      </c>
      <c r="H82" s="9">
        <f>'BR OBS'!H84</f>
        <v>179563</v>
      </c>
      <c r="I82" s="9">
        <f>'BR OBS'!I84</f>
        <v>21760</v>
      </c>
      <c r="J82" s="9">
        <f>'BR OBS'!J84</f>
        <v>8931</v>
      </c>
      <c r="K82" s="9">
        <f>'BR OBS'!K84</f>
        <v>11312</v>
      </c>
      <c r="L82" s="9">
        <f>'BR OBS'!L84</f>
        <v>33910</v>
      </c>
      <c r="M82" s="9">
        <f>'BR OBS'!M84</f>
        <v>28843</v>
      </c>
      <c r="N82" s="9">
        <f>'BR OBS'!N84</f>
        <v>36504</v>
      </c>
      <c r="O82" s="9">
        <f>'BR OBS'!O84</f>
        <v>39977</v>
      </c>
      <c r="P82" s="9">
        <f>'BR OBS'!P84</f>
        <v>255339</v>
      </c>
      <c r="Q82" s="9">
        <f>'BR OBS'!Q84</f>
        <v>43585</v>
      </c>
      <c r="R82" s="9">
        <f>'BR OBS'!R84</f>
        <v>299551</v>
      </c>
      <c r="S82" s="9">
        <f>'BR OBS'!S84</f>
        <v>198758</v>
      </c>
      <c r="T82" s="9">
        <f>'BR OBS'!T84</f>
        <v>55073</v>
      </c>
      <c r="U82" s="9">
        <f>'BR OBS'!U84</f>
        <v>57462</v>
      </c>
      <c r="V82" s="9">
        <f>'BR OBS'!V84</f>
        <v>40290</v>
      </c>
      <c r="W82" s="9">
        <f>'BR OBS'!W84</f>
        <v>40059</v>
      </c>
      <c r="X82" s="9"/>
      <c r="Y82" s="9">
        <f>'BR SA'!B84</f>
        <v>17962</v>
      </c>
      <c r="Z82" s="9">
        <f>'BR SA'!C84</f>
        <v>56552</v>
      </c>
      <c r="AA82" s="9">
        <f>'BR SA'!D84</f>
        <v>2521</v>
      </c>
      <c r="AB82" s="9">
        <f>'BR SA'!E84</f>
        <v>29779</v>
      </c>
      <c r="AC82" s="9">
        <f>'BR SA'!F84</f>
        <v>6115</v>
      </c>
      <c r="AD82" s="9">
        <f>'BR SA'!G84</f>
        <v>16799</v>
      </c>
      <c r="AE82" s="9">
        <f>'BR SA'!H84</f>
        <v>177820</v>
      </c>
      <c r="AF82" s="9">
        <f>'BR SA'!I84</f>
        <v>21225</v>
      </c>
      <c r="AG82" s="9">
        <f>'BR SA'!J84</f>
        <v>8608</v>
      </c>
      <c r="AH82" s="9">
        <f>'BR SA'!K84</f>
        <v>11418</v>
      </c>
      <c r="AI82" s="9">
        <f>'BR SA'!L84</f>
        <v>34143</v>
      </c>
      <c r="AJ82" s="9">
        <f>'BR SA'!M84</f>
        <v>28927</v>
      </c>
      <c r="AK82" s="9">
        <f>'BR SA'!N84</f>
        <v>36185</v>
      </c>
      <c r="AL82" s="9">
        <f>'BR SA'!O84</f>
        <v>39677</v>
      </c>
      <c r="AM82" s="9">
        <f>'BR SA'!P84</f>
        <v>251160</v>
      </c>
      <c r="AN82" s="9">
        <f>'BR SA'!Q84</f>
        <v>294719</v>
      </c>
      <c r="AO82" s="9">
        <f>'BR SA'!R84</f>
        <v>198436</v>
      </c>
      <c r="AP82" s="9">
        <f>'BR SA'!S84</f>
        <v>54813</v>
      </c>
      <c r="AQ82" s="9">
        <f>'BR SA'!T84</f>
        <v>55746</v>
      </c>
      <c r="AR82" s="9">
        <f>'BR SA'!U84</f>
        <v>38088</v>
      </c>
      <c r="AS82" s="9">
        <f>'BR SA'!V84</f>
        <v>38510</v>
      </c>
      <c r="AU82" s="9">
        <v>17962</v>
      </c>
      <c r="AV82" s="9">
        <v>56552</v>
      </c>
      <c r="AW82" s="9">
        <v>2522</v>
      </c>
      <c r="AX82" s="9">
        <v>29779</v>
      </c>
      <c r="AY82" s="9">
        <v>6114</v>
      </c>
      <c r="AZ82" s="9">
        <v>16761</v>
      </c>
      <c r="BA82" s="9">
        <v>177820</v>
      </c>
      <c r="BB82" s="9">
        <v>21226</v>
      </c>
      <c r="BC82" s="9">
        <v>8608</v>
      </c>
      <c r="BD82" s="9">
        <v>11418</v>
      </c>
      <c r="BE82" s="9">
        <v>34143</v>
      </c>
      <c r="BF82" s="9">
        <v>28957</v>
      </c>
      <c r="BG82" s="9">
        <v>36127</v>
      </c>
      <c r="BH82" s="9">
        <v>39690</v>
      </c>
      <c r="BI82" s="9">
        <v>251161</v>
      </c>
      <c r="BJ82" s="9">
        <v>42978</v>
      </c>
      <c r="BK82" s="9">
        <v>294719</v>
      </c>
      <c r="BL82" s="9">
        <v>198436</v>
      </c>
      <c r="BM82" s="9">
        <v>54813</v>
      </c>
      <c r="BN82" s="9">
        <v>55746</v>
      </c>
      <c r="BO82" s="9">
        <v>38088</v>
      </c>
      <c r="BP82" s="9">
        <v>38509</v>
      </c>
      <c r="BQ82" s="4"/>
      <c r="BR82" s="5">
        <f t="shared" si="2"/>
        <v>0</v>
      </c>
      <c r="CB82">
        <v>294717</v>
      </c>
    </row>
    <row r="83" spans="1:80" x14ac:dyDescent="0.25">
      <c r="A83" s="8">
        <v>42278</v>
      </c>
      <c r="B83" s="9">
        <f>'BR OBS'!B85</f>
        <v>12572</v>
      </c>
      <c r="C83" s="9">
        <f>'BR OBS'!C85</f>
        <v>55991</v>
      </c>
      <c r="D83" s="9">
        <f>'BR OBS'!D85</f>
        <v>2477</v>
      </c>
      <c r="E83" s="9">
        <f>'BR OBS'!E85</f>
        <v>29299</v>
      </c>
      <c r="F83" s="9">
        <f>'BR OBS'!F85</f>
        <v>6264</v>
      </c>
      <c r="G83" s="9">
        <f>'BR OBS'!G85</f>
        <v>16726</v>
      </c>
      <c r="H83" s="9">
        <f>'BR OBS'!H85</f>
        <v>180374</v>
      </c>
      <c r="I83" s="9">
        <f>'BR OBS'!I85</f>
        <v>21502</v>
      </c>
      <c r="J83" s="9">
        <f>'BR OBS'!J85</f>
        <v>8620</v>
      </c>
      <c r="K83" s="9">
        <f>'BR OBS'!K85</f>
        <v>11815</v>
      </c>
      <c r="L83" s="9">
        <f>'BR OBS'!L85</f>
        <v>34768</v>
      </c>
      <c r="M83" s="9">
        <f>'BR OBS'!M85</f>
        <v>29116</v>
      </c>
      <c r="N83" s="9">
        <f>'BR OBS'!N85</f>
        <v>37267</v>
      </c>
      <c r="O83" s="9">
        <f>'BR OBS'!O85</f>
        <v>39686</v>
      </c>
      <c r="P83" s="9">
        <f>'BR OBS'!P85</f>
        <v>249338</v>
      </c>
      <c r="Q83" s="9">
        <f>'BR OBS'!Q85</f>
        <v>43361</v>
      </c>
      <c r="R83" s="9">
        <f>'BR OBS'!R85</f>
        <v>293252</v>
      </c>
      <c r="S83" s="9">
        <f>'BR OBS'!S85</f>
        <v>203935</v>
      </c>
      <c r="T83" s="9">
        <f>'BR OBS'!T85</f>
        <v>55715</v>
      </c>
      <c r="U83" s="9">
        <f>'BR OBS'!U85</f>
        <v>53115</v>
      </c>
      <c r="V83" s="9">
        <f>'BR OBS'!V85</f>
        <v>39046</v>
      </c>
      <c r="W83" s="9">
        <f>'BR OBS'!W85</f>
        <v>37386</v>
      </c>
      <c r="X83" s="9"/>
      <c r="Y83" s="9">
        <f>'BR SA'!B85</f>
        <v>18374</v>
      </c>
      <c r="Z83" s="9">
        <f>'BR SA'!C85</f>
        <v>55557</v>
      </c>
      <c r="AA83" s="9">
        <f>'BR SA'!D85</f>
        <v>2423</v>
      </c>
      <c r="AB83" s="9">
        <f>'BR SA'!E85</f>
        <v>29211</v>
      </c>
      <c r="AC83" s="9">
        <f>'BR SA'!F85</f>
        <v>6217</v>
      </c>
      <c r="AD83" s="9">
        <f>'BR SA'!G85</f>
        <v>16536</v>
      </c>
      <c r="AE83" s="9">
        <f>'BR SA'!H85</f>
        <v>177045</v>
      </c>
      <c r="AF83" s="9">
        <f>'BR SA'!I85</f>
        <v>20779</v>
      </c>
      <c r="AG83" s="9">
        <f>'BR SA'!J85</f>
        <v>8485</v>
      </c>
      <c r="AH83" s="9">
        <f>'BR SA'!K85</f>
        <v>11274</v>
      </c>
      <c r="AI83" s="9">
        <f>'BR SA'!L85</f>
        <v>33987</v>
      </c>
      <c r="AJ83" s="9">
        <f>'BR SA'!M85</f>
        <v>28947</v>
      </c>
      <c r="AK83" s="9">
        <f>'BR SA'!N85</f>
        <v>36197</v>
      </c>
      <c r="AL83" s="9">
        <f>'BR SA'!O85</f>
        <v>39761</v>
      </c>
      <c r="AM83" s="9">
        <f>'BR SA'!P85</f>
        <v>249753</v>
      </c>
      <c r="AN83" s="9">
        <f>'BR SA'!Q85</f>
        <v>292427</v>
      </c>
      <c r="AO83" s="9">
        <f>'BR SA'!R85</f>
        <v>196935</v>
      </c>
      <c r="AP83" s="9">
        <f>'BR SA'!S85</f>
        <v>54312</v>
      </c>
      <c r="AQ83" s="9">
        <f>'BR SA'!T85</f>
        <v>52792</v>
      </c>
      <c r="AR83" s="9">
        <f>'BR SA'!U85</f>
        <v>39508</v>
      </c>
      <c r="AS83" s="9">
        <f>'BR SA'!V85</f>
        <v>36372</v>
      </c>
      <c r="AU83" s="9">
        <v>18374</v>
      </c>
      <c r="AV83" s="9">
        <v>55557</v>
      </c>
      <c r="AW83" s="9">
        <v>2423</v>
      </c>
      <c r="AX83" s="9">
        <v>29211</v>
      </c>
      <c r="AY83" s="9">
        <v>6216</v>
      </c>
      <c r="AZ83" s="9">
        <v>16507</v>
      </c>
      <c r="BA83" s="9">
        <v>177045</v>
      </c>
      <c r="BB83" s="9">
        <v>20779</v>
      </c>
      <c r="BC83" s="9">
        <v>8485</v>
      </c>
      <c r="BD83" s="9">
        <v>11274</v>
      </c>
      <c r="BE83" s="9">
        <v>33986</v>
      </c>
      <c r="BF83" s="9">
        <v>29006</v>
      </c>
      <c r="BG83" s="9">
        <v>36229</v>
      </c>
      <c r="BH83" s="9">
        <v>39785</v>
      </c>
      <c r="BI83" s="9">
        <v>249753</v>
      </c>
      <c r="BJ83" s="9">
        <v>42040</v>
      </c>
      <c r="BK83" s="9">
        <v>292427</v>
      </c>
      <c r="BL83" s="9">
        <v>196935</v>
      </c>
      <c r="BM83" s="9">
        <v>54312</v>
      </c>
      <c r="BN83" s="9">
        <v>52793</v>
      </c>
      <c r="BO83" s="9">
        <v>39508</v>
      </c>
      <c r="BP83" s="9">
        <v>36372</v>
      </c>
      <c r="BQ83" s="4"/>
      <c r="BR83" s="5">
        <f t="shared" si="2"/>
        <v>0</v>
      </c>
      <c r="CB83">
        <v>292483</v>
      </c>
    </row>
    <row r="84" spans="1:80" x14ac:dyDescent="0.25">
      <c r="A84" s="8">
        <v>42370</v>
      </c>
      <c r="B84" s="9">
        <f>'BR OBS'!B86</f>
        <v>20865</v>
      </c>
      <c r="C84" s="9">
        <f>'BR OBS'!C86</f>
        <v>52862</v>
      </c>
      <c r="D84" s="9">
        <f>'BR OBS'!D86</f>
        <v>2279</v>
      </c>
      <c r="E84" s="9">
        <f>'BR OBS'!E86</f>
        <v>27216</v>
      </c>
      <c r="F84" s="9">
        <f>'BR OBS'!F86</f>
        <v>6376</v>
      </c>
      <c r="G84" s="9">
        <f>'BR OBS'!G86</f>
        <v>15932</v>
      </c>
      <c r="H84" s="9">
        <f>'BR OBS'!H86</f>
        <v>172842</v>
      </c>
      <c r="I84" s="9">
        <f>'BR OBS'!I86</f>
        <v>19566</v>
      </c>
      <c r="J84" s="9">
        <f>'BR OBS'!J86</f>
        <v>7970</v>
      </c>
      <c r="K84" s="9">
        <f>'BR OBS'!K86</f>
        <v>11087</v>
      </c>
      <c r="L84" s="9">
        <f>'BR OBS'!L86</f>
        <v>33429</v>
      </c>
      <c r="M84" s="9">
        <f>'BR OBS'!M86</f>
        <v>29067</v>
      </c>
      <c r="N84" s="9">
        <f>'BR OBS'!N86</f>
        <v>35500</v>
      </c>
      <c r="O84" s="9">
        <f>'BR OBS'!O86</f>
        <v>39276</v>
      </c>
      <c r="P84" s="9">
        <f>'BR OBS'!P86</f>
        <v>244608</v>
      </c>
      <c r="Q84" s="9">
        <f>'BR OBS'!Q86</f>
        <v>40437</v>
      </c>
      <c r="R84" s="9">
        <f>'BR OBS'!R86</f>
        <v>285693</v>
      </c>
      <c r="S84" s="9">
        <f>'BR OBS'!S86</f>
        <v>190463</v>
      </c>
      <c r="T84" s="9">
        <f>'BR OBS'!T86</f>
        <v>53236</v>
      </c>
      <c r="U84" s="9">
        <f>'BR OBS'!U86</f>
        <v>50336</v>
      </c>
      <c r="V84" s="9">
        <f>'BR OBS'!V86</f>
        <v>36873</v>
      </c>
      <c r="W84" s="9">
        <f>'BR OBS'!W86</f>
        <v>33649</v>
      </c>
      <c r="X84" s="9"/>
      <c r="Y84" s="9">
        <f>'BR SA'!B86</f>
        <v>17041</v>
      </c>
      <c r="Z84" s="9">
        <f>'BR SA'!C86</f>
        <v>55434</v>
      </c>
      <c r="AA84" s="9">
        <f>'BR SA'!D86</f>
        <v>2417</v>
      </c>
      <c r="AB84" s="9">
        <f>'BR SA'!E86</f>
        <v>29146</v>
      </c>
      <c r="AC84" s="9">
        <f>'BR SA'!F86</f>
        <v>6292</v>
      </c>
      <c r="AD84" s="9">
        <f>'BR SA'!G86</f>
        <v>16204</v>
      </c>
      <c r="AE84" s="9">
        <f>'BR SA'!H86</f>
        <v>175442</v>
      </c>
      <c r="AF84" s="9">
        <f>'BR SA'!I86</f>
        <v>20414</v>
      </c>
      <c r="AG84" s="9">
        <f>'BR SA'!J86</f>
        <v>8336</v>
      </c>
      <c r="AH84" s="9">
        <f>'BR SA'!K86</f>
        <v>11244</v>
      </c>
      <c r="AI84" s="9">
        <f>'BR SA'!L86</f>
        <v>33744</v>
      </c>
      <c r="AJ84" s="9">
        <f>'BR SA'!M86</f>
        <v>29104</v>
      </c>
      <c r="AK84" s="9">
        <f>'BR SA'!N86</f>
        <v>36265</v>
      </c>
      <c r="AL84" s="9">
        <f>'BR SA'!O86</f>
        <v>39364</v>
      </c>
      <c r="AM84" s="9">
        <f>'BR SA'!P86</f>
        <v>245679</v>
      </c>
      <c r="AN84" s="9">
        <f>'BR SA'!Q86</f>
        <v>287757</v>
      </c>
      <c r="AO84" s="9">
        <f>'BR SA'!R86</f>
        <v>192823</v>
      </c>
      <c r="AP84" s="9">
        <f>'BR SA'!S86</f>
        <v>55117</v>
      </c>
      <c r="AQ84" s="9">
        <f>'BR SA'!T86</f>
        <v>51720</v>
      </c>
      <c r="AR84" s="9">
        <f>'BR SA'!U86</f>
        <v>39648</v>
      </c>
      <c r="AS84" s="9">
        <f>'BR SA'!V86</f>
        <v>34384</v>
      </c>
      <c r="AU84" s="9">
        <v>17041</v>
      </c>
      <c r="AV84" s="9">
        <v>55434</v>
      </c>
      <c r="AW84" s="9">
        <v>2417</v>
      </c>
      <c r="AX84" s="9">
        <v>29146</v>
      </c>
      <c r="AY84" s="9">
        <v>6292</v>
      </c>
      <c r="AZ84" s="9">
        <v>16094</v>
      </c>
      <c r="BA84" s="9">
        <v>175442</v>
      </c>
      <c r="BB84" s="9">
        <v>20414</v>
      </c>
      <c r="BC84" s="9">
        <v>8336</v>
      </c>
      <c r="BD84" s="9">
        <v>11244</v>
      </c>
      <c r="BE84" s="9">
        <v>33744</v>
      </c>
      <c r="BF84" s="9">
        <v>29090</v>
      </c>
      <c r="BG84" s="9">
        <v>36270</v>
      </c>
      <c r="BH84" s="9">
        <v>39344</v>
      </c>
      <c r="BI84" s="9">
        <v>245679</v>
      </c>
      <c r="BJ84" s="9">
        <v>41359</v>
      </c>
      <c r="BK84" s="9">
        <v>287757</v>
      </c>
      <c r="BL84" s="9">
        <v>192823</v>
      </c>
      <c r="BM84" s="9">
        <v>55117</v>
      </c>
      <c r="BN84" s="9">
        <v>51720</v>
      </c>
      <c r="BO84" s="9">
        <v>39648</v>
      </c>
      <c r="BP84" s="9">
        <v>34384</v>
      </c>
      <c r="BQ84" s="4"/>
      <c r="BR84" s="5">
        <f t="shared" si="2"/>
        <v>0</v>
      </c>
      <c r="CB84">
        <v>287605</v>
      </c>
    </row>
    <row r="85" spans="1:80" x14ac:dyDescent="0.25">
      <c r="A85" s="8">
        <v>42461</v>
      </c>
      <c r="B85" s="9">
        <f>'BR OBS'!B87</f>
        <v>19295</v>
      </c>
      <c r="C85" s="9">
        <f>'BR OBS'!C87</f>
        <v>54704</v>
      </c>
      <c r="D85" s="9">
        <f>'BR OBS'!D87</f>
        <v>2418</v>
      </c>
      <c r="E85" s="9">
        <f>'BR OBS'!E87</f>
        <v>29023</v>
      </c>
      <c r="F85" s="9">
        <f>'BR OBS'!F87</f>
        <v>6500</v>
      </c>
      <c r="G85" s="9">
        <f>'BR OBS'!G87</f>
        <v>15425</v>
      </c>
      <c r="H85" s="9">
        <f>'BR OBS'!H87</f>
        <v>174852</v>
      </c>
      <c r="I85" s="9">
        <f>'BR OBS'!I87</f>
        <v>19879</v>
      </c>
      <c r="J85" s="9">
        <f>'BR OBS'!J87</f>
        <v>8173</v>
      </c>
      <c r="K85" s="9">
        <f>'BR OBS'!K87</f>
        <v>11129</v>
      </c>
      <c r="L85" s="9">
        <f>'BR OBS'!L87</f>
        <v>32966</v>
      </c>
      <c r="M85" s="9">
        <f>'BR OBS'!M87</f>
        <v>28954</v>
      </c>
      <c r="N85" s="9">
        <f>'BR OBS'!N87</f>
        <v>36079</v>
      </c>
      <c r="O85" s="9">
        <f>'BR OBS'!O87</f>
        <v>40113</v>
      </c>
      <c r="P85" s="9">
        <f>'BR OBS'!P87</f>
        <v>247408</v>
      </c>
      <c r="Q85" s="9">
        <f>'BR OBS'!Q87</f>
        <v>40956</v>
      </c>
      <c r="R85" s="9">
        <f>'BR OBS'!R87</f>
        <v>289017</v>
      </c>
      <c r="S85" s="9">
        <f>'BR OBS'!S87</f>
        <v>189887</v>
      </c>
      <c r="T85" s="9">
        <f>'BR OBS'!T87</f>
        <v>55178</v>
      </c>
      <c r="U85" s="9">
        <f>'BR OBS'!U87</f>
        <v>51973</v>
      </c>
      <c r="V85" s="9">
        <f>'BR OBS'!V87</f>
        <v>41485</v>
      </c>
      <c r="W85" s="9">
        <f>'BR OBS'!W87</f>
        <v>36864</v>
      </c>
      <c r="X85" s="9"/>
      <c r="Y85" s="9">
        <f>'BR SA'!B87</f>
        <v>17063</v>
      </c>
      <c r="Z85" s="9">
        <f>'BR SA'!C87</f>
        <v>55121</v>
      </c>
      <c r="AA85" s="9">
        <f>'BR SA'!D87</f>
        <v>2422</v>
      </c>
      <c r="AB85" s="9">
        <f>'BR SA'!E87</f>
        <v>29313</v>
      </c>
      <c r="AC85" s="9">
        <f>'BR SA'!F87</f>
        <v>6527</v>
      </c>
      <c r="AD85" s="9">
        <f>'BR SA'!G87</f>
        <v>15666</v>
      </c>
      <c r="AE85" s="9">
        <f>'BR SA'!H87</f>
        <v>175742</v>
      </c>
      <c r="AF85" s="9">
        <f>'BR SA'!I87</f>
        <v>20291</v>
      </c>
      <c r="AG85" s="9">
        <f>'BR SA'!J87</f>
        <v>8252</v>
      </c>
      <c r="AH85" s="9">
        <f>'BR SA'!K87</f>
        <v>11317</v>
      </c>
      <c r="AI85" s="9">
        <f>'BR SA'!L87</f>
        <v>33197</v>
      </c>
      <c r="AJ85" s="9">
        <f>'BR SA'!M87</f>
        <v>29015</v>
      </c>
      <c r="AK85" s="9">
        <f>'BR SA'!N87</f>
        <v>36329</v>
      </c>
      <c r="AL85" s="9">
        <f>'BR SA'!O87</f>
        <v>39874</v>
      </c>
      <c r="AM85" s="9">
        <f>'BR SA'!P87</f>
        <v>247471</v>
      </c>
      <c r="AN85" s="9">
        <f>'BR SA'!Q87</f>
        <v>289428</v>
      </c>
      <c r="AO85" s="9">
        <f>'BR SA'!R87</f>
        <v>193288</v>
      </c>
      <c r="AP85" s="9">
        <f>'BR SA'!S87</f>
        <v>54962</v>
      </c>
      <c r="AQ85" s="9">
        <f>'BR SA'!T87</f>
        <v>52627</v>
      </c>
      <c r="AR85" s="9">
        <f>'BR SA'!U87</f>
        <v>39507</v>
      </c>
      <c r="AS85" s="9">
        <f>'BR SA'!V87</f>
        <v>38041</v>
      </c>
      <c r="AU85" s="9">
        <v>17064</v>
      </c>
      <c r="AV85" s="9">
        <v>55121</v>
      </c>
      <c r="AW85" s="9">
        <v>2421</v>
      </c>
      <c r="AX85" s="9">
        <v>29313</v>
      </c>
      <c r="AY85" s="9">
        <v>6527</v>
      </c>
      <c r="AZ85" s="9">
        <v>15656</v>
      </c>
      <c r="BA85" s="9">
        <v>175742</v>
      </c>
      <c r="BB85" s="9">
        <v>20291</v>
      </c>
      <c r="BC85" s="9">
        <v>8252</v>
      </c>
      <c r="BD85" s="9">
        <v>11317</v>
      </c>
      <c r="BE85" s="9">
        <v>33197</v>
      </c>
      <c r="BF85" s="9">
        <v>29011</v>
      </c>
      <c r="BG85" s="9">
        <v>36331</v>
      </c>
      <c r="BH85" s="9">
        <v>39885</v>
      </c>
      <c r="BI85" s="9">
        <v>247471</v>
      </c>
      <c r="BJ85" s="9">
        <v>41385</v>
      </c>
      <c r="BK85" s="9">
        <v>289428</v>
      </c>
      <c r="BL85" s="9">
        <v>193288</v>
      </c>
      <c r="BM85" s="9">
        <v>54961</v>
      </c>
      <c r="BN85" s="9">
        <v>52627</v>
      </c>
      <c r="BO85" s="9">
        <v>39507</v>
      </c>
      <c r="BP85" s="9">
        <v>38042</v>
      </c>
      <c r="BQ85" s="4"/>
      <c r="BR85" s="5">
        <f t="shared" si="2"/>
        <v>5.8606341206118502E-5</v>
      </c>
      <c r="CB85">
        <v>289536</v>
      </c>
    </row>
    <row r="86" spans="1:80" x14ac:dyDescent="0.25">
      <c r="A86" s="8">
        <v>42552</v>
      </c>
      <c r="B86" s="9">
        <f>'BR OBS'!B88</f>
        <v>16640</v>
      </c>
      <c r="C86" s="9">
        <f>'BR OBS'!C88</f>
        <v>57090</v>
      </c>
      <c r="D86" s="9">
        <f>'BR OBS'!D88</f>
        <v>2625</v>
      </c>
      <c r="E86" s="9">
        <f>'BR OBS'!E88</f>
        <v>31047</v>
      </c>
      <c r="F86" s="9">
        <f>'BR OBS'!F88</f>
        <v>6378</v>
      </c>
      <c r="G86" s="9">
        <f>'BR OBS'!G88</f>
        <v>15414</v>
      </c>
      <c r="H86" s="9">
        <f>'BR OBS'!H88</f>
        <v>176645</v>
      </c>
      <c r="I86" s="9">
        <f>'BR OBS'!I88</f>
        <v>20654</v>
      </c>
      <c r="J86" s="9">
        <f>'BR OBS'!J88</f>
        <v>8386</v>
      </c>
      <c r="K86" s="9">
        <f>'BR OBS'!K88</f>
        <v>11328</v>
      </c>
      <c r="L86" s="9">
        <f>'BR OBS'!L88</f>
        <v>32504</v>
      </c>
      <c r="M86" s="9">
        <f>'BR OBS'!M88</f>
        <v>28846</v>
      </c>
      <c r="N86" s="9">
        <f>'BR OBS'!N88</f>
        <v>36503</v>
      </c>
      <c r="O86" s="9">
        <f>'BR OBS'!O88</f>
        <v>40140</v>
      </c>
      <c r="P86" s="9">
        <f>'BR OBS'!P88</f>
        <v>249772</v>
      </c>
      <c r="Q86" s="9">
        <f>'BR OBS'!Q88</f>
        <v>41788</v>
      </c>
      <c r="R86" s="9">
        <f>'BR OBS'!R88</f>
        <v>292200</v>
      </c>
      <c r="S86" s="9">
        <f>'BR OBS'!S88</f>
        <v>193066</v>
      </c>
      <c r="T86" s="9">
        <f>'BR OBS'!T88</f>
        <v>55051</v>
      </c>
      <c r="U86" s="9">
        <f>'BR OBS'!U88</f>
        <v>51376</v>
      </c>
      <c r="V86" s="9">
        <f>'BR OBS'!V88</f>
        <v>39883</v>
      </c>
      <c r="W86" s="9">
        <f>'BR OBS'!W88</f>
        <v>37277</v>
      </c>
      <c r="X86" s="9"/>
      <c r="Y86" s="9">
        <f>'BR SA'!B88</f>
        <v>17349</v>
      </c>
      <c r="Z86" s="9">
        <f>'BR SA'!C88</f>
        <v>54543</v>
      </c>
      <c r="AA86" s="9">
        <f>'BR SA'!D88</f>
        <v>2528</v>
      </c>
      <c r="AB86" s="9">
        <f>'BR SA'!E88</f>
        <v>28927</v>
      </c>
      <c r="AC86" s="9">
        <f>'BR SA'!F88</f>
        <v>6485</v>
      </c>
      <c r="AD86" s="9">
        <f>'BR SA'!G88</f>
        <v>15119</v>
      </c>
      <c r="AE86" s="9">
        <f>'BR SA'!H88</f>
        <v>174866</v>
      </c>
      <c r="AF86" s="9">
        <f>'BR SA'!I88</f>
        <v>20083</v>
      </c>
      <c r="AG86" s="9">
        <f>'BR SA'!J88</f>
        <v>8076</v>
      </c>
      <c r="AH86" s="9">
        <f>'BR SA'!K88</f>
        <v>11441</v>
      </c>
      <c r="AI86" s="9">
        <f>'BR SA'!L88</f>
        <v>32772</v>
      </c>
      <c r="AJ86" s="9">
        <f>'BR SA'!M88</f>
        <v>28902</v>
      </c>
      <c r="AK86" s="9">
        <f>'BR SA'!N88</f>
        <v>36203</v>
      </c>
      <c r="AL86" s="9">
        <f>'BR SA'!O88</f>
        <v>39832</v>
      </c>
      <c r="AM86" s="9">
        <f>'BR SA'!P88</f>
        <v>245777</v>
      </c>
      <c r="AN86" s="9">
        <f>'BR SA'!Q88</f>
        <v>287529</v>
      </c>
      <c r="AO86" s="9">
        <f>'BR SA'!R88</f>
        <v>192666</v>
      </c>
      <c r="AP86" s="9">
        <f>'BR SA'!S88</f>
        <v>54770</v>
      </c>
      <c r="AQ86" s="9">
        <f>'BR SA'!T88</f>
        <v>49653</v>
      </c>
      <c r="AR86" s="9">
        <f>'BR SA'!U88</f>
        <v>37658</v>
      </c>
      <c r="AS86" s="9">
        <f>'BR SA'!V88</f>
        <v>35682</v>
      </c>
      <c r="AU86" s="9">
        <v>17349</v>
      </c>
      <c r="AV86" s="9">
        <v>54543</v>
      </c>
      <c r="AW86" s="9">
        <v>2529</v>
      </c>
      <c r="AX86" s="9">
        <v>28928</v>
      </c>
      <c r="AY86" s="9">
        <v>6486</v>
      </c>
      <c r="AZ86" s="9">
        <v>15080</v>
      </c>
      <c r="BA86" s="9">
        <v>174866</v>
      </c>
      <c r="BB86" s="9">
        <v>20083</v>
      </c>
      <c r="BC86" s="9">
        <v>8075</v>
      </c>
      <c r="BD86" s="9">
        <v>11442</v>
      </c>
      <c r="BE86" s="9">
        <v>32771</v>
      </c>
      <c r="BF86" s="9">
        <v>28938</v>
      </c>
      <c r="BG86" s="9">
        <v>36128</v>
      </c>
      <c r="BH86" s="9">
        <v>39847</v>
      </c>
      <c r="BI86" s="9">
        <v>245777</v>
      </c>
      <c r="BJ86" s="9">
        <v>41157</v>
      </c>
      <c r="BK86" s="9">
        <v>287529</v>
      </c>
      <c r="BL86" s="9">
        <v>192667</v>
      </c>
      <c r="BM86" s="9">
        <v>54770</v>
      </c>
      <c r="BN86" s="9">
        <v>49653</v>
      </c>
      <c r="BO86" s="9">
        <v>37657</v>
      </c>
      <c r="BP86" s="9">
        <v>35683</v>
      </c>
      <c r="BQ86" s="4"/>
      <c r="BR86" s="5">
        <f t="shared" si="2"/>
        <v>0</v>
      </c>
      <c r="CB86">
        <v>287550</v>
      </c>
    </row>
    <row r="87" spans="1:80" x14ac:dyDescent="0.25">
      <c r="A87" s="8">
        <v>42644</v>
      </c>
      <c r="B87" s="9">
        <f>'BR OBS'!B89</f>
        <v>12338</v>
      </c>
      <c r="C87" s="9">
        <f>'BR OBS'!C89</f>
        <v>54023</v>
      </c>
      <c r="D87" s="9">
        <f>'BR OBS'!D89</f>
        <v>2618</v>
      </c>
      <c r="E87" s="9">
        <f>'BR OBS'!E89</f>
        <v>28596</v>
      </c>
      <c r="F87" s="9">
        <f>'BR OBS'!F89</f>
        <v>6494</v>
      </c>
      <c r="G87" s="9">
        <f>'BR OBS'!G89</f>
        <v>14640</v>
      </c>
      <c r="H87" s="9">
        <f>'BR OBS'!H89</f>
        <v>176945</v>
      </c>
      <c r="I87" s="9">
        <f>'BR OBS'!I89</f>
        <v>20675</v>
      </c>
      <c r="J87" s="9">
        <f>'BR OBS'!J89</f>
        <v>8109</v>
      </c>
      <c r="K87" s="9">
        <f>'BR OBS'!K89</f>
        <v>11552</v>
      </c>
      <c r="L87" s="9">
        <f>'BR OBS'!L89</f>
        <v>33352</v>
      </c>
      <c r="M87" s="9">
        <f>'BR OBS'!M89</f>
        <v>29198</v>
      </c>
      <c r="N87" s="9">
        <f>'BR OBS'!N89</f>
        <v>36902</v>
      </c>
      <c r="O87" s="9">
        <f>'BR OBS'!O89</f>
        <v>39448</v>
      </c>
      <c r="P87" s="9">
        <f>'BR OBS'!P89</f>
        <v>244013</v>
      </c>
      <c r="Q87" s="9">
        <f>'BR OBS'!Q89</f>
        <v>42049</v>
      </c>
      <c r="R87" s="9">
        <f>'BR OBS'!R89</f>
        <v>286632</v>
      </c>
      <c r="S87" s="9">
        <f>'BR OBS'!S89</f>
        <v>199051</v>
      </c>
      <c r="T87" s="9">
        <f>'BR OBS'!T89</f>
        <v>55982</v>
      </c>
      <c r="U87" s="9">
        <f>'BR OBS'!U89</f>
        <v>49054</v>
      </c>
      <c r="V87" s="9">
        <f>'BR OBS'!V89</f>
        <v>35718</v>
      </c>
      <c r="W87" s="9">
        <f>'BR OBS'!W89</f>
        <v>37163</v>
      </c>
      <c r="X87" s="9"/>
      <c r="Y87" s="9">
        <f>'BR SA'!B89</f>
        <v>18194</v>
      </c>
      <c r="Z87" s="9">
        <f>'BR SA'!C89</f>
        <v>53582</v>
      </c>
      <c r="AA87" s="9">
        <f>'BR SA'!D89</f>
        <v>2562</v>
      </c>
      <c r="AB87" s="9">
        <f>'BR SA'!E89</f>
        <v>28525</v>
      </c>
      <c r="AC87" s="9">
        <f>'BR SA'!F89</f>
        <v>6464</v>
      </c>
      <c r="AD87" s="9">
        <f>'BR SA'!G89</f>
        <v>14430</v>
      </c>
      <c r="AE87" s="9">
        <f>'BR SA'!H89</f>
        <v>173929</v>
      </c>
      <c r="AF87" s="9">
        <f>'BR SA'!I89</f>
        <v>20004</v>
      </c>
      <c r="AG87" s="9">
        <f>'BR SA'!J89</f>
        <v>7996</v>
      </c>
      <c r="AH87" s="9">
        <f>'BR SA'!K89</f>
        <v>11012</v>
      </c>
      <c r="AI87" s="9">
        <f>'BR SA'!L89</f>
        <v>32494</v>
      </c>
      <c r="AJ87" s="9">
        <f>'BR SA'!M89</f>
        <v>29034</v>
      </c>
      <c r="AK87" s="9">
        <f>'BR SA'!N89</f>
        <v>35952</v>
      </c>
      <c r="AL87" s="9">
        <f>'BR SA'!O89</f>
        <v>39609</v>
      </c>
      <c r="AM87" s="9">
        <f>'BR SA'!P89</f>
        <v>245288</v>
      </c>
      <c r="AN87" s="9">
        <f>'BR SA'!Q89</f>
        <v>287053</v>
      </c>
      <c r="AO87" s="9">
        <f>'BR SA'!R89</f>
        <v>192027</v>
      </c>
      <c r="AP87" s="9">
        <f>'BR SA'!S89</f>
        <v>54603</v>
      </c>
      <c r="AQ87" s="9">
        <f>'BR SA'!T89</f>
        <v>48799</v>
      </c>
      <c r="AR87" s="9">
        <f>'BR SA'!U89</f>
        <v>37474</v>
      </c>
      <c r="AS87" s="9">
        <f>'BR SA'!V89</f>
        <v>36935</v>
      </c>
      <c r="AU87" s="9">
        <v>18195</v>
      </c>
      <c r="AV87" s="9">
        <v>53582</v>
      </c>
      <c r="AW87" s="9">
        <v>2562</v>
      </c>
      <c r="AX87" s="9">
        <v>28525</v>
      </c>
      <c r="AY87" s="9">
        <v>6464</v>
      </c>
      <c r="AZ87" s="9">
        <v>14494</v>
      </c>
      <c r="BA87" s="9">
        <v>173929</v>
      </c>
      <c r="BB87" s="9">
        <v>20004</v>
      </c>
      <c r="BC87" s="9">
        <v>7995</v>
      </c>
      <c r="BD87" s="9">
        <v>11011</v>
      </c>
      <c r="BE87" s="9">
        <v>32494</v>
      </c>
      <c r="BF87" s="9">
        <v>28974</v>
      </c>
      <c r="BG87" s="9">
        <v>36037</v>
      </c>
      <c r="BH87" s="9">
        <v>39585</v>
      </c>
      <c r="BI87" s="9">
        <v>245288</v>
      </c>
      <c r="BJ87" s="9">
        <v>41155</v>
      </c>
      <c r="BK87" s="9">
        <v>287054</v>
      </c>
      <c r="BL87" s="9">
        <v>192027</v>
      </c>
      <c r="BM87" s="9">
        <v>54603</v>
      </c>
      <c r="BN87" s="9">
        <v>48800</v>
      </c>
      <c r="BO87" s="9">
        <v>37474</v>
      </c>
      <c r="BP87" s="9">
        <v>36935</v>
      </c>
      <c r="BQ87" s="4"/>
      <c r="BR87" s="5">
        <f t="shared" si="2"/>
        <v>5.4963174672969111E-5</v>
      </c>
      <c r="CB87">
        <v>287099</v>
      </c>
    </row>
    <row r="88" spans="1:80" x14ac:dyDescent="0.25">
      <c r="A88" s="8">
        <v>42736</v>
      </c>
      <c r="B88" s="9">
        <f>'BR OBS'!B90</f>
        <v>25121</v>
      </c>
      <c r="C88" s="9">
        <f>'BR OBS'!C90</f>
        <v>51843</v>
      </c>
      <c r="D88" s="9">
        <f>'BR OBS'!D90</f>
        <v>2491</v>
      </c>
      <c r="E88" s="9">
        <f>'BR OBS'!E90</f>
        <v>27238</v>
      </c>
      <c r="F88" s="9">
        <f>'BR OBS'!F90</f>
        <v>6642</v>
      </c>
      <c r="G88" s="9">
        <f>'BR OBS'!G90</f>
        <v>14026</v>
      </c>
      <c r="H88" s="9">
        <f>'BR OBS'!H90</f>
        <v>170741</v>
      </c>
      <c r="I88" s="9">
        <f>'BR OBS'!I90</f>
        <v>19218</v>
      </c>
      <c r="J88" s="9">
        <f>'BR OBS'!J90</f>
        <v>7848</v>
      </c>
      <c r="K88" s="9">
        <f>'BR OBS'!K90</f>
        <v>11206</v>
      </c>
      <c r="L88" s="9">
        <f>'BR OBS'!L90</f>
        <v>32086</v>
      </c>
      <c r="M88" s="9">
        <f>'BR OBS'!M90</f>
        <v>28935</v>
      </c>
      <c r="N88" s="9">
        <f>'BR OBS'!N90</f>
        <v>35042</v>
      </c>
      <c r="O88" s="9">
        <f>'BR OBS'!O90</f>
        <v>39155</v>
      </c>
      <c r="P88" s="9">
        <f>'BR OBS'!P90</f>
        <v>245360</v>
      </c>
      <c r="Q88" s="9">
        <f>'BR OBS'!Q90</f>
        <v>40504</v>
      </c>
      <c r="R88" s="9">
        <f>'BR OBS'!R90</f>
        <v>286523</v>
      </c>
      <c r="S88" s="9">
        <f>'BR OBS'!S90</f>
        <v>189446</v>
      </c>
      <c r="T88" s="9">
        <f>'BR OBS'!T90</f>
        <v>52399</v>
      </c>
      <c r="U88" s="9">
        <f>'BR OBS'!U90</f>
        <v>47670</v>
      </c>
      <c r="V88" s="9">
        <f>'BR OBS'!V90</f>
        <v>37438</v>
      </c>
      <c r="W88" s="9">
        <f>'BR OBS'!W90</f>
        <v>37474</v>
      </c>
      <c r="X88" s="9"/>
      <c r="Y88" s="9">
        <f>'BR SA'!B90</f>
        <v>20363</v>
      </c>
      <c r="Z88" s="9">
        <f>'BR SA'!C90</f>
        <v>53974</v>
      </c>
      <c r="AA88" s="9">
        <f>'BR SA'!D90</f>
        <v>2606</v>
      </c>
      <c r="AB88" s="9">
        <f>'BR SA'!E90</f>
        <v>29119</v>
      </c>
      <c r="AC88" s="9">
        <f>'BR SA'!F90</f>
        <v>6541</v>
      </c>
      <c r="AD88" s="9">
        <f>'BR SA'!G90</f>
        <v>14283</v>
      </c>
      <c r="AE88" s="9">
        <f>'BR SA'!H90</f>
        <v>174649</v>
      </c>
      <c r="AF88" s="9">
        <f>'BR SA'!I90</f>
        <v>20056</v>
      </c>
      <c r="AG88" s="9">
        <f>'BR SA'!J90</f>
        <v>8135</v>
      </c>
      <c r="AH88" s="9">
        <f>'BR SA'!K90</f>
        <v>11493</v>
      </c>
      <c r="AI88" s="9">
        <f>'BR SA'!L90</f>
        <v>32449</v>
      </c>
      <c r="AJ88" s="9">
        <f>'BR SA'!M90</f>
        <v>29003</v>
      </c>
      <c r="AK88" s="9">
        <f>'BR SA'!N90</f>
        <v>36125</v>
      </c>
      <c r="AL88" s="9">
        <f>'BR SA'!O90</f>
        <v>39615</v>
      </c>
      <c r="AM88" s="9">
        <f>'BR SA'!P90</f>
        <v>248467</v>
      </c>
      <c r="AN88" s="9">
        <f>'BR SA'!Q90</f>
        <v>290277</v>
      </c>
      <c r="AO88" s="9">
        <f>'BR SA'!R90</f>
        <v>193939</v>
      </c>
      <c r="AP88" s="9">
        <f>'BR SA'!S90</f>
        <v>54297</v>
      </c>
      <c r="AQ88" s="9">
        <f>'BR SA'!T90</f>
        <v>48777</v>
      </c>
      <c r="AR88" s="9">
        <f>'BR SA'!U90</f>
        <v>39465</v>
      </c>
      <c r="AS88" s="9">
        <f>'BR SA'!V90</f>
        <v>37887</v>
      </c>
      <c r="AU88" s="9">
        <v>20363</v>
      </c>
      <c r="AV88" s="9">
        <v>53974</v>
      </c>
      <c r="AW88" s="9">
        <v>2607</v>
      </c>
      <c r="AX88" s="9">
        <v>29119</v>
      </c>
      <c r="AY88" s="9">
        <v>6541</v>
      </c>
      <c r="AZ88" s="9">
        <v>14281</v>
      </c>
      <c r="BA88" s="9">
        <v>174649</v>
      </c>
      <c r="BB88" s="9">
        <v>20057</v>
      </c>
      <c r="BC88" s="9">
        <v>8135</v>
      </c>
      <c r="BD88" s="9">
        <v>11493</v>
      </c>
      <c r="BE88" s="9">
        <v>32449</v>
      </c>
      <c r="BF88" s="9">
        <v>29061</v>
      </c>
      <c r="BG88" s="9">
        <v>36102</v>
      </c>
      <c r="BH88" s="9">
        <v>39646</v>
      </c>
      <c r="BI88" s="9">
        <v>248467</v>
      </c>
      <c r="BJ88" s="9">
        <v>41318</v>
      </c>
      <c r="BK88" s="9">
        <v>290277</v>
      </c>
      <c r="BL88" s="9">
        <v>193940</v>
      </c>
      <c r="BM88" s="9">
        <v>54297</v>
      </c>
      <c r="BN88" s="9">
        <v>48778</v>
      </c>
      <c r="BO88" s="9">
        <v>39465</v>
      </c>
      <c r="BP88" s="9">
        <v>37887</v>
      </c>
      <c r="BQ88" s="4"/>
      <c r="BR88" s="5">
        <f t="shared" si="2"/>
        <v>0</v>
      </c>
      <c r="CB88">
        <v>290016</v>
      </c>
    </row>
    <row r="89" spans="1:80" x14ac:dyDescent="0.25">
      <c r="A89" s="8">
        <v>42826</v>
      </c>
      <c r="B89" s="9">
        <f>'BR OBS'!B91</f>
        <v>22401</v>
      </c>
      <c r="C89" s="9">
        <f>'BR OBS'!C91</f>
        <v>53458</v>
      </c>
      <c r="D89" s="9">
        <f>'BR OBS'!D91</f>
        <v>2587</v>
      </c>
      <c r="E89" s="9">
        <f>'BR OBS'!E91</f>
        <v>29056</v>
      </c>
      <c r="F89" s="9">
        <f>'BR OBS'!F91</f>
        <v>6454</v>
      </c>
      <c r="G89" s="9">
        <f>'BR OBS'!G91</f>
        <v>13669</v>
      </c>
      <c r="H89" s="9">
        <f>'BR OBS'!H91</f>
        <v>175362</v>
      </c>
      <c r="I89" s="9">
        <f>'BR OBS'!I91</f>
        <v>20138</v>
      </c>
      <c r="J89" s="9">
        <f>'BR OBS'!J91</f>
        <v>8125</v>
      </c>
      <c r="K89" s="9">
        <f>'BR OBS'!K91</f>
        <v>11167</v>
      </c>
      <c r="L89" s="9">
        <f>'BR OBS'!L91</f>
        <v>32468</v>
      </c>
      <c r="M89" s="9">
        <f>'BR OBS'!M91</f>
        <v>29265</v>
      </c>
      <c r="N89" s="9">
        <f>'BR OBS'!N91</f>
        <v>36320</v>
      </c>
      <c r="O89" s="9">
        <f>'BR OBS'!O91</f>
        <v>40031</v>
      </c>
      <c r="P89" s="9">
        <f>'BR OBS'!P91</f>
        <v>249461</v>
      </c>
      <c r="Q89" s="9">
        <f>'BR OBS'!Q91</f>
        <v>41183</v>
      </c>
      <c r="R89" s="9">
        <f>'BR OBS'!R91</f>
        <v>291313</v>
      </c>
      <c r="S89" s="9">
        <f>'BR OBS'!S91</f>
        <v>192844</v>
      </c>
      <c r="T89" s="9">
        <f>'BR OBS'!T91</f>
        <v>54671</v>
      </c>
      <c r="U89" s="9">
        <f>'BR OBS'!U91</f>
        <v>47999</v>
      </c>
      <c r="V89" s="9">
        <f>'BR OBS'!V91</f>
        <v>42341</v>
      </c>
      <c r="W89" s="9">
        <f>'BR OBS'!W91</f>
        <v>36409</v>
      </c>
      <c r="X89" s="9"/>
      <c r="Y89" s="9">
        <f>'BR SA'!B91</f>
        <v>19729</v>
      </c>
      <c r="Z89" s="9">
        <f>'BR SA'!C91</f>
        <v>54316</v>
      </c>
      <c r="AA89" s="9">
        <f>'BR SA'!D91</f>
        <v>2631</v>
      </c>
      <c r="AB89" s="9">
        <f>'BR SA'!E91</f>
        <v>29341</v>
      </c>
      <c r="AC89" s="9">
        <f>'BR SA'!F91</f>
        <v>6456</v>
      </c>
      <c r="AD89" s="9">
        <f>'BR SA'!G91</f>
        <v>13930</v>
      </c>
      <c r="AE89" s="9">
        <f>'BR SA'!H91</f>
        <v>176742</v>
      </c>
      <c r="AF89" s="9">
        <f>'BR SA'!I91</f>
        <v>20591</v>
      </c>
      <c r="AG89" s="9">
        <f>'BR SA'!J91</f>
        <v>8252</v>
      </c>
      <c r="AH89" s="9">
        <f>'BR SA'!K91</f>
        <v>11363</v>
      </c>
      <c r="AI89" s="9">
        <f>'BR SA'!L91</f>
        <v>32726</v>
      </c>
      <c r="AJ89" s="9">
        <f>'BR SA'!M91</f>
        <v>29313</v>
      </c>
      <c r="AK89" s="9">
        <f>'BR SA'!N91</f>
        <v>36574</v>
      </c>
      <c r="AL89" s="9">
        <f>'BR SA'!O91</f>
        <v>39793</v>
      </c>
      <c r="AM89" s="9">
        <f>'BR SA'!P91</f>
        <v>249571</v>
      </c>
      <c r="AN89" s="9">
        <f>'BR SA'!Q91</f>
        <v>292395</v>
      </c>
      <c r="AO89" s="9">
        <f>'BR SA'!R91</f>
        <v>196611</v>
      </c>
      <c r="AP89" s="9">
        <f>'BR SA'!S91</f>
        <v>54411</v>
      </c>
      <c r="AQ89" s="9">
        <f>'BR SA'!T91</f>
        <v>48923</v>
      </c>
      <c r="AR89" s="9">
        <f>'BR SA'!U91</f>
        <v>40700</v>
      </c>
      <c r="AS89" s="9">
        <f>'BR SA'!V91</f>
        <v>37921</v>
      </c>
      <c r="AU89" s="9">
        <v>19729</v>
      </c>
      <c r="AV89" s="9">
        <v>54317</v>
      </c>
      <c r="AW89" s="9">
        <v>2631</v>
      </c>
      <c r="AX89" s="9">
        <v>29341</v>
      </c>
      <c r="AY89" s="9">
        <v>6456</v>
      </c>
      <c r="AZ89" s="9">
        <v>13923</v>
      </c>
      <c r="BA89" s="9">
        <v>176742</v>
      </c>
      <c r="BB89" s="9">
        <v>20591</v>
      </c>
      <c r="BC89" s="9">
        <v>8253</v>
      </c>
      <c r="BD89" s="9">
        <v>11364</v>
      </c>
      <c r="BE89" s="9">
        <v>32726</v>
      </c>
      <c r="BF89" s="9">
        <v>29309</v>
      </c>
      <c r="BG89" s="9">
        <v>36581</v>
      </c>
      <c r="BH89" s="9">
        <v>39783</v>
      </c>
      <c r="BI89" s="9">
        <v>249570</v>
      </c>
      <c r="BJ89" s="9">
        <v>41973</v>
      </c>
      <c r="BK89" s="9">
        <v>292395</v>
      </c>
      <c r="BL89" s="9">
        <v>196612</v>
      </c>
      <c r="BM89" s="9">
        <v>54411</v>
      </c>
      <c r="BN89" s="9">
        <v>48923</v>
      </c>
      <c r="BO89" s="9">
        <v>40700</v>
      </c>
      <c r="BP89" s="9">
        <v>37921</v>
      </c>
      <c r="BQ89" s="4"/>
      <c r="BR89" s="5">
        <f t="shared" si="2"/>
        <v>0</v>
      </c>
      <c r="CB89">
        <v>292608</v>
      </c>
    </row>
    <row r="90" spans="1:80" x14ac:dyDescent="0.25">
      <c r="A90" s="8">
        <v>42917</v>
      </c>
      <c r="B90" s="9">
        <f>'BR OBS'!B92</f>
        <v>18374</v>
      </c>
      <c r="C90" s="9">
        <f>'BR OBS'!C92</f>
        <v>56881</v>
      </c>
      <c r="D90" s="9">
        <f>'BR OBS'!D92</f>
        <v>2701</v>
      </c>
      <c r="E90" s="9">
        <f>'BR OBS'!E92</f>
        <v>31899</v>
      </c>
      <c r="F90" s="9">
        <f>'BR OBS'!F92</f>
        <v>6376</v>
      </c>
      <c r="G90" s="9">
        <f>'BR OBS'!G92</f>
        <v>13942</v>
      </c>
      <c r="H90" s="9">
        <f>'BR OBS'!H92</f>
        <v>179269</v>
      </c>
      <c r="I90" s="9">
        <f>'BR OBS'!I92</f>
        <v>21563</v>
      </c>
      <c r="J90" s="9">
        <f>'BR OBS'!J92</f>
        <v>8561</v>
      </c>
      <c r="K90" s="9">
        <f>'BR OBS'!K92</f>
        <v>11296</v>
      </c>
      <c r="L90" s="9">
        <f>'BR OBS'!L92</f>
        <v>32326</v>
      </c>
      <c r="M90" s="9">
        <f>'BR OBS'!M92</f>
        <v>29533</v>
      </c>
      <c r="N90" s="9">
        <f>'BR OBS'!N92</f>
        <v>37008</v>
      </c>
      <c r="O90" s="9">
        <f>'BR OBS'!O92</f>
        <v>40164</v>
      </c>
      <c r="P90" s="9">
        <f>'BR OBS'!P92</f>
        <v>253505</v>
      </c>
      <c r="Q90" s="9">
        <f>'BR OBS'!Q92</f>
        <v>42862</v>
      </c>
      <c r="R90" s="9">
        <f>'BR OBS'!R92</f>
        <v>296992</v>
      </c>
      <c r="S90" s="9">
        <f>'BR OBS'!S92</f>
        <v>199077</v>
      </c>
      <c r="T90" s="9">
        <f>'BR OBS'!T92</f>
        <v>54625</v>
      </c>
      <c r="U90" s="9">
        <f>'BR OBS'!U92</f>
        <v>50890</v>
      </c>
      <c r="V90" s="9">
        <f>'BR OBS'!V92</f>
        <v>42842</v>
      </c>
      <c r="W90" s="9">
        <f>'BR OBS'!W92</f>
        <v>40066</v>
      </c>
      <c r="X90" s="9"/>
      <c r="Y90" s="9">
        <f>'BR SA'!B92</f>
        <v>19290</v>
      </c>
      <c r="Z90" s="9">
        <f>'BR SA'!C92</f>
        <v>54333</v>
      </c>
      <c r="AA90" s="9">
        <f>'BR SA'!D92</f>
        <v>2596</v>
      </c>
      <c r="AB90" s="9">
        <f>'BR SA'!E92</f>
        <v>29834</v>
      </c>
      <c r="AC90" s="9">
        <f>'BR SA'!F92</f>
        <v>6505</v>
      </c>
      <c r="AD90" s="9">
        <f>'BR SA'!G92</f>
        <v>13638</v>
      </c>
      <c r="AE90" s="9">
        <f>'BR SA'!H92</f>
        <v>177660</v>
      </c>
      <c r="AF90" s="9">
        <f>'BR SA'!I92</f>
        <v>20897</v>
      </c>
      <c r="AG90" s="9">
        <f>'BR SA'!J92</f>
        <v>8266</v>
      </c>
      <c r="AH90" s="9">
        <f>'BR SA'!K92</f>
        <v>11417</v>
      </c>
      <c r="AI90" s="9">
        <f>'BR SA'!L92</f>
        <v>32582</v>
      </c>
      <c r="AJ90" s="9">
        <f>'BR SA'!M92</f>
        <v>29560</v>
      </c>
      <c r="AK90" s="9">
        <f>'BR SA'!N92</f>
        <v>36805</v>
      </c>
      <c r="AL90" s="9">
        <f>'BR SA'!O92</f>
        <v>39980</v>
      </c>
      <c r="AM90" s="9">
        <f>'BR SA'!P92</f>
        <v>250148</v>
      </c>
      <c r="AN90" s="9">
        <f>'BR SA'!Q92</f>
        <v>293249</v>
      </c>
      <c r="AO90" s="9">
        <f>'BR SA'!R92</f>
        <v>198565</v>
      </c>
      <c r="AP90" s="9">
        <f>'BR SA'!S92</f>
        <v>54374</v>
      </c>
      <c r="AQ90" s="9">
        <f>'BR SA'!T92</f>
        <v>49060</v>
      </c>
      <c r="AR90" s="9">
        <f>'BR SA'!U92</f>
        <v>41682</v>
      </c>
      <c r="AS90" s="9">
        <f>'BR SA'!V92</f>
        <v>39172</v>
      </c>
      <c r="AU90" s="9">
        <v>19289</v>
      </c>
      <c r="AV90" s="9">
        <v>54333</v>
      </c>
      <c r="AW90" s="9">
        <v>2596</v>
      </c>
      <c r="AX90" s="9">
        <v>29834</v>
      </c>
      <c r="AY90" s="9">
        <v>6505</v>
      </c>
      <c r="AZ90" s="9">
        <v>13682</v>
      </c>
      <c r="BA90" s="9">
        <v>177659</v>
      </c>
      <c r="BB90" s="9">
        <v>20897</v>
      </c>
      <c r="BC90" s="9">
        <v>8266</v>
      </c>
      <c r="BD90" s="9">
        <v>11416</v>
      </c>
      <c r="BE90" s="9">
        <v>32582</v>
      </c>
      <c r="BF90" s="9">
        <v>29477</v>
      </c>
      <c r="BG90" s="9">
        <v>36775</v>
      </c>
      <c r="BH90" s="9">
        <v>39947</v>
      </c>
      <c r="BI90" s="9">
        <v>250148</v>
      </c>
      <c r="BJ90" s="9">
        <v>42543</v>
      </c>
      <c r="BK90" s="9">
        <v>293249</v>
      </c>
      <c r="BL90" s="9">
        <v>198564</v>
      </c>
      <c r="BM90" s="9">
        <v>54374</v>
      </c>
      <c r="BN90" s="9">
        <v>49060</v>
      </c>
      <c r="BO90" s="9">
        <v>41682</v>
      </c>
      <c r="BP90" s="9">
        <v>39171</v>
      </c>
      <c r="BQ90" s="4"/>
      <c r="BR90" s="5">
        <f t="shared" si="2"/>
        <v>-5.1840331778123379E-5</v>
      </c>
      <c r="CB90">
        <v>293305</v>
      </c>
    </row>
    <row r="91" spans="1:80" x14ac:dyDescent="0.25">
      <c r="A91" s="8">
        <v>43009</v>
      </c>
      <c r="B91" s="9">
        <f>'BR OBS'!B93</f>
        <v>13025</v>
      </c>
      <c r="C91" s="9">
        <f>'BR OBS'!C93</f>
        <v>55402</v>
      </c>
      <c r="D91" s="9">
        <f>'BR OBS'!D93</f>
        <v>2651</v>
      </c>
      <c r="E91" s="9">
        <f>'BR OBS'!E93</f>
        <v>30365</v>
      </c>
      <c r="F91" s="9">
        <f>'BR OBS'!F93</f>
        <v>6513</v>
      </c>
      <c r="G91" s="9">
        <f>'BR OBS'!G93</f>
        <v>14096</v>
      </c>
      <c r="H91" s="9">
        <f>'BR OBS'!H93</f>
        <v>181280</v>
      </c>
      <c r="I91" s="9">
        <f>'BR OBS'!I93</f>
        <v>21725</v>
      </c>
      <c r="J91" s="9">
        <f>'BR OBS'!J93</f>
        <v>8423</v>
      </c>
      <c r="K91" s="9">
        <f>'BR OBS'!K93</f>
        <v>12058</v>
      </c>
      <c r="L91" s="9">
        <f>'BR OBS'!L93</f>
        <v>33856</v>
      </c>
      <c r="M91" s="9">
        <f>'BR OBS'!M93</f>
        <v>29873</v>
      </c>
      <c r="N91" s="9">
        <f>'BR OBS'!N93</f>
        <v>37599</v>
      </c>
      <c r="O91" s="9">
        <f>'BR OBS'!O93</f>
        <v>39758</v>
      </c>
      <c r="P91" s="9">
        <f>'BR OBS'!P93</f>
        <v>249839</v>
      </c>
      <c r="Q91" s="9">
        <f>'BR OBS'!Q93</f>
        <v>43591</v>
      </c>
      <c r="R91" s="9">
        <f>'BR OBS'!R93</f>
        <v>293973</v>
      </c>
      <c r="S91" s="9">
        <f>'BR OBS'!S93</f>
        <v>206379</v>
      </c>
      <c r="T91" s="9">
        <f>'BR OBS'!T93</f>
        <v>56280</v>
      </c>
      <c r="U91" s="9">
        <f>'BR OBS'!U93</f>
        <v>50995</v>
      </c>
      <c r="V91" s="9">
        <f>'BR OBS'!V93</f>
        <v>38896</v>
      </c>
      <c r="W91" s="9">
        <f>'BR OBS'!W93</f>
        <v>40739</v>
      </c>
      <c r="X91" s="9"/>
      <c r="Y91" s="9">
        <f>'BR SA'!B93</f>
        <v>19365</v>
      </c>
      <c r="Z91" s="9">
        <f>'BR SA'!C93</f>
        <v>54926</v>
      </c>
      <c r="AA91" s="9">
        <f>'BR SA'!D93</f>
        <v>2594</v>
      </c>
      <c r="AB91" s="9">
        <f>'BR SA'!E93</f>
        <v>30272</v>
      </c>
      <c r="AC91" s="9">
        <f>'BR SA'!F93</f>
        <v>6499</v>
      </c>
      <c r="AD91" s="9">
        <f>'BR SA'!G93</f>
        <v>13860</v>
      </c>
      <c r="AE91" s="9">
        <f>'BR SA'!H93</f>
        <v>178122</v>
      </c>
      <c r="AF91" s="9">
        <f>'BR SA'!I93</f>
        <v>21059</v>
      </c>
      <c r="AG91" s="9">
        <f>'BR SA'!J93</f>
        <v>8318</v>
      </c>
      <c r="AH91" s="9">
        <f>'BR SA'!K93</f>
        <v>11467</v>
      </c>
      <c r="AI91" s="9">
        <f>'BR SA'!L93</f>
        <v>32923</v>
      </c>
      <c r="AJ91" s="9">
        <f>'BR SA'!M93</f>
        <v>29724</v>
      </c>
      <c r="AK91" s="9">
        <f>'BR SA'!N93</f>
        <v>36592</v>
      </c>
      <c r="AL91" s="9">
        <f>'BR SA'!O93</f>
        <v>39897</v>
      </c>
      <c r="AM91" s="9">
        <f>'BR SA'!P93</f>
        <v>251288</v>
      </c>
      <c r="AN91" s="9">
        <f>'BR SA'!Q93</f>
        <v>294543</v>
      </c>
      <c r="AO91" s="9">
        <f>'BR SA'!R93</f>
        <v>198835</v>
      </c>
      <c r="AP91" s="9">
        <f>'BR SA'!S93</f>
        <v>54880</v>
      </c>
      <c r="AQ91" s="9">
        <f>'BR SA'!T93</f>
        <v>50771</v>
      </c>
      <c r="AR91" s="9">
        <f>'BR SA'!U93</f>
        <v>40413</v>
      </c>
      <c r="AS91" s="9">
        <f>'BR SA'!V93</f>
        <v>40479</v>
      </c>
      <c r="AU91" s="9">
        <v>19365</v>
      </c>
      <c r="AV91" s="9">
        <v>54926</v>
      </c>
      <c r="AW91" s="9">
        <v>2594</v>
      </c>
      <c r="AX91" s="9">
        <v>30272</v>
      </c>
      <c r="AY91" s="9">
        <v>6499</v>
      </c>
      <c r="AZ91" s="9">
        <v>13928</v>
      </c>
      <c r="BA91" s="9">
        <v>178123</v>
      </c>
      <c r="BB91" s="9">
        <v>21059</v>
      </c>
      <c r="BC91" s="9">
        <v>8318</v>
      </c>
      <c r="BD91" s="9">
        <v>11466</v>
      </c>
      <c r="BE91" s="9">
        <v>32923</v>
      </c>
      <c r="BF91" s="9">
        <v>29665</v>
      </c>
      <c r="BG91" s="9">
        <v>36657</v>
      </c>
      <c r="BH91" s="9">
        <v>39873</v>
      </c>
      <c r="BI91" s="9">
        <v>251288</v>
      </c>
      <c r="BJ91" s="9">
        <v>42667</v>
      </c>
      <c r="BK91" s="9">
        <v>294543</v>
      </c>
      <c r="BL91" s="9">
        <v>198835</v>
      </c>
      <c r="BM91" s="9">
        <v>54880</v>
      </c>
      <c r="BN91" s="9">
        <v>50771</v>
      </c>
      <c r="BO91" s="9">
        <v>40413</v>
      </c>
      <c r="BP91" s="9">
        <v>40479</v>
      </c>
      <c r="BQ91" s="4"/>
      <c r="BR91" s="5">
        <f t="shared" si="2"/>
        <v>0</v>
      </c>
      <c r="CB91">
        <v>294537</v>
      </c>
    </row>
    <row r="92" spans="1:80" x14ac:dyDescent="0.25">
      <c r="A92" s="8">
        <v>43101</v>
      </c>
      <c r="B92" s="9">
        <f>'BR OBS'!B94</f>
        <v>24443</v>
      </c>
      <c r="C92" s="9">
        <f>'BR OBS'!C94</f>
        <v>52528</v>
      </c>
      <c r="D92" s="9">
        <f>'BR OBS'!D94</f>
        <v>2469</v>
      </c>
      <c r="E92" s="9">
        <f>'BR OBS'!E94</f>
        <v>28351</v>
      </c>
      <c r="F92" s="9">
        <f>'BR OBS'!F94</f>
        <v>6764</v>
      </c>
      <c r="G92" s="9">
        <f>'BR OBS'!G94</f>
        <v>13248</v>
      </c>
      <c r="H92" s="9">
        <f>'BR OBS'!H94</f>
        <v>175308</v>
      </c>
      <c r="I92" s="9">
        <f>'BR OBS'!I94</f>
        <v>20368</v>
      </c>
      <c r="J92" s="9">
        <f>'BR OBS'!J94</f>
        <v>8081</v>
      </c>
      <c r="K92" s="9">
        <f>'BR OBS'!K94</f>
        <v>11152</v>
      </c>
      <c r="L92" s="9">
        <f>'BR OBS'!L94</f>
        <v>32395</v>
      </c>
      <c r="M92" s="9">
        <f>'BR OBS'!M94</f>
        <v>29787</v>
      </c>
      <c r="N92" s="9">
        <f>'BR OBS'!N94</f>
        <v>36214</v>
      </c>
      <c r="O92" s="9">
        <f>'BR OBS'!O94</f>
        <v>39464</v>
      </c>
      <c r="P92" s="9">
        <f>'BR OBS'!P94</f>
        <v>249508</v>
      </c>
      <c r="Q92" s="9">
        <f>'BR OBS'!Q94</f>
        <v>41740</v>
      </c>
      <c r="R92" s="9">
        <f>'BR OBS'!R94</f>
        <v>291882</v>
      </c>
      <c r="S92" s="9">
        <f>'BR OBS'!S94</f>
        <v>196324</v>
      </c>
      <c r="T92" s="9">
        <f>'BR OBS'!T94</f>
        <v>52911</v>
      </c>
      <c r="U92" s="9">
        <f>'BR OBS'!U94</f>
        <v>49273</v>
      </c>
      <c r="V92" s="9">
        <f>'BR OBS'!V94</f>
        <v>39328</v>
      </c>
      <c r="W92" s="9">
        <f>'BR OBS'!W94</f>
        <v>40245</v>
      </c>
      <c r="X92" s="9"/>
      <c r="Y92" s="9">
        <f>'BR SA'!B94</f>
        <v>19693</v>
      </c>
      <c r="Z92" s="9">
        <f>'BR SA'!C94</f>
        <v>55185</v>
      </c>
      <c r="AA92" s="9">
        <f>'BR SA'!D94</f>
        <v>2635</v>
      </c>
      <c r="AB92" s="9">
        <f>'BR SA'!E94</f>
        <v>30209</v>
      </c>
      <c r="AC92" s="9">
        <f>'BR SA'!F94</f>
        <v>6654</v>
      </c>
      <c r="AD92" s="9">
        <f>'BR SA'!G94</f>
        <v>13528</v>
      </c>
      <c r="AE92" s="9">
        <f>'BR SA'!H94</f>
        <v>179791</v>
      </c>
      <c r="AF92" s="9">
        <f>'BR SA'!I94</f>
        <v>21224</v>
      </c>
      <c r="AG92" s="9">
        <f>'BR SA'!J94</f>
        <v>8382</v>
      </c>
      <c r="AH92" s="9">
        <f>'BR SA'!K94</f>
        <v>11455</v>
      </c>
      <c r="AI92" s="9">
        <f>'BR SA'!L94</f>
        <v>32801</v>
      </c>
      <c r="AJ92" s="9">
        <f>'BR SA'!M94</f>
        <v>29882</v>
      </c>
      <c r="AK92" s="9">
        <f>'BR SA'!N94</f>
        <v>37368</v>
      </c>
      <c r="AL92" s="9">
        <f>'BR SA'!O94</f>
        <v>39914</v>
      </c>
      <c r="AM92" s="9">
        <f>'BR SA'!P94</f>
        <v>252544</v>
      </c>
      <c r="AN92" s="9">
        <f>'BR SA'!Q94</f>
        <v>296094</v>
      </c>
      <c r="AO92" s="9">
        <f>'BR SA'!R94</f>
        <v>201048</v>
      </c>
      <c r="AP92" s="9">
        <f>'BR SA'!S94</f>
        <v>54846</v>
      </c>
      <c r="AQ92" s="9">
        <f>'BR SA'!T94</f>
        <v>50647</v>
      </c>
      <c r="AR92" s="9">
        <f>'BR SA'!U94</f>
        <v>41267</v>
      </c>
      <c r="AS92" s="9">
        <f>'BR SA'!V94</f>
        <v>40301</v>
      </c>
      <c r="AU92" s="9">
        <v>19693</v>
      </c>
      <c r="AV92" s="9">
        <v>55184</v>
      </c>
      <c r="AW92" s="9">
        <v>2635</v>
      </c>
      <c r="AX92" s="9">
        <v>30209</v>
      </c>
      <c r="AY92" s="9">
        <v>6654</v>
      </c>
      <c r="AZ92" s="9">
        <v>13518</v>
      </c>
      <c r="BA92" s="9">
        <v>179792</v>
      </c>
      <c r="BB92" s="9">
        <v>21224</v>
      </c>
      <c r="BC92" s="9">
        <v>8383</v>
      </c>
      <c r="BD92" s="9">
        <v>11455</v>
      </c>
      <c r="BE92" s="9">
        <v>32801</v>
      </c>
      <c r="BF92" s="9">
        <v>29936</v>
      </c>
      <c r="BG92" s="9">
        <v>37367</v>
      </c>
      <c r="BH92" s="9">
        <v>39925</v>
      </c>
      <c r="BI92" s="9">
        <v>252545</v>
      </c>
      <c r="BJ92" s="9">
        <v>42888</v>
      </c>
      <c r="BK92" s="9">
        <v>296094</v>
      </c>
      <c r="BL92" s="9">
        <v>201048</v>
      </c>
      <c r="BM92" s="9">
        <v>54847</v>
      </c>
      <c r="BN92" s="9">
        <v>50646</v>
      </c>
      <c r="BO92" s="9">
        <v>41267</v>
      </c>
      <c r="BP92" s="9">
        <v>40301</v>
      </c>
      <c r="BQ92" s="4"/>
      <c r="BR92" s="5">
        <f t="shared" si="2"/>
        <v>0</v>
      </c>
      <c r="CB92">
        <v>295795</v>
      </c>
    </row>
    <row r="93" spans="1:80" x14ac:dyDescent="0.25">
      <c r="A93" s="8">
        <v>43191</v>
      </c>
      <c r="B93" s="9">
        <f>'BR OBS'!B95</f>
        <v>22572</v>
      </c>
      <c r="C93" s="9">
        <f>'BR OBS'!C95</f>
        <v>54083</v>
      </c>
      <c r="D93" s="9">
        <f>'BR OBS'!D95</f>
        <v>2620</v>
      </c>
      <c r="E93" s="9">
        <f>'BR OBS'!E95</f>
        <v>29616</v>
      </c>
      <c r="F93" s="9">
        <f>'BR OBS'!F95</f>
        <v>6720</v>
      </c>
      <c r="G93" s="9">
        <f>'BR OBS'!G95</f>
        <v>13241</v>
      </c>
      <c r="H93" s="9">
        <f>'BR OBS'!H95</f>
        <v>178839</v>
      </c>
      <c r="I93" s="9">
        <f>'BR OBS'!I95</f>
        <v>20633</v>
      </c>
      <c r="J93" s="9">
        <f>'BR OBS'!J95</f>
        <v>8229</v>
      </c>
      <c r="K93" s="9">
        <f>'BR OBS'!K95</f>
        <v>11438</v>
      </c>
      <c r="L93" s="9">
        <f>'BR OBS'!L95</f>
        <v>32916</v>
      </c>
      <c r="M93" s="9">
        <f>'BR OBS'!M95</f>
        <v>30236</v>
      </c>
      <c r="N93" s="9">
        <f>'BR OBS'!N95</f>
        <v>37404</v>
      </c>
      <c r="O93" s="9">
        <f>'BR OBS'!O95</f>
        <v>40127</v>
      </c>
      <c r="P93" s="9">
        <f>'BR OBS'!P95</f>
        <v>253418</v>
      </c>
      <c r="Q93" s="9">
        <f>'BR OBS'!Q95</f>
        <v>41858</v>
      </c>
      <c r="R93" s="9">
        <f>'BR OBS'!R95</f>
        <v>295940</v>
      </c>
      <c r="S93" s="9">
        <f>'BR OBS'!S95</f>
        <v>196917</v>
      </c>
      <c r="T93" s="9">
        <f>'BR OBS'!T95</f>
        <v>55338</v>
      </c>
      <c r="U93" s="9">
        <f>'BR OBS'!U95</f>
        <v>49900</v>
      </c>
      <c r="V93" s="9">
        <f>'BR OBS'!V95</f>
        <v>41298</v>
      </c>
      <c r="W93" s="9">
        <f>'BR OBS'!W95</f>
        <v>38465</v>
      </c>
      <c r="X93" s="9"/>
      <c r="Y93" s="9">
        <f>'BR SA'!B95</f>
        <v>19843</v>
      </c>
      <c r="Z93" s="9">
        <f>'BR SA'!C95</f>
        <v>54447</v>
      </c>
      <c r="AA93" s="9">
        <f>'BR SA'!D95</f>
        <v>2620</v>
      </c>
      <c r="AB93" s="9">
        <f>'BR SA'!E95</f>
        <v>29889</v>
      </c>
      <c r="AC93" s="9">
        <f>'BR SA'!F95</f>
        <v>6696</v>
      </c>
      <c r="AD93" s="9">
        <f>'BR SA'!G95</f>
        <v>13535</v>
      </c>
      <c r="AE93" s="9">
        <f>'BR SA'!H95</f>
        <v>179916</v>
      </c>
      <c r="AF93" s="9">
        <f>'BR SA'!I95</f>
        <v>21154</v>
      </c>
      <c r="AG93" s="9">
        <f>'BR SA'!J95</f>
        <v>8322</v>
      </c>
      <c r="AH93" s="9">
        <f>'BR SA'!K95</f>
        <v>11644</v>
      </c>
      <c r="AI93" s="9">
        <f>'BR SA'!L95</f>
        <v>33260</v>
      </c>
      <c r="AJ93" s="9">
        <f>'BR SA'!M95</f>
        <v>30268</v>
      </c>
      <c r="AK93" s="9">
        <f>'BR SA'!N95</f>
        <v>37718</v>
      </c>
      <c r="AL93" s="9">
        <f>'BR SA'!O95</f>
        <v>39900</v>
      </c>
      <c r="AM93" s="9">
        <f>'BR SA'!P95</f>
        <v>253614</v>
      </c>
      <c r="AN93" s="9">
        <f>'BR SA'!Q95</f>
        <v>296677</v>
      </c>
      <c r="AO93" s="9">
        <f>'BR SA'!R95</f>
        <v>201092</v>
      </c>
      <c r="AP93" s="9">
        <f>'BR SA'!S95</f>
        <v>55028</v>
      </c>
      <c r="AQ93" s="9">
        <f>'BR SA'!T95</f>
        <v>50672</v>
      </c>
      <c r="AR93" s="9">
        <f>'BR SA'!U95</f>
        <v>40013</v>
      </c>
      <c r="AS93" s="9">
        <f>'BR SA'!V95</f>
        <v>40351</v>
      </c>
      <c r="AU93" s="9">
        <v>19842</v>
      </c>
      <c r="AV93" s="9">
        <v>54447</v>
      </c>
      <c r="AW93" s="9">
        <v>2620</v>
      </c>
      <c r="AX93" s="9">
        <v>29889</v>
      </c>
      <c r="AY93" s="9">
        <v>6695</v>
      </c>
      <c r="AZ93" s="9">
        <v>13534</v>
      </c>
      <c r="BA93" s="9">
        <v>179917</v>
      </c>
      <c r="BB93" s="9">
        <v>21154</v>
      </c>
      <c r="BC93" s="9">
        <v>8323</v>
      </c>
      <c r="BD93" s="9">
        <v>11643</v>
      </c>
      <c r="BE93" s="9">
        <v>33259</v>
      </c>
      <c r="BF93" s="9">
        <v>30267</v>
      </c>
      <c r="BG93" s="9">
        <v>37727</v>
      </c>
      <c r="BH93" s="9">
        <v>39909</v>
      </c>
      <c r="BI93" s="9">
        <v>253613</v>
      </c>
      <c r="BJ93" s="9">
        <v>42429</v>
      </c>
      <c r="BK93" s="9">
        <v>296677</v>
      </c>
      <c r="BL93" s="9">
        <v>201092</v>
      </c>
      <c r="BM93" s="9">
        <v>55028</v>
      </c>
      <c r="BN93" s="9">
        <v>50672</v>
      </c>
      <c r="BO93" s="9">
        <v>40013</v>
      </c>
      <c r="BP93" s="9">
        <v>40351</v>
      </c>
      <c r="BQ93" s="4"/>
      <c r="BR93" s="5">
        <f t="shared" si="2"/>
        <v>-5.0395605503200118E-5</v>
      </c>
      <c r="CB93">
        <v>296912</v>
      </c>
    </row>
    <row r="94" spans="1:80" x14ac:dyDescent="0.25">
      <c r="A94" s="8">
        <v>43282</v>
      </c>
      <c r="B94" s="9">
        <f>'BR OBS'!B96</f>
        <v>19261</v>
      </c>
      <c r="C94" s="9">
        <f>'BR OBS'!C96</f>
        <v>57456</v>
      </c>
      <c r="D94" s="9">
        <f>'BR OBS'!D96</f>
        <v>2703</v>
      </c>
      <c r="E94" s="9">
        <f>'BR OBS'!E96</f>
        <v>32385</v>
      </c>
      <c r="F94" s="9">
        <f>'BR OBS'!F96</f>
        <v>6527</v>
      </c>
      <c r="G94" s="9">
        <f>'BR OBS'!G96</f>
        <v>13814</v>
      </c>
      <c r="H94" s="9">
        <f>'BR OBS'!H96</f>
        <v>182991</v>
      </c>
      <c r="I94" s="9">
        <f>'BR OBS'!I96</f>
        <v>21959</v>
      </c>
      <c r="J94" s="9">
        <f>'BR OBS'!J96</f>
        <v>8804</v>
      </c>
      <c r="K94" s="9">
        <f>'BR OBS'!K96</f>
        <v>11567</v>
      </c>
      <c r="L94" s="9">
        <f>'BR OBS'!L96</f>
        <v>32957</v>
      </c>
      <c r="M94" s="9">
        <f>'BR OBS'!M96</f>
        <v>30573</v>
      </c>
      <c r="N94" s="9">
        <f>'BR OBS'!N96</f>
        <v>38313</v>
      </c>
      <c r="O94" s="9">
        <f>'BR OBS'!O96</f>
        <v>40088</v>
      </c>
      <c r="P94" s="9">
        <f>'BR OBS'!P96</f>
        <v>258762</v>
      </c>
      <c r="Q94" s="9">
        <f>'BR OBS'!Q96</f>
        <v>43702</v>
      </c>
      <c r="R94" s="9">
        <f>'BR OBS'!R96</f>
        <v>303107</v>
      </c>
      <c r="S94" s="9">
        <f>'BR OBS'!S96</f>
        <v>202956</v>
      </c>
      <c r="T94" s="9">
        <f>'BR OBS'!T96</f>
        <v>55493</v>
      </c>
      <c r="U94" s="9">
        <f>'BR OBS'!U96</f>
        <v>55581</v>
      </c>
      <c r="V94" s="9">
        <f>'BR OBS'!V96</f>
        <v>43902</v>
      </c>
      <c r="W94" s="9">
        <f>'BR OBS'!W96</f>
        <v>45342</v>
      </c>
      <c r="X94" s="9"/>
      <c r="Y94" s="9">
        <f>'BR SA'!B96</f>
        <v>20307</v>
      </c>
      <c r="Z94" s="9">
        <f>'BR SA'!C96</f>
        <v>54912</v>
      </c>
      <c r="AA94" s="9">
        <f>'BR SA'!D96</f>
        <v>2590</v>
      </c>
      <c r="AB94" s="9">
        <f>'BR SA'!E96</f>
        <v>30397</v>
      </c>
      <c r="AC94" s="9">
        <f>'BR SA'!F96</f>
        <v>6671</v>
      </c>
      <c r="AD94" s="9">
        <f>'BR SA'!G96</f>
        <v>13462</v>
      </c>
      <c r="AE94" s="9">
        <f>'BR SA'!H96</f>
        <v>181331</v>
      </c>
      <c r="AF94" s="9">
        <f>'BR SA'!I96</f>
        <v>21240</v>
      </c>
      <c r="AG94" s="9">
        <f>'BR SA'!J96</f>
        <v>8534</v>
      </c>
      <c r="AH94" s="9">
        <f>'BR SA'!K96</f>
        <v>11705</v>
      </c>
      <c r="AI94" s="9">
        <f>'BR SA'!L96</f>
        <v>33129</v>
      </c>
      <c r="AJ94" s="9">
        <f>'BR SA'!M96</f>
        <v>30569</v>
      </c>
      <c r="AK94" s="9">
        <f>'BR SA'!N96</f>
        <v>38068</v>
      </c>
      <c r="AL94" s="9">
        <f>'BR SA'!O96</f>
        <v>39946</v>
      </c>
      <c r="AM94" s="9">
        <f>'BR SA'!P96</f>
        <v>255312</v>
      </c>
      <c r="AN94" s="9">
        <f>'BR SA'!Q96</f>
        <v>299225</v>
      </c>
      <c r="AO94" s="9">
        <f>'BR SA'!R96</f>
        <v>202340</v>
      </c>
      <c r="AP94" s="9">
        <f>'BR SA'!S96</f>
        <v>55294</v>
      </c>
      <c r="AQ94" s="9">
        <f>'BR SA'!T96</f>
        <v>53563</v>
      </c>
      <c r="AR94" s="9">
        <f>'BR SA'!U96</f>
        <v>42768</v>
      </c>
      <c r="AS94" s="9">
        <f>'BR SA'!V96</f>
        <v>44538</v>
      </c>
      <c r="AU94" s="9">
        <v>20307</v>
      </c>
      <c r="AV94" s="9">
        <v>54912</v>
      </c>
      <c r="AW94" s="9">
        <v>2590</v>
      </c>
      <c r="AX94" s="9">
        <v>30397</v>
      </c>
      <c r="AY94" s="9">
        <v>6671</v>
      </c>
      <c r="AZ94" s="9">
        <v>13504</v>
      </c>
      <c r="BA94" s="9">
        <v>181330</v>
      </c>
      <c r="BB94" s="9">
        <v>21240</v>
      </c>
      <c r="BC94" s="9">
        <v>8534</v>
      </c>
      <c r="BD94" s="9">
        <v>11705</v>
      </c>
      <c r="BE94" s="9">
        <v>33129</v>
      </c>
      <c r="BF94" s="9">
        <v>30488</v>
      </c>
      <c r="BG94" s="9">
        <v>38040</v>
      </c>
      <c r="BH94" s="9">
        <v>39914</v>
      </c>
      <c r="BI94" s="9">
        <v>255312</v>
      </c>
      <c r="BJ94" s="9">
        <v>43345</v>
      </c>
      <c r="BK94" s="9">
        <v>299224</v>
      </c>
      <c r="BL94" s="9">
        <v>202340</v>
      </c>
      <c r="BM94" s="9">
        <v>55294</v>
      </c>
      <c r="BN94" s="9">
        <v>53563</v>
      </c>
      <c r="BO94" s="9">
        <v>42768</v>
      </c>
      <c r="BP94" s="9">
        <v>44538</v>
      </c>
      <c r="BQ94" s="4"/>
      <c r="BR94" s="5">
        <f t="shared" si="2"/>
        <v>0</v>
      </c>
      <c r="CB94">
        <v>299338</v>
      </c>
    </row>
    <row r="95" spans="1:80" x14ac:dyDescent="0.25">
      <c r="A95" s="8">
        <v>43374</v>
      </c>
      <c r="B95" s="9">
        <f>'BR OBS'!B97</f>
        <v>13677</v>
      </c>
      <c r="C95" s="9">
        <f>'BR OBS'!C97</f>
        <v>55076</v>
      </c>
      <c r="D95" s="9">
        <f>'BR OBS'!D97</f>
        <v>2678</v>
      </c>
      <c r="E95" s="9">
        <f>'BR OBS'!E97</f>
        <v>29857</v>
      </c>
      <c r="F95" s="9">
        <f>'BR OBS'!F97</f>
        <v>6926</v>
      </c>
      <c r="G95" s="9">
        <f>'BR OBS'!G97</f>
        <v>13763</v>
      </c>
      <c r="H95" s="9">
        <f>'BR OBS'!H97</f>
        <v>184264</v>
      </c>
      <c r="I95" s="9">
        <f>'BR OBS'!I97</f>
        <v>21859</v>
      </c>
      <c r="J95" s="9">
        <f>'BR OBS'!J97</f>
        <v>8550</v>
      </c>
      <c r="K95" s="9">
        <f>'BR OBS'!K97</f>
        <v>12405</v>
      </c>
      <c r="L95" s="9">
        <f>'BR OBS'!L97</f>
        <v>33777</v>
      </c>
      <c r="M95" s="9">
        <f>'BR OBS'!M97</f>
        <v>30909</v>
      </c>
      <c r="N95" s="9">
        <f>'BR OBS'!N97</f>
        <v>39138</v>
      </c>
      <c r="O95" s="9">
        <f>'BR OBS'!O97</f>
        <v>39585</v>
      </c>
      <c r="P95" s="9">
        <f>'BR OBS'!P97</f>
        <v>254006</v>
      </c>
      <c r="Q95" s="9">
        <f>'BR OBS'!Q97</f>
        <v>44126</v>
      </c>
      <c r="R95" s="9">
        <f>'BR OBS'!R97</f>
        <v>298720</v>
      </c>
      <c r="S95" s="9">
        <f>'BR OBS'!S97</f>
        <v>210185</v>
      </c>
      <c r="T95" s="9">
        <f>'BR OBS'!T97</f>
        <v>55950</v>
      </c>
      <c r="U95" s="9">
        <f>'BR OBS'!U97</f>
        <v>53136</v>
      </c>
      <c r="V95" s="9">
        <f>'BR OBS'!V97</f>
        <v>43536</v>
      </c>
      <c r="W95" s="9">
        <f>'BR OBS'!W97</f>
        <v>42614</v>
      </c>
      <c r="X95" s="9"/>
      <c r="Y95" s="9">
        <f>'BR SA'!B97</f>
        <v>20516</v>
      </c>
      <c r="Z95" s="9">
        <f>'BR SA'!C97</f>
        <v>54572</v>
      </c>
      <c r="AA95" s="9">
        <f>'BR SA'!D97</f>
        <v>2622</v>
      </c>
      <c r="AB95" s="9">
        <f>'BR SA'!E97</f>
        <v>29705</v>
      </c>
      <c r="AC95" s="9">
        <f>'BR SA'!F97</f>
        <v>6928</v>
      </c>
      <c r="AD95" s="9">
        <f>'BR SA'!G97</f>
        <v>13507</v>
      </c>
      <c r="AE95" s="9">
        <f>'BR SA'!H97</f>
        <v>180636</v>
      </c>
      <c r="AF95" s="9">
        <f>'BR SA'!I97</f>
        <v>21205</v>
      </c>
      <c r="AG95" s="9">
        <f>'BR SA'!J97</f>
        <v>8428</v>
      </c>
      <c r="AH95" s="9">
        <f>'BR SA'!K97</f>
        <v>11759</v>
      </c>
      <c r="AI95" s="9">
        <f>'BR SA'!L97</f>
        <v>32822</v>
      </c>
      <c r="AJ95" s="9">
        <f>'BR SA'!M97</f>
        <v>30792</v>
      </c>
      <c r="AK95" s="9">
        <f>'BR SA'!N97</f>
        <v>37899</v>
      </c>
      <c r="AL95" s="9">
        <f>'BR SA'!O97</f>
        <v>39570</v>
      </c>
      <c r="AM95" s="9">
        <f>'BR SA'!P97</f>
        <v>254669</v>
      </c>
      <c r="AN95" s="9">
        <f>'BR SA'!Q97</f>
        <v>298090</v>
      </c>
      <c r="AO95" s="9">
        <f>'BR SA'!R97</f>
        <v>202211</v>
      </c>
      <c r="AP95" s="9">
        <f>'BR SA'!S97</f>
        <v>54495</v>
      </c>
      <c r="AQ95" s="9">
        <f>'BR SA'!T97</f>
        <v>52926</v>
      </c>
      <c r="AR95" s="9">
        <f>'BR SA'!U97</f>
        <v>43653</v>
      </c>
      <c r="AS95" s="9">
        <f>'BR SA'!V97</f>
        <v>41421</v>
      </c>
      <c r="AU95" s="9">
        <v>20516</v>
      </c>
      <c r="AV95" s="9">
        <v>54571</v>
      </c>
      <c r="AW95" s="9">
        <v>2622</v>
      </c>
      <c r="AX95" s="9">
        <v>29704</v>
      </c>
      <c r="AY95" s="9">
        <v>6928</v>
      </c>
      <c r="AZ95" s="9">
        <v>13494</v>
      </c>
      <c r="BA95" s="9">
        <v>180636</v>
      </c>
      <c r="BB95" s="9">
        <v>21205</v>
      </c>
      <c r="BC95" s="9">
        <v>8428</v>
      </c>
      <c r="BD95" s="9">
        <v>11759</v>
      </c>
      <c r="BE95" s="9">
        <v>32822</v>
      </c>
      <c r="BF95" s="9">
        <v>30848</v>
      </c>
      <c r="BG95" s="9">
        <v>37888</v>
      </c>
      <c r="BH95" s="9">
        <v>39594</v>
      </c>
      <c r="BI95" s="9">
        <v>254669</v>
      </c>
      <c r="BJ95" s="9">
        <v>42738</v>
      </c>
      <c r="BK95" s="9">
        <v>298091</v>
      </c>
      <c r="BL95" s="9">
        <v>202211</v>
      </c>
      <c r="BM95" s="9">
        <v>54496</v>
      </c>
      <c r="BN95" s="9">
        <v>52926</v>
      </c>
      <c r="BO95" s="9">
        <v>43653</v>
      </c>
      <c r="BP95" s="9">
        <v>41421</v>
      </c>
      <c r="BQ95" s="4"/>
      <c r="BR95" s="5">
        <f t="shared" si="2"/>
        <v>0</v>
      </c>
      <c r="CB95">
        <v>297999</v>
      </c>
    </row>
    <row r="96" spans="1:80" x14ac:dyDescent="0.25">
      <c r="A96" s="8">
        <v>43466</v>
      </c>
      <c r="B96" s="9">
        <f>'BR OBS'!B98</f>
        <v>24620</v>
      </c>
      <c r="C96" s="9">
        <f>'BR OBS'!C98</f>
        <v>51742</v>
      </c>
      <c r="D96" s="9">
        <f>'BR OBS'!D98</f>
        <v>2226</v>
      </c>
      <c r="E96" s="9">
        <f>'BR OBS'!E98</f>
        <v>27961</v>
      </c>
      <c r="F96" s="9">
        <f>'BR OBS'!F98</f>
        <v>7106</v>
      </c>
      <c r="G96" s="9">
        <f>'BR OBS'!G98</f>
        <v>13126</v>
      </c>
      <c r="H96" s="9">
        <f>'BR OBS'!H98</f>
        <v>178435</v>
      </c>
      <c r="I96" s="9">
        <f>'BR OBS'!I98</f>
        <v>20491</v>
      </c>
      <c r="J96" s="9">
        <f>'BR OBS'!J98</f>
        <v>8151</v>
      </c>
      <c r="K96" s="9">
        <f>'BR OBS'!K98</f>
        <v>11685</v>
      </c>
      <c r="L96" s="9">
        <f>'BR OBS'!L98</f>
        <v>32748</v>
      </c>
      <c r="M96" s="9">
        <f>'BR OBS'!M98</f>
        <v>30719</v>
      </c>
      <c r="N96" s="9">
        <f>'BR OBS'!N98</f>
        <v>37624</v>
      </c>
      <c r="O96" s="9">
        <f>'BR OBS'!O98</f>
        <v>39362</v>
      </c>
      <c r="P96" s="9">
        <f>'BR OBS'!P98</f>
        <v>251903</v>
      </c>
      <c r="Q96" s="9">
        <f>'BR OBS'!Q98</f>
        <v>42398</v>
      </c>
      <c r="R96" s="9">
        <f>'BR OBS'!R98</f>
        <v>294930</v>
      </c>
      <c r="S96" s="9">
        <f>'BR OBS'!S98</f>
        <v>201195</v>
      </c>
      <c r="T96" s="9">
        <f>'BR OBS'!T98</f>
        <v>52774</v>
      </c>
      <c r="U96" s="9">
        <f>'BR OBS'!U98</f>
        <v>50705</v>
      </c>
      <c r="V96" s="9">
        <f>'BR OBS'!V98</f>
        <v>38480</v>
      </c>
      <c r="W96" s="9">
        <f>'BR OBS'!W98</f>
        <v>39157</v>
      </c>
      <c r="X96" s="9"/>
      <c r="Y96" s="9">
        <f>'BR SA'!B98</f>
        <v>19669</v>
      </c>
      <c r="Z96" s="9">
        <f>'BR SA'!C98</f>
        <v>54001</v>
      </c>
      <c r="AA96" s="9">
        <f>'BR SA'!D98</f>
        <v>2349</v>
      </c>
      <c r="AB96" s="9">
        <f>'BR SA'!E98</f>
        <v>29804</v>
      </c>
      <c r="AC96" s="9">
        <f>'BR SA'!F98</f>
        <v>6997</v>
      </c>
      <c r="AD96" s="9">
        <f>'BR SA'!G98</f>
        <v>13438</v>
      </c>
      <c r="AE96" s="9">
        <f>'BR SA'!H98</f>
        <v>182869</v>
      </c>
      <c r="AF96" s="9">
        <f>'BR SA'!I98</f>
        <v>21330</v>
      </c>
      <c r="AG96" s="9">
        <f>'BR SA'!J98</f>
        <v>8380</v>
      </c>
      <c r="AH96" s="9">
        <f>'BR SA'!K98</f>
        <v>12026</v>
      </c>
      <c r="AI96" s="9">
        <f>'BR SA'!L98</f>
        <v>33146</v>
      </c>
      <c r="AJ96" s="9">
        <f>'BR SA'!M98</f>
        <v>30821</v>
      </c>
      <c r="AK96" s="9">
        <f>'BR SA'!N98</f>
        <v>38997</v>
      </c>
      <c r="AL96" s="9">
        <f>'BR SA'!O98</f>
        <v>39908</v>
      </c>
      <c r="AM96" s="9">
        <f>'BR SA'!P98</f>
        <v>255665</v>
      </c>
      <c r="AN96" s="9">
        <f>'BR SA'!Q98</f>
        <v>299645</v>
      </c>
      <c r="AO96" s="9">
        <f>'BR SA'!R98</f>
        <v>206090</v>
      </c>
      <c r="AP96" s="9">
        <f>'BR SA'!S98</f>
        <v>54754</v>
      </c>
      <c r="AQ96" s="9">
        <f>'BR SA'!T98</f>
        <v>51720</v>
      </c>
      <c r="AR96" s="9">
        <f>'BR SA'!U98</f>
        <v>41535</v>
      </c>
      <c r="AS96" s="9">
        <f>'BR SA'!V98</f>
        <v>39594</v>
      </c>
      <c r="AU96" s="9">
        <v>19669</v>
      </c>
      <c r="AV96" s="9">
        <v>54000</v>
      </c>
      <c r="AW96" s="9">
        <v>2349</v>
      </c>
      <c r="AX96" s="9">
        <v>29804</v>
      </c>
      <c r="AY96" s="9">
        <v>6996</v>
      </c>
      <c r="AZ96" s="9">
        <v>13505</v>
      </c>
      <c r="BA96" s="9">
        <v>182869</v>
      </c>
      <c r="BB96" s="9">
        <v>21330</v>
      </c>
      <c r="BC96" s="9">
        <v>8380</v>
      </c>
      <c r="BD96" s="9">
        <v>12026</v>
      </c>
      <c r="BE96" s="9">
        <v>33146</v>
      </c>
      <c r="BF96" s="9">
        <v>30757</v>
      </c>
      <c r="BG96" s="9">
        <v>39066</v>
      </c>
      <c r="BH96" s="9">
        <v>39893</v>
      </c>
      <c r="BI96" s="9">
        <v>255665</v>
      </c>
      <c r="BJ96" s="9">
        <v>43611</v>
      </c>
      <c r="BK96" s="9">
        <v>299646</v>
      </c>
      <c r="BL96" s="9">
        <v>206090</v>
      </c>
      <c r="BM96" s="9">
        <v>54753</v>
      </c>
      <c r="BN96" s="9">
        <v>51720</v>
      </c>
      <c r="BO96" s="9">
        <v>41535</v>
      </c>
      <c r="BP96" s="9">
        <v>39595</v>
      </c>
      <c r="BQ96" s="4"/>
      <c r="BR96" s="5">
        <f t="shared" si="2"/>
        <v>0</v>
      </c>
      <c r="CB96">
        <v>299422</v>
      </c>
    </row>
    <row r="97" spans="1:80" x14ac:dyDescent="0.25">
      <c r="A97" s="8">
        <v>43556</v>
      </c>
      <c r="B97" s="9">
        <f>'BR OBS'!B99</f>
        <v>22786</v>
      </c>
      <c r="C97" s="9">
        <f>'BR OBS'!C99</f>
        <v>53875</v>
      </c>
      <c r="D97" s="9">
        <f>'BR OBS'!D99</f>
        <v>2166</v>
      </c>
      <c r="E97" s="9">
        <f>'BR OBS'!E99</f>
        <v>29994</v>
      </c>
      <c r="F97" s="9">
        <f>'BR OBS'!F99</f>
        <v>6910</v>
      </c>
      <c r="G97" s="9">
        <f>'BR OBS'!G99</f>
        <v>13678</v>
      </c>
      <c r="H97" s="9">
        <f>'BR OBS'!H99</f>
        <v>181419</v>
      </c>
      <c r="I97" s="9">
        <f>'BR OBS'!I99</f>
        <v>21003</v>
      </c>
      <c r="J97" s="9">
        <f>'BR OBS'!J99</f>
        <v>8253</v>
      </c>
      <c r="K97" s="9">
        <f>'BR OBS'!K99</f>
        <v>11877</v>
      </c>
      <c r="L97" s="9">
        <f>'BR OBS'!L99</f>
        <v>32554</v>
      </c>
      <c r="M97" s="9">
        <f>'BR OBS'!M99</f>
        <v>31134</v>
      </c>
      <c r="N97" s="9">
        <f>'BR OBS'!N99</f>
        <v>38588</v>
      </c>
      <c r="O97" s="9">
        <f>'BR OBS'!O99</f>
        <v>39899</v>
      </c>
      <c r="P97" s="9">
        <f>'BR OBS'!P99</f>
        <v>255930</v>
      </c>
      <c r="Q97" s="9">
        <f>'BR OBS'!Q99</f>
        <v>43201</v>
      </c>
      <c r="R97" s="9">
        <f>'BR OBS'!R99</f>
        <v>299768</v>
      </c>
      <c r="S97" s="9">
        <f>'BR OBS'!S99</f>
        <v>202072</v>
      </c>
      <c r="T97" s="9">
        <f>'BR OBS'!T99</f>
        <v>55138</v>
      </c>
      <c r="U97" s="9">
        <f>'BR OBS'!U99</f>
        <v>53565</v>
      </c>
      <c r="V97" s="9">
        <f>'BR OBS'!V99</f>
        <v>41525</v>
      </c>
      <c r="W97" s="9">
        <f>'BR OBS'!W99</f>
        <v>40376</v>
      </c>
      <c r="X97" s="9"/>
      <c r="Y97" s="9">
        <f>'BR SA'!B99</f>
        <v>20032</v>
      </c>
      <c r="Z97" s="9">
        <f>'BR SA'!C99</f>
        <v>54671</v>
      </c>
      <c r="AA97" s="9">
        <f>'BR SA'!D99</f>
        <v>2196</v>
      </c>
      <c r="AB97" s="9">
        <f>'BR SA'!E99</f>
        <v>30281</v>
      </c>
      <c r="AC97" s="9">
        <f>'BR SA'!F99</f>
        <v>6859</v>
      </c>
      <c r="AD97" s="9">
        <f>'BR SA'!G99</f>
        <v>14026</v>
      </c>
      <c r="AE97" s="9">
        <f>'BR SA'!H99</f>
        <v>183109</v>
      </c>
      <c r="AF97" s="9">
        <f>'BR SA'!I99</f>
        <v>21569</v>
      </c>
      <c r="AG97" s="9">
        <f>'BR SA'!J99</f>
        <v>8410</v>
      </c>
      <c r="AH97" s="9">
        <f>'BR SA'!K99</f>
        <v>12091</v>
      </c>
      <c r="AI97" s="9">
        <f>'BR SA'!L99</f>
        <v>33022</v>
      </c>
      <c r="AJ97" s="9">
        <f>'BR SA'!M99</f>
        <v>31154</v>
      </c>
      <c r="AK97" s="9">
        <f>'BR SA'!N99</f>
        <v>39001</v>
      </c>
      <c r="AL97" s="9">
        <f>'BR SA'!O99</f>
        <v>39684</v>
      </c>
      <c r="AM97" s="9">
        <f>'BR SA'!P99</f>
        <v>256302</v>
      </c>
      <c r="AN97" s="9">
        <f>'BR SA'!Q99</f>
        <v>301369</v>
      </c>
      <c r="AO97" s="9">
        <f>'BR SA'!R99</f>
        <v>206687</v>
      </c>
      <c r="AP97" s="9">
        <f>'BR SA'!S99</f>
        <v>54802</v>
      </c>
      <c r="AQ97" s="9">
        <f>'BR SA'!T99</f>
        <v>54756</v>
      </c>
      <c r="AR97" s="9">
        <f>'BR SA'!U99</f>
        <v>40357</v>
      </c>
      <c r="AS97" s="9">
        <f>'BR SA'!V99</f>
        <v>42563</v>
      </c>
      <c r="AU97" s="9">
        <v>20032</v>
      </c>
      <c r="AV97" s="9">
        <v>54671</v>
      </c>
      <c r="AW97" s="9">
        <v>2196</v>
      </c>
      <c r="AX97" s="9">
        <v>30282</v>
      </c>
      <c r="AY97" s="9">
        <v>6859</v>
      </c>
      <c r="AZ97" s="9">
        <v>14027</v>
      </c>
      <c r="BA97" s="9">
        <v>183109</v>
      </c>
      <c r="BB97" s="9">
        <v>21569</v>
      </c>
      <c r="BC97" s="9">
        <v>8411</v>
      </c>
      <c r="BD97" s="9">
        <v>12091</v>
      </c>
      <c r="BE97" s="9">
        <v>33022</v>
      </c>
      <c r="BF97" s="9">
        <v>31155</v>
      </c>
      <c r="BG97" s="9">
        <v>39013</v>
      </c>
      <c r="BH97" s="9">
        <v>39671</v>
      </c>
      <c r="BI97" s="9">
        <v>256302</v>
      </c>
      <c r="BJ97" s="9">
        <v>44253</v>
      </c>
      <c r="BK97" s="9">
        <v>301370</v>
      </c>
      <c r="BL97" s="9">
        <v>206686</v>
      </c>
      <c r="BM97" s="9">
        <v>54801</v>
      </c>
      <c r="BN97" s="9">
        <v>54756</v>
      </c>
      <c r="BO97" s="9">
        <v>40358</v>
      </c>
      <c r="BP97" s="9">
        <v>42563</v>
      </c>
      <c r="BQ97" s="4"/>
      <c r="BR97" s="5">
        <f t="shared" si="2"/>
        <v>0</v>
      </c>
      <c r="CB97">
        <v>301583</v>
      </c>
    </row>
    <row r="98" spans="1:80" x14ac:dyDescent="0.25">
      <c r="A98" s="8">
        <v>43647</v>
      </c>
      <c r="B98" s="9">
        <f>'BR OBS'!B100</f>
        <v>19422</v>
      </c>
      <c r="C98" s="9">
        <f>'BR OBS'!C100</f>
        <v>57046</v>
      </c>
      <c r="D98" s="9">
        <f>'BR OBS'!D100</f>
        <v>2549</v>
      </c>
      <c r="E98" s="9">
        <f>'BR OBS'!E100</f>
        <v>31763</v>
      </c>
      <c r="F98" s="9">
        <f>'BR OBS'!F100</f>
        <v>6701</v>
      </c>
      <c r="G98" s="9">
        <f>'BR OBS'!G100</f>
        <v>14474</v>
      </c>
      <c r="H98" s="9">
        <f>'BR OBS'!H100</f>
        <v>185156</v>
      </c>
      <c r="I98" s="9">
        <f>'BR OBS'!I100</f>
        <v>22438</v>
      </c>
      <c r="J98" s="9">
        <f>'BR OBS'!J100</f>
        <v>8717</v>
      </c>
      <c r="K98" s="9">
        <f>'BR OBS'!K100</f>
        <v>12103</v>
      </c>
      <c r="L98" s="9">
        <f>'BR OBS'!L100</f>
        <v>33366</v>
      </c>
      <c r="M98" s="9">
        <f>'BR OBS'!M100</f>
        <v>31252</v>
      </c>
      <c r="N98" s="9">
        <f>'BR OBS'!N100</f>
        <v>38984</v>
      </c>
      <c r="O98" s="9">
        <f>'BR OBS'!O100</f>
        <v>39720</v>
      </c>
      <c r="P98" s="9">
        <f>'BR OBS'!P100</f>
        <v>260780</v>
      </c>
      <c r="Q98" s="9">
        <f>'BR OBS'!Q100</f>
        <v>45029</v>
      </c>
      <c r="R98" s="9">
        <f>'BR OBS'!R100</f>
        <v>306442</v>
      </c>
      <c r="S98" s="9">
        <f>'BR OBS'!S100</f>
        <v>208221</v>
      </c>
      <c r="T98" s="9">
        <f>'BR OBS'!T100</f>
        <v>54839</v>
      </c>
      <c r="U98" s="9">
        <f>'BR OBS'!U100</f>
        <v>58285</v>
      </c>
      <c r="V98" s="9">
        <f>'BR OBS'!V100</f>
        <v>42359</v>
      </c>
      <c r="W98" s="9">
        <f>'BR OBS'!W100</f>
        <v>46428</v>
      </c>
      <c r="X98" s="9"/>
      <c r="Y98" s="9">
        <f>'BR SA'!B100</f>
        <v>20605</v>
      </c>
      <c r="Z98" s="9">
        <f>'BR SA'!C100</f>
        <v>54504</v>
      </c>
      <c r="AA98" s="9">
        <f>'BR SA'!D100</f>
        <v>2435</v>
      </c>
      <c r="AB98" s="9">
        <f>'BR SA'!E100</f>
        <v>29834</v>
      </c>
      <c r="AC98" s="9">
        <f>'BR SA'!F100</f>
        <v>6854</v>
      </c>
      <c r="AD98" s="9">
        <f>'BR SA'!G100</f>
        <v>14058</v>
      </c>
      <c r="AE98" s="9">
        <f>'BR SA'!H100</f>
        <v>183223</v>
      </c>
      <c r="AF98" s="9">
        <f>'BR SA'!I100</f>
        <v>21687</v>
      </c>
      <c r="AG98" s="9">
        <f>'BR SA'!J100</f>
        <v>8483</v>
      </c>
      <c r="AH98" s="9">
        <f>'BR SA'!K100</f>
        <v>12258</v>
      </c>
      <c r="AI98" s="9">
        <f>'BR SA'!L100</f>
        <v>33455</v>
      </c>
      <c r="AJ98" s="9">
        <f>'BR SA'!M100</f>
        <v>31231</v>
      </c>
      <c r="AK98" s="9">
        <f>'BR SA'!N100</f>
        <v>38566</v>
      </c>
      <c r="AL98" s="9">
        <f>'BR SA'!O100</f>
        <v>39527</v>
      </c>
      <c r="AM98" s="9">
        <f>'BR SA'!P100</f>
        <v>256530</v>
      </c>
      <c r="AN98" s="9">
        <f>'BR SA'!Q100</f>
        <v>301354</v>
      </c>
      <c r="AO98" s="9">
        <f>'BR SA'!R100</f>
        <v>207561</v>
      </c>
      <c r="AP98" s="9">
        <f>'BR SA'!S100</f>
        <v>54674</v>
      </c>
      <c r="AQ98" s="9">
        <f>'BR SA'!T100</f>
        <v>56282</v>
      </c>
      <c r="AR98" s="9">
        <f>'BR SA'!U100</f>
        <v>40331</v>
      </c>
      <c r="AS98" s="9">
        <f>'BR SA'!V100</f>
        <v>44995</v>
      </c>
      <c r="AU98" s="9">
        <v>20605</v>
      </c>
      <c r="AV98" s="9">
        <v>54504</v>
      </c>
      <c r="AW98" s="9">
        <v>2435</v>
      </c>
      <c r="AX98" s="9">
        <v>29834</v>
      </c>
      <c r="AY98" s="9">
        <v>6854</v>
      </c>
      <c r="AZ98" s="9">
        <v>14017</v>
      </c>
      <c r="BA98" s="9">
        <v>183223</v>
      </c>
      <c r="BB98" s="9">
        <v>21687</v>
      </c>
      <c r="BC98" s="9">
        <v>8482</v>
      </c>
      <c r="BD98" s="9">
        <v>12258</v>
      </c>
      <c r="BE98" s="9">
        <v>33455</v>
      </c>
      <c r="BF98" s="9">
        <v>31271</v>
      </c>
      <c r="BG98" s="9">
        <v>38500</v>
      </c>
      <c r="BH98" s="9">
        <v>39546</v>
      </c>
      <c r="BI98" s="9">
        <v>256529</v>
      </c>
      <c r="BJ98" s="9">
        <v>44233</v>
      </c>
      <c r="BK98" s="9">
        <v>301354</v>
      </c>
      <c r="BL98" s="9">
        <v>207561</v>
      </c>
      <c r="BM98" s="9">
        <v>54674</v>
      </c>
      <c r="BN98" s="9">
        <v>56282</v>
      </c>
      <c r="BO98" s="9">
        <v>40331</v>
      </c>
      <c r="BP98" s="9">
        <v>44995</v>
      </c>
      <c r="BQ98" s="4"/>
      <c r="BR98" s="5">
        <f t="shared" si="2"/>
        <v>0</v>
      </c>
      <c r="CB98">
        <v>301436</v>
      </c>
    </row>
    <row r="99" spans="1:80" x14ac:dyDescent="0.25">
      <c r="A99" s="8">
        <v>43739</v>
      </c>
      <c r="B99" s="9">
        <f>'BR OBS'!B101</f>
        <v>13457</v>
      </c>
      <c r="C99" s="9">
        <f>'BR OBS'!C101</f>
        <v>55013</v>
      </c>
      <c r="D99" s="9">
        <f>'BR OBS'!D101</f>
        <v>2571</v>
      </c>
      <c r="E99" s="9">
        <f>'BR OBS'!E101</f>
        <v>29980</v>
      </c>
      <c r="F99" s="9">
        <f>'BR OBS'!F101</f>
        <v>6914</v>
      </c>
      <c r="G99" s="9">
        <f>'BR OBS'!G101</f>
        <v>13823</v>
      </c>
      <c r="H99" s="9">
        <f>'BR OBS'!H101</f>
        <v>187300</v>
      </c>
      <c r="I99" s="9">
        <f>'BR OBS'!I101</f>
        <v>22272</v>
      </c>
      <c r="J99" s="9">
        <f>'BR OBS'!J101</f>
        <v>8563</v>
      </c>
      <c r="K99" s="9">
        <f>'BR OBS'!K101</f>
        <v>12974</v>
      </c>
      <c r="L99" s="9">
        <f>'BR OBS'!L101</f>
        <v>34799</v>
      </c>
      <c r="M99" s="9">
        <f>'BR OBS'!M101</f>
        <v>31357</v>
      </c>
      <c r="N99" s="9">
        <f>'BR OBS'!N101</f>
        <v>40047</v>
      </c>
      <c r="O99" s="9">
        <f>'BR OBS'!O101</f>
        <v>39606</v>
      </c>
      <c r="P99" s="9">
        <f>'BR OBS'!P101</f>
        <v>257023</v>
      </c>
      <c r="Q99" s="9">
        <f>'BR OBS'!Q101</f>
        <v>45401</v>
      </c>
      <c r="R99" s="9">
        <f>'BR OBS'!R101</f>
        <v>303032</v>
      </c>
      <c r="S99" s="9">
        <f>'BR OBS'!S101</f>
        <v>215822</v>
      </c>
      <c r="T99" s="9">
        <f>'BR OBS'!T101</f>
        <v>55871</v>
      </c>
      <c r="U99" s="9">
        <f>'BR OBS'!U101</f>
        <v>53705</v>
      </c>
      <c r="V99" s="9">
        <f>'BR OBS'!V101</f>
        <v>41395</v>
      </c>
      <c r="W99" s="9">
        <f>'BR OBS'!W101</f>
        <v>42927</v>
      </c>
      <c r="X99" s="9"/>
      <c r="Y99" s="9">
        <f>'BR SA'!B101</f>
        <v>20382</v>
      </c>
      <c r="Z99" s="9">
        <f>'BR SA'!C101</f>
        <v>54476</v>
      </c>
      <c r="AA99" s="9">
        <f>'BR SA'!D101</f>
        <v>2522</v>
      </c>
      <c r="AB99" s="9">
        <f>'BR SA'!E101</f>
        <v>29769</v>
      </c>
      <c r="AC99" s="9">
        <f>'BR SA'!F101</f>
        <v>6929</v>
      </c>
      <c r="AD99" s="9">
        <f>'BR SA'!G101</f>
        <v>13546</v>
      </c>
      <c r="AE99" s="9">
        <f>'BR SA'!H101</f>
        <v>183386</v>
      </c>
      <c r="AF99" s="9">
        <f>'BR SA'!I101</f>
        <v>21610</v>
      </c>
      <c r="AG99" s="9">
        <f>'BR SA'!J101</f>
        <v>8408</v>
      </c>
      <c r="AH99" s="9">
        <f>'BR SA'!K101</f>
        <v>12274</v>
      </c>
      <c r="AI99" s="9">
        <f>'BR SA'!L101</f>
        <v>33799</v>
      </c>
      <c r="AJ99" s="9">
        <f>'BR SA'!M101</f>
        <v>31266</v>
      </c>
      <c r="AK99" s="9">
        <f>'BR SA'!N101</f>
        <v>38683</v>
      </c>
      <c r="AL99" s="9">
        <f>'BR SA'!O101</f>
        <v>39540</v>
      </c>
      <c r="AM99" s="9">
        <f>'BR SA'!P101</f>
        <v>257562</v>
      </c>
      <c r="AN99" s="9">
        <f>'BR SA'!Q101</f>
        <v>302199</v>
      </c>
      <c r="AO99" s="9">
        <f>'BR SA'!R101</f>
        <v>207319</v>
      </c>
      <c r="AP99" s="9">
        <f>'BR SA'!S101</f>
        <v>54365</v>
      </c>
      <c r="AQ99" s="9">
        <f>'BR SA'!T101</f>
        <v>53451</v>
      </c>
      <c r="AR99" s="9">
        <f>'BR SA'!U101</f>
        <v>41268</v>
      </c>
      <c r="AS99" s="9">
        <f>'BR SA'!V101</f>
        <v>41709</v>
      </c>
      <c r="AU99" s="9">
        <v>20381</v>
      </c>
      <c r="AV99" s="9">
        <v>54476</v>
      </c>
      <c r="AW99" s="9">
        <v>2522</v>
      </c>
      <c r="AX99" s="9">
        <v>29769</v>
      </c>
      <c r="AY99" s="9">
        <v>6930</v>
      </c>
      <c r="AZ99" s="9">
        <v>13536</v>
      </c>
      <c r="BA99" s="9">
        <v>183386</v>
      </c>
      <c r="BB99" s="9">
        <v>21610</v>
      </c>
      <c r="BC99" s="9">
        <v>8409</v>
      </c>
      <c r="BD99" s="9">
        <v>12274</v>
      </c>
      <c r="BE99" s="9">
        <v>33799</v>
      </c>
      <c r="BF99" s="9">
        <v>31310</v>
      </c>
      <c r="BG99" s="9">
        <v>38642</v>
      </c>
      <c r="BH99" s="9">
        <v>39560</v>
      </c>
      <c r="BI99" s="9">
        <v>257562</v>
      </c>
      <c r="BJ99" s="9">
        <v>43878</v>
      </c>
      <c r="BK99" s="9">
        <v>302199</v>
      </c>
      <c r="BL99" s="9">
        <v>207318</v>
      </c>
      <c r="BM99" s="9">
        <v>54365</v>
      </c>
      <c r="BN99" s="9">
        <v>53451</v>
      </c>
      <c r="BO99" s="9">
        <v>41268</v>
      </c>
      <c r="BP99" s="9">
        <v>41709</v>
      </c>
      <c r="BQ99" s="4"/>
      <c r="BR99" s="5">
        <f t="shared" si="2"/>
        <v>-4.9062898636051415E-5</v>
      </c>
      <c r="CB99">
        <v>302096</v>
      </c>
    </row>
    <row r="100" spans="1:80" x14ac:dyDescent="0.25">
      <c r="A100" s="8">
        <v>43831</v>
      </c>
      <c r="B100" s="9">
        <f>'BR OBS'!B102</f>
        <v>26107</v>
      </c>
      <c r="C100" s="9">
        <f>'BR OBS'!C102</f>
        <v>51223</v>
      </c>
      <c r="D100" s="9">
        <f>'BR OBS'!D102</f>
        <v>2326</v>
      </c>
      <c r="E100" s="9">
        <f>'BR OBS'!E102</f>
        <v>27579</v>
      </c>
      <c r="F100" s="9">
        <f>'BR OBS'!F102</f>
        <v>6855</v>
      </c>
      <c r="G100" s="9">
        <f>'BR OBS'!G102</f>
        <v>12884</v>
      </c>
      <c r="H100" s="9">
        <f>'BR OBS'!H102</f>
        <v>177848</v>
      </c>
      <c r="I100" s="9">
        <f>'BR OBS'!I102</f>
        <v>20584</v>
      </c>
      <c r="J100" s="9">
        <f>'BR OBS'!J102</f>
        <v>8119</v>
      </c>
      <c r="K100" s="9">
        <f>'BR OBS'!K102</f>
        <v>11998</v>
      </c>
      <c r="L100" s="9">
        <f>'BR OBS'!L102</f>
        <v>33161</v>
      </c>
      <c r="M100" s="9">
        <f>'BR OBS'!M102</f>
        <v>31412</v>
      </c>
      <c r="N100" s="9">
        <f>'BR OBS'!N102</f>
        <v>36254</v>
      </c>
      <c r="O100" s="9">
        <f>'BR OBS'!O102</f>
        <v>39269</v>
      </c>
      <c r="P100" s="9">
        <f>'BR OBS'!P102</f>
        <v>251526</v>
      </c>
      <c r="Q100" s="9">
        <f>'BR OBS'!Q102</f>
        <v>42385</v>
      </c>
      <c r="R100" s="9">
        <f>'BR OBS'!R102</f>
        <v>294560</v>
      </c>
      <c r="S100" s="9">
        <f>'BR OBS'!S102</f>
        <v>200174</v>
      </c>
      <c r="T100" s="9">
        <f>'BR OBS'!T102</f>
        <v>52427</v>
      </c>
      <c r="U100" s="9">
        <f>'BR OBS'!U102</f>
        <v>54355</v>
      </c>
      <c r="V100" s="9">
        <f>'BR OBS'!V102</f>
        <v>37454</v>
      </c>
      <c r="W100" s="9">
        <f>'BR OBS'!W102</f>
        <v>41413</v>
      </c>
      <c r="X100" s="9"/>
      <c r="Y100" s="9">
        <f>'BR SA'!B102</f>
        <v>20593</v>
      </c>
      <c r="Z100" s="9">
        <f>'BR SA'!C102</f>
        <v>53516</v>
      </c>
      <c r="AA100" s="9">
        <f>'BR SA'!D102</f>
        <v>2464</v>
      </c>
      <c r="AB100" s="9">
        <f>'BR SA'!E102</f>
        <v>29401</v>
      </c>
      <c r="AC100" s="9">
        <f>'BR SA'!F102</f>
        <v>6749</v>
      </c>
      <c r="AD100" s="9">
        <f>'BR SA'!G102</f>
        <v>13211</v>
      </c>
      <c r="AE100" s="9">
        <f>'BR SA'!H102</f>
        <v>180253</v>
      </c>
      <c r="AF100" s="9">
        <f>'BR SA'!I102</f>
        <v>21406</v>
      </c>
      <c r="AG100" s="9">
        <f>'BR SA'!J102</f>
        <v>8332</v>
      </c>
      <c r="AH100" s="9">
        <f>'BR SA'!K102</f>
        <v>12221</v>
      </c>
      <c r="AI100" s="9">
        <f>'BR SA'!L102</f>
        <v>33579</v>
      </c>
      <c r="AJ100" s="9">
        <f>'BR SA'!M102</f>
        <v>31509</v>
      </c>
      <c r="AK100" s="9">
        <f>'BR SA'!N102</f>
        <v>37192</v>
      </c>
      <c r="AL100" s="9">
        <f>'BR SA'!O102</f>
        <v>39335</v>
      </c>
      <c r="AM100" s="9">
        <f>'BR SA'!P102</f>
        <v>252140</v>
      </c>
      <c r="AN100" s="9">
        <f>'BR SA'!Q102</f>
        <v>295488</v>
      </c>
      <c r="AO100" s="9">
        <f>'BR SA'!R102</f>
        <v>202813</v>
      </c>
      <c r="AP100" s="9">
        <f>'BR SA'!S102</f>
        <v>54441</v>
      </c>
      <c r="AQ100" s="9">
        <f>'BR SA'!T102</f>
        <v>55258</v>
      </c>
      <c r="AR100" s="9">
        <f>'BR SA'!U102</f>
        <v>39841</v>
      </c>
      <c r="AS100" s="9">
        <f>'BR SA'!V102</f>
        <v>40738</v>
      </c>
      <c r="AU100" s="9">
        <v>20593</v>
      </c>
      <c r="AV100" s="9">
        <v>53516</v>
      </c>
      <c r="AW100" s="9">
        <v>2464</v>
      </c>
      <c r="AX100" s="9">
        <v>29401</v>
      </c>
      <c r="AY100" s="9">
        <v>6749</v>
      </c>
      <c r="AZ100" s="9">
        <v>13098</v>
      </c>
      <c r="BA100" s="9">
        <v>180253</v>
      </c>
      <c r="BB100" s="9">
        <v>21406</v>
      </c>
      <c r="BC100" s="9">
        <v>8332</v>
      </c>
      <c r="BD100" s="9">
        <v>12221</v>
      </c>
      <c r="BE100" s="9">
        <v>33579</v>
      </c>
      <c r="BF100" s="9">
        <v>31503</v>
      </c>
      <c r="BG100" s="9">
        <v>37258</v>
      </c>
      <c r="BH100" s="9">
        <v>39340</v>
      </c>
      <c r="BI100" s="9">
        <v>252140</v>
      </c>
      <c r="BJ100" s="9">
        <v>42960</v>
      </c>
      <c r="BK100" s="9">
        <v>295488</v>
      </c>
      <c r="BL100" s="9">
        <v>202814</v>
      </c>
      <c r="BM100" s="9">
        <v>54441</v>
      </c>
      <c r="BN100" s="9">
        <v>55258</v>
      </c>
      <c r="BO100" s="9">
        <v>39841</v>
      </c>
      <c r="BP100" s="9">
        <v>40738</v>
      </c>
      <c r="BQ100" s="4"/>
      <c r="BR100" s="5">
        <f t="shared" ref="BR100:BR107" si="3">(AU100-Y100)/Y100</f>
        <v>0</v>
      </c>
      <c r="CB100">
        <v>295333</v>
      </c>
    </row>
    <row r="101" spans="1:80" x14ac:dyDescent="0.25">
      <c r="A101" s="8">
        <v>43922</v>
      </c>
      <c r="B101" s="9">
        <f>'BR OBS'!B103</f>
        <v>23825</v>
      </c>
      <c r="C101" s="9">
        <f>'BR OBS'!C103</f>
        <v>46753</v>
      </c>
      <c r="D101" s="9">
        <f>'BR OBS'!D103</f>
        <v>2319</v>
      </c>
      <c r="E101" s="9">
        <f>'BR OBS'!E103</f>
        <v>23766</v>
      </c>
      <c r="F101" s="9">
        <f>'BR OBS'!F103</f>
        <v>6933</v>
      </c>
      <c r="G101" s="9">
        <f>'BR OBS'!G103</f>
        <v>11877</v>
      </c>
      <c r="H101" s="9">
        <f>'BR OBS'!H103</f>
        <v>162514</v>
      </c>
      <c r="I101" s="9">
        <f>'BR OBS'!I103</f>
        <v>17931</v>
      </c>
      <c r="J101" s="9">
        <f>'BR OBS'!J103</f>
        <v>6633</v>
      </c>
      <c r="K101" s="9">
        <f>'BR OBS'!K103</f>
        <v>11568</v>
      </c>
      <c r="L101" s="9">
        <f>'BR OBS'!L103</f>
        <v>34611</v>
      </c>
      <c r="M101" s="9">
        <f>'BR OBS'!M103</f>
        <v>31702</v>
      </c>
      <c r="N101" s="9">
        <f>'BR OBS'!N103</f>
        <v>30339</v>
      </c>
      <c r="O101" s="9">
        <f>'BR OBS'!O103</f>
        <v>36334</v>
      </c>
      <c r="P101" s="9">
        <f>'BR OBS'!P103</f>
        <v>229764</v>
      </c>
      <c r="Q101" s="9">
        <f>'BR OBS'!Q103</f>
        <v>37164</v>
      </c>
      <c r="R101" s="9">
        <f>'BR OBS'!R103</f>
        <v>267590</v>
      </c>
      <c r="S101" s="9">
        <f>'BR OBS'!S103</f>
        <v>177523</v>
      </c>
      <c r="T101" s="9">
        <f>'BR OBS'!T103</f>
        <v>50397</v>
      </c>
      <c r="U101" s="9">
        <f>'BR OBS'!U103</f>
        <v>46083</v>
      </c>
      <c r="V101" s="9">
        <f>'BR OBS'!V103</f>
        <v>41738</v>
      </c>
      <c r="W101" s="9">
        <f>'BR OBS'!W103</f>
        <v>34584</v>
      </c>
      <c r="X101" s="9"/>
      <c r="Y101" s="9">
        <f>'BR SA'!B103</f>
        <v>20980</v>
      </c>
      <c r="Z101" s="9">
        <f>'BR SA'!C103</f>
        <v>47544</v>
      </c>
      <c r="AA101" s="9">
        <f>'BR SA'!D103</f>
        <v>2345</v>
      </c>
      <c r="AB101" s="9">
        <f>'BR SA'!E103</f>
        <v>24074</v>
      </c>
      <c r="AC101" s="9">
        <f>'BR SA'!F103</f>
        <v>6862</v>
      </c>
      <c r="AD101" s="9">
        <f>'BR SA'!G103</f>
        <v>12220</v>
      </c>
      <c r="AE101" s="9">
        <f>'BR SA'!H103</f>
        <v>164181</v>
      </c>
      <c r="AF101" s="9">
        <f>'BR SA'!I103</f>
        <v>18425</v>
      </c>
      <c r="AG101" s="9">
        <f>'BR SA'!J103</f>
        <v>6800</v>
      </c>
      <c r="AH101" s="9">
        <f>'BR SA'!K103</f>
        <v>11783</v>
      </c>
      <c r="AI101" s="9">
        <f>'BR SA'!L103</f>
        <v>35162</v>
      </c>
      <c r="AJ101" s="9">
        <f>'BR SA'!M103</f>
        <v>31716</v>
      </c>
      <c r="AK101" s="9">
        <f>'BR SA'!N103</f>
        <v>30743</v>
      </c>
      <c r="AL101" s="9">
        <f>'BR SA'!O103</f>
        <v>36155</v>
      </c>
      <c r="AM101" s="9">
        <f>'BR SA'!P103</f>
        <v>230288</v>
      </c>
      <c r="AN101" s="9">
        <f>'BR SA'!Q103</f>
        <v>269302</v>
      </c>
      <c r="AO101" s="9">
        <f>'BR SA'!R103</f>
        <v>181842</v>
      </c>
      <c r="AP101" s="9">
        <f>'BR SA'!S103</f>
        <v>50059</v>
      </c>
      <c r="AQ101" s="9">
        <f>'BR SA'!T103</f>
        <v>47170</v>
      </c>
      <c r="AR101" s="9">
        <f>'BR SA'!U103</f>
        <v>40509</v>
      </c>
      <c r="AS101" s="9">
        <f>'BR SA'!V103</f>
        <v>36452</v>
      </c>
      <c r="AU101" s="9">
        <v>20981</v>
      </c>
      <c r="AV101" s="9">
        <v>47544</v>
      </c>
      <c r="AW101" s="9">
        <v>2346</v>
      </c>
      <c r="AX101" s="9">
        <v>24074</v>
      </c>
      <c r="AY101" s="9">
        <v>6862</v>
      </c>
      <c r="AZ101" s="9">
        <v>12224</v>
      </c>
      <c r="BA101" s="9">
        <v>164181</v>
      </c>
      <c r="BB101" s="9">
        <v>18424</v>
      </c>
      <c r="BC101" s="9">
        <v>6800</v>
      </c>
      <c r="BD101" s="9">
        <v>11783</v>
      </c>
      <c r="BE101" s="9">
        <v>35161</v>
      </c>
      <c r="BF101" s="9">
        <v>31720</v>
      </c>
      <c r="BG101" s="9">
        <v>30754</v>
      </c>
      <c r="BH101" s="9">
        <v>36144</v>
      </c>
      <c r="BI101" s="9">
        <v>230288</v>
      </c>
      <c r="BJ101" s="9">
        <v>38193</v>
      </c>
      <c r="BK101" s="9">
        <v>269302</v>
      </c>
      <c r="BL101" s="9">
        <v>181842</v>
      </c>
      <c r="BM101" s="9">
        <v>50059</v>
      </c>
      <c r="BN101" s="9">
        <v>47170</v>
      </c>
      <c r="BO101" s="9">
        <v>40509</v>
      </c>
      <c r="BP101" s="9">
        <v>36452</v>
      </c>
      <c r="BQ101" s="4"/>
      <c r="BR101" s="5">
        <f t="shared" si="3"/>
        <v>4.7664442326024783E-5</v>
      </c>
      <c r="CB101">
        <v>269488</v>
      </c>
    </row>
    <row r="102" spans="1:80" x14ac:dyDescent="0.25">
      <c r="A102" s="8">
        <v>44013</v>
      </c>
      <c r="B102" s="9">
        <f>'BR OBS'!B104</f>
        <v>19731</v>
      </c>
      <c r="C102" s="9">
        <f>'BR OBS'!C104</f>
        <v>56779</v>
      </c>
      <c r="D102" s="9">
        <f>'BR OBS'!D104</f>
        <v>2587</v>
      </c>
      <c r="E102" s="9">
        <f>'BR OBS'!E104</f>
        <v>31724</v>
      </c>
      <c r="F102" s="9">
        <f>'BR OBS'!F104</f>
        <v>7018</v>
      </c>
      <c r="G102" s="9">
        <f>'BR OBS'!G104</f>
        <v>13500</v>
      </c>
      <c r="H102" s="9">
        <f>'BR OBS'!H104</f>
        <v>176317</v>
      </c>
      <c r="I102" s="9">
        <f>'BR OBS'!I104</f>
        <v>22138</v>
      </c>
      <c r="J102" s="9">
        <f>'BR OBS'!J104</f>
        <v>7803</v>
      </c>
      <c r="K102" s="9">
        <f>'BR OBS'!K104</f>
        <v>12026</v>
      </c>
      <c r="L102" s="9">
        <f>'BR OBS'!L104</f>
        <v>35464</v>
      </c>
      <c r="M102" s="9">
        <f>'BR OBS'!M104</f>
        <v>32120</v>
      </c>
      <c r="N102" s="9">
        <f>'BR OBS'!N104</f>
        <v>33367</v>
      </c>
      <c r="O102" s="9">
        <f>'BR OBS'!O104</f>
        <v>37530</v>
      </c>
      <c r="P102" s="9">
        <f>'BR OBS'!P104</f>
        <v>251680</v>
      </c>
      <c r="Q102" s="9">
        <f>'BR OBS'!Q104</f>
        <v>42771</v>
      </c>
      <c r="R102" s="9">
        <f>'BR OBS'!R104</f>
        <v>295084</v>
      </c>
      <c r="S102" s="9">
        <f>'BR OBS'!S104</f>
        <v>195473</v>
      </c>
      <c r="T102" s="9">
        <f>'BR OBS'!T104</f>
        <v>51903</v>
      </c>
      <c r="U102" s="9">
        <f>'BR OBS'!U104</f>
        <v>53898</v>
      </c>
      <c r="V102" s="9">
        <f>'BR OBS'!V104</f>
        <v>41922</v>
      </c>
      <c r="W102" s="9">
        <f>'BR OBS'!W104</f>
        <v>34825</v>
      </c>
      <c r="X102" s="9"/>
      <c r="Y102" s="9">
        <f>'BR SA'!B104</f>
        <v>21167</v>
      </c>
      <c r="Z102" s="9">
        <f>'BR SA'!C104</f>
        <v>54237</v>
      </c>
      <c r="AA102" s="9">
        <f>'BR SA'!D104</f>
        <v>2463</v>
      </c>
      <c r="AB102" s="9">
        <f>'BR SA'!E104</f>
        <v>29848</v>
      </c>
      <c r="AC102" s="9">
        <f>'BR SA'!F104</f>
        <v>7171</v>
      </c>
      <c r="AD102" s="9">
        <f>'BR SA'!G104</f>
        <v>13070</v>
      </c>
      <c r="AE102" s="9">
        <f>'BR SA'!H104</f>
        <v>174502</v>
      </c>
      <c r="AF102" s="9">
        <f>'BR SA'!I104</f>
        <v>21402</v>
      </c>
      <c r="AG102" s="9">
        <f>'BR SA'!J104</f>
        <v>7608</v>
      </c>
      <c r="AH102" s="9">
        <f>'BR SA'!K104</f>
        <v>12186</v>
      </c>
      <c r="AI102" s="9">
        <f>'BR SA'!L104</f>
        <v>35486</v>
      </c>
      <c r="AJ102" s="9">
        <f>'BR SA'!M104</f>
        <v>32088</v>
      </c>
      <c r="AK102" s="9">
        <f>'BR SA'!N104</f>
        <v>32964</v>
      </c>
      <c r="AL102" s="9">
        <f>'BR SA'!O104</f>
        <v>37388</v>
      </c>
      <c r="AM102" s="9">
        <f>'BR SA'!P104</f>
        <v>247684</v>
      </c>
      <c r="AN102" s="9">
        <f>'BR SA'!Q104</f>
        <v>290314</v>
      </c>
      <c r="AO102" s="9">
        <f>'BR SA'!R104</f>
        <v>194874</v>
      </c>
      <c r="AP102" s="9">
        <f>'BR SA'!S104</f>
        <v>51747</v>
      </c>
      <c r="AQ102" s="9">
        <f>'BR SA'!T104</f>
        <v>52184</v>
      </c>
      <c r="AR102" s="9">
        <f>'BR SA'!U104</f>
        <v>40071</v>
      </c>
      <c r="AS102" s="9">
        <f>'BR SA'!V104</f>
        <v>34092</v>
      </c>
      <c r="AU102" s="9">
        <v>21166</v>
      </c>
      <c r="AV102" s="9">
        <v>54237</v>
      </c>
      <c r="AW102" s="9">
        <v>2463</v>
      </c>
      <c r="AX102" s="9">
        <v>29848</v>
      </c>
      <c r="AY102" s="9">
        <v>7171</v>
      </c>
      <c r="AZ102" s="9">
        <v>13038</v>
      </c>
      <c r="BA102" s="9">
        <v>174502</v>
      </c>
      <c r="BB102" s="9">
        <v>21403</v>
      </c>
      <c r="BC102" s="9">
        <v>7607</v>
      </c>
      <c r="BD102" s="9">
        <v>12186</v>
      </c>
      <c r="BE102" s="9">
        <v>35487</v>
      </c>
      <c r="BF102" s="9">
        <v>32124</v>
      </c>
      <c r="BG102" s="9">
        <v>32919</v>
      </c>
      <c r="BH102" s="9">
        <v>37403</v>
      </c>
      <c r="BI102" s="9">
        <v>247684</v>
      </c>
      <c r="BJ102" s="9">
        <v>42014</v>
      </c>
      <c r="BK102" s="9">
        <v>290314</v>
      </c>
      <c r="BL102" s="9">
        <v>194874</v>
      </c>
      <c r="BM102" s="9">
        <v>51746</v>
      </c>
      <c r="BN102" s="9">
        <v>52184</v>
      </c>
      <c r="BO102" s="9">
        <v>40071</v>
      </c>
      <c r="BP102" s="9">
        <v>34092</v>
      </c>
      <c r="BQ102" s="4"/>
      <c r="BR102" s="5">
        <f t="shared" si="3"/>
        <v>-4.7243350498417346E-5</v>
      </c>
      <c r="CB102">
        <v>290343</v>
      </c>
    </row>
    <row r="103" spans="1:80" x14ac:dyDescent="0.25">
      <c r="A103" s="8">
        <v>44105</v>
      </c>
      <c r="B103" s="9">
        <f>'BR OBS'!B105</f>
        <v>13636</v>
      </c>
      <c r="C103" s="9">
        <f>'BR OBS'!C105</f>
        <v>55518</v>
      </c>
      <c r="D103" s="9">
        <f>'BR OBS'!D105</f>
        <v>2407</v>
      </c>
      <c r="E103" s="9">
        <f>'BR OBS'!E105</f>
        <v>31413</v>
      </c>
      <c r="F103" s="9">
        <f>'BR OBS'!F105</f>
        <v>6740</v>
      </c>
      <c r="G103" s="9">
        <f>'BR OBS'!G105</f>
        <v>13356</v>
      </c>
      <c r="H103" s="9">
        <f>'BR OBS'!H105</f>
        <v>183814</v>
      </c>
      <c r="I103" s="9">
        <f>'BR OBS'!I105</f>
        <v>22873</v>
      </c>
      <c r="J103" s="9">
        <f>'BR OBS'!J105</f>
        <v>8313</v>
      </c>
      <c r="K103" s="9">
        <f>'BR OBS'!K105</f>
        <v>13445</v>
      </c>
      <c r="L103" s="9">
        <f>'BR OBS'!L105</f>
        <v>36197</v>
      </c>
      <c r="M103" s="9">
        <f>'BR OBS'!M105</f>
        <v>32514</v>
      </c>
      <c r="N103" s="9">
        <f>'BR OBS'!N105</f>
        <v>36130</v>
      </c>
      <c r="O103" s="9">
        <f>'BR OBS'!O105</f>
        <v>38259</v>
      </c>
      <c r="P103" s="9">
        <f>'BR OBS'!P105</f>
        <v>254276</v>
      </c>
      <c r="Q103" s="9">
        <f>'BR OBS'!Q105</f>
        <v>45413</v>
      </c>
      <c r="R103" s="9">
        <f>'BR OBS'!R105</f>
        <v>300231</v>
      </c>
      <c r="S103" s="9">
        <f>'BR OBS'!S105</f>
        <v>209092</v>
      </c>
      <c r="T103" s="9">
        <f>'BR OBS'!T105</f>
        <v>54053</v>
      </c>
      <c r="U103" s="9">
        <f>'BR OBS'!U105</f>
        <v>60798</v>
      </c>
      <c r="V103" s="9">
        <f>'BR OBS'!V105</f>
        <v>39627</v>
      </c>
      <c r="W103" s="9">
        <f>'BR OBS'!W105</f>
        <v>41445</v>
      </c>
      <c r="X103" s="9"/>
      <c r="Y103" s="9">
        <f>'BR SA'!B105</f>
        <v>20758</v>
      </c>
      <c r="Z103" s="9">
        <f>'BR SA'!C105</f>
        <v>54970</v>
      </c>
      <c r="AA103" s="9">
        <f>'BR SA'!D105</f>
        <v>2367</v>
      </c>
      <c r="AB103" s="9">
        <f>'BR SA'!E105</f>
        <v>31151</v>
      </c>
      <c r="AC103" s="9">
        <f>'BR SA'!F105</f>
        <v>6765</v>
      </c>
      <c r="AD103" s="9">
        <f>'BR SA'!G105</f>
        <v>13080</v>
      </c>
      <c r="AE103" s="9">
        <f>'BR SA'!H105</f>
        <v>179709</v>
      </c>
      <c r="AF103" s="9">
        <f>'BR SA'!I105</f>
        <v>22197</v>
      </c>
      <c r="AG103" s="9">
        <f>'BR SA'!J105</f>
        <v>8126</v>
      </c>
      <c r="AH103" s="9">
        <f>'BR SA'!K105</f>
        <v>12706</v>
      </c>
      <c r="AI103" s="9">
        <f>'BR SA'!L105</f>
        <v>35192</v>
      </c>
      <c r="AJ103" s="9">
        <f>'BR SA'!M105</f>
        <v>32448</v>
      </c>
      <c r="AK103" s="9">
        <f>'BR SA'!N105</f>
        <v>34813</v>
      </c>
      <c r="AL103" s="9">
        <f>'BR SA'!O105</f>
        <v>38144</v>
      </c>
      <c r="AM103" s="9">
        <f>'BR SA'!P105</f>
        <v>254524</v>
      </c>
      <c r="AN103" s="9">
        <f>'BR SA'!Q105</f>
        <v>299045</v>
      </c>
      <c r="AO103" s="9">
        <f>'BR SA'!R105</f>
        <v>200551</v>
      </c>
      <c r="AP103" s="9">
        <f>'BR SA'!S105</f>
        <v>52523</v>
      </c>
      <c r="AQ103" s="9">
        <f>'BR SA'!T105</f>
        <v>60498</v>
      </c>
      <c r="AR103" s="9">
        <f>'BR SA'!U105</f>
        <v>39503</v>
      </c>
      <c r="AS103" s="9">
        <f>'BR SA'!V105</f>
        <v>40283</v>
      </c>
      <c r="AU103" s="9">
        <v>20759</v>
      </c>
      <c r="AV103" s="9">
        <v>54970</v>
      </c>
      <c r="AW103" s="9">
        <v>2367</v>
      </c>
      <c r="AX103" s="9">
        <v>31151</v>
      </c>
      <c r="AY103" s="9">
        <v>6765</v>
      </c>
      <c r="AZ103" s="9">
        <v>13068</v>
      </c>
      <c r="BA103" s="9">
        <v>179709</v>
      </c>
      <c r="BB103" s="9">
        <v>22197</v>
      </c>
      <c r="BC103" s="9">
        <v>8126</v>
      </c>
      <c r="BD103" s="9">
        <v>12707</v>
      </c>
      <c r="BE103" s="9">
        <v>35192</v>
      </c>
      <c r="BF103" s="9">
        <v>32480</v>
      </c>
      <c r="BG103" s="9">
        <v>34754</v>
      </c>
      <c r="BH103" s="9">
        <v>38159</v>
      </c>
      <c r="BI103" s="9">
        <v>254525</v>
      </c>
      <c r="BJ103" s="9">
        <v>43826</v>
      </c>
      <c r="BK103" s="9">
        <v>299045</v>
      </c>
      <c r="BL103" s="9">
        <v>200551</v>
      </c>
      <c r="BM103" s="9">
        <v>52523</v>
      </c>
      <c r="BN103" s="9">
        <v>60498</v>
      </c>
      <c r="BO103" s="9">
        <v>39503</v>
      </c>
      <c r="BP103" s="9">
        <v>40283</v>
      </c>
      <c r="BQ103" s="4"/>
      <c r="BR103" s="5">
        <f t="shared" si="3"/>
        <v>4.8174197899604971E-5</v>
      </c>
      <c r="CB103">
        <v>298947</v>
      </c>
    </row>
    <row r="104" spans="1:80" x14ac:dyDescent="0.25">
      <c r="A104" s="8">
        <v>44197</v>
      </c>
      <c r="B104" s="9">
        <f>'BR OBS'!B106</f>
        <v>27810</v>
      </c>
      <c r="C104" s="9">
        <f>'BR OBS'!C106</f>
        <v>52890</v>
      </c>
      <c r="D104" s="9">
        <f>'BR OBS'!D106</f>
        <v>2257</v>
      </c>
      <c r="E104" s="9">
        <f>'BR OBS'!E106</f>
        <v>29130</v>
      </c>
      <c r="F104" s="9">
        <f>'BR OBS'!F106</f>
        <v>6989</v>
      </c>
      <c r="G104" s="9">
        <f>'BR OBS'!G106</f>
        <v>13187</v>
      </c>
      <c r="H104" s="9">
        <f>'BR OBS'!H106</f>
        <v>176665</v>
      </c>
      <c r="I104" s="9">
        <f>'BR OBS'!I106</f>
        <v>21518</v>
      </c>
      <c r="J104" s="9">
        <f>'BR OBS'!J106</f>
        <v>8160</v>
      </c>
      <c r="K104" s="9">
        <f>'BR OBS'!K106</f>
        <v>12625</v>
      </c>
      <c r="L104" s="9">
        <f>'BR OBS'!L106</f>
        <v>34770</v>
      </c>
      <c r="M104" s="9">
        <f>'BR OBS'!M106</f>
        <v>32585</v>
      </c>
      <c r="N104" s="9">
        <f>'BR OBS'!N106</f>
        <v>33576</v>
      </c>
      <c r="O104" s="9">
        <f>'BR OBS'!O106</f>
        <v>37633</v>
      </c>
      <c r="P104" s="9">
        <f>'BR OBS'!P106</f>
        <v>254347</v>
      </c>
      <c r="Q104" s="9">
        <f>'BR OBS'!Q106</f>
        <v>43372</v>
      </c>
      <c r="R104" s="9">
        <f>'BR OBS'!R106</f>
        <v>298350</v>
      </c>
      <c r="S104" s="9">
        <f>'BR OBS'!S106</f>
        <v>196742</v>
      </c>
      <c r="T104" s="9">
        <f>'BR OBS'!T106</f>
        <v>50399</v>
      </c>
      <c r="U104" s="9">
        <f>'BR OBS'!U106</f>
        <v>64015</v>
      </c>
      <c r="V104" s="9">
        <f>'BR OBS'!V106</f>
        <v>37845</v>
      </c>
      <c r="W104" s="9">
        <f>'BR OBS'!W106</f>
        <v>44508</v>
      </c>
      <c r="X104" s="9"/>
      <c r="Y104" s="9">
        <f>'BR SA'!B106</f>
        <v>21656</v>
      </c>
      <c r="Z104" s="9">
        <f>'BR SA'!C106</f>
        <v>55468</v>
      </c>
      <c r="AA104" s="9">
        <f>'BR SA'!D106</f>
        <v>2398</v>
      </c>
      <c r="AB104" s="9">
        <f>'BR SA'!E106</f>
        <v>30935</v>
      </c>
      <c r="AC104" s="9">
        <f>'BR SA'!F106</f>
        <v>6897</v>
      </c>
      <c r="AD104" s="9">
        <f>'BR SA'!G106</f>
        <v>13522</v>
      </c>
      <c r="AE104" s="9">
        <f>'BR SA'!H106</f>
        <v>181234</v>
      </c>
      <c r="AF104" s="9">
        <f>'BR SA'!I106</f>
        <v>22368</v>
      </c>
      <c r="AG104" s="9">
        <f>'BR SA'!J106</f>
        <v>8362</v>
      </c>
      <c r="AH104" s="9">
        <f>'BR SA'!K106</f>
        <v>13003</v>
      </c>
      <c r="AI104" s="9">
        <f>'BR SA'!L106</f>
        <v>35188</v>
      </c>
      <c r="AJ104" s="9">
        <f>'BR SA'!M106</f>
        <v>32666</v>
      </c>
      <c r="AK104" s="9">
        <f>'BR SA'!N106</f>
        <v>34908</v>
      </c>
      <c r="AL104" s="9">
        <f>'BR SA'!O106</f>
        <v>38141</v>
      </c>
      <c r="AM104" s="9">
        <f>'BR SA'!P106</f>
        <v>258064</v>
      </c>
      <c r="AN104" s="9">
        <f>'BR SA'!Q106</f>
        <v>303290</v>
      </c>
      <c r="AO104" s="9">
        <f>'BR SA'!R106</f>
        <v>201606</v>
      </c>
      <c r="AP104" s="9">
        <f>'BR SA'!S106</f>
        <v>52417</v>
      </c>
      <c r="AQ104" s="9">
        <f>'BR SA'!T106</f>
        <v>65050</v>
      </c>
      <c r="AR104" s="9">
        <f>'BR SA'!U106</f>
        <v>40802</v>
      </c>
      <c r="AS104" s="9">
        <f>'BR SA'!V106</f>
        <v>44152</v>
      </c>
      <c r="AU104" s="9">
        <v>21655</v>
      </c>
      <c r="AV104" s="9">
        <v>55468</v>
      </c>
      <c r="AW104" s="9">
        <v>2397</v>
      </c>
      <c r="AX104" s="9">
        <v>30936</v>
      </c>
      <c r="AY104" s="9">
        <v>6897</v>
      </c>
      <c r="AZ104" s="9">
        <v>13575</v>
      </c>
      <c r="BA104" s="9">
        <v>181235</v>
      </c>
      <c r="BB104" s="9">
        <v>22368</v>
      </c>
      <c r="BC104" s="9">
        <v>8362</v>
      </c>
      <c r="BD104" s="9">
        <v>13003</v>
      </c>
      <c r="BE104" s="9">
        <v>35188</v>
      </c>
      <c r="BF104" s="9">
        <v>32630</v>
      </c>
      <c r="BG104" s="9">
        <v>34996</v>
      </c>
      <c r="BH104" s="9">
        <v>38140</v>
      </c>
      <c r="BI104" s="9">
        <v>258064</v>
      </c>
      <c r="BJ104" s="9">
        <v>44701</v>
      </c>
      <c r="BK104" s="9">
        <v>303290</v>
      </c>
      <c r="BL104" s="9">
        <v>201606</v>
      </c>
      <c r="BM104" s="9">
        <v>52416</v>
      </c>
      <c r="BN104" s="9">
        <v>65050</v>
      </c>
      <c r="BO104" s="9">
        <v>40802</v>
      </c>
      <c r="BP104" s="9">
        <v>44153</v>
      </c>
      <c r="BQ104" s="4"/>
      <c r="BR104" s="5">
        <f t="shared" si="3"/>
        <v>-4.6176579239009974E-5</v>
      </c>
      <c r="CB104">
        <v>303130</v>
      </c>
    </row>
    <row r="105" spans="1:80" x14ac:dyDescent="0.25">
      <c r="A105" s="8">
        <v>44287</v>
      </c>
      <c r="B105" s="9">
        <f>'BR OBS'!B107</f>
        <v>23838</v>
      </c>
      <c r="C105" s="9">
        <f>'BR OBS'!C107</f>
        <v>54498</v>
      </c>
      <c r="D105" s="9">
        <f>'BR OBS'!D107</f>
        <v>2479</v>
      </c>
      <c r="E105" s="9">
        <f>'BR OBS'!E107</f>
        <v>29778</v>
      </c>
      <c r="F105" s="9">
        <f>'BR OBS'!F107</f>
        <v>7039</v>
      </c>
      <c r="G105" s="9">
        <f>'BR OBS'!G107</f>
        <v>13475</v>
      </c>
      <c r="H105" s="9">
        <f>'BR OBS'!H107</f>
        <v>180405</v>
      </c>
      <c r="I105" s="9">
        <f>'BR OBS'!I107</f>
        <v>21654</v>
      </c>
      <c r="J105" s="9">
        <f>'BR OBS'!J107</f>
        <v>8314</v>
      </c>
      <c r="K105" s="9">
        <f>'BR OBS'!K107</f>
        <v>13345</v>
      </c>
      <c r="L105" s="9">
        <f>'BR OBS'!L107</f>
        <v>34561</v>
      </c>
      <c r="M105" s="9">
        <f>'BR OBS'!M107</f>
        <v>32670</v>
      </c>
      <c r="N105" s="9">
        <f>'BR OBS'!N107</f>
        <v>35366</v>
      </c>
      <c r="O105" s="9">
        <f>'BR OBS'!O107</f>
        <v>38349</v>
      </c>
      <c r="P105" s="9">
        <f>'BR OBS'!P107</f>
        <v>256515</v>
      </c>
      <c r="Q105" s="9">
        <f>'BR OBS'!Q107</f>
        <v>43323</v>
      </c>
      <c r="R105" s="9">
        <f>'BR OBS'!R107</f>
        <v>300500</v>
      </c>
      <c r="S105" s="9">
        <f>'BR OBS'!S107</f>
        <v>196250</v>
      </c>
      <c r="T105" s="9">
        <f>'BR OBS'!T107</f>
        <v>53310</v>
      </c>
      <c r="U105" s="9">
        <f>'BR OBS'!U107</f>
        <v>61330</v>
      </c>
      <c r="V105" s="9">
        <f>'BR OBS'!V107</f>
        <v>47683</v>
      </c>
      <c r="W105" s="9">
        <f>'BR OBS'!W107</f>
        <v>41611</v>
      </c>
      <c r="X105" s="9"/>
      <c r="Y105" s="9">
        <f>'BR SA'!B107</f>
        <v>21049</v>
      </c>
      <c r="Z105" s="9">
        <f>'BR SA'!C107</f>
        <v>55009</v>
      </c>
      <c r="AA105" s="9">
        <f>'BR SA'!D107</f>
        <v>2503</v>
      </c>
      <c r="AB105" s="9">
        <f>'BR SA'!E107</f>
        <v>30102</v>
      </c>
      <c r="AC105" s="9">
        <f>'BR SA'!F107</f>
        <v>6947</v>
      </c>
      <c r="AD105" s="9">
        <f>'BR SA'!G107</f>
        <v>13909</v>
      </c>
      <c r="AE105" s="9">
        <f>'BR SA'!H107</f>
        <v>182346</v>
      </c>
      <c r="AF105" s="9">
        <f>'BR SA'!I107</f>
        <v>22237</v>
      </c>
      <c r="AG105" s="9">
        <f>'BR SA'!J107</f>
        <v>8489</v>
      </c>
      <c r="AH105" s="9">
        <f>'BR SA'!K107</f>
        <v>13599</v>
      </c>
      <c r="AI105" s="9">
        <f>'BR SA'!L107</f>
        <v>35141</v>
      </c>
      <c r="AJ105" s="9">
        <f>'BR SA'!M107</f>
        <v>32683</v>
      </c>
      <c r="AK105" s="9">
        <f>'BR SA'!N107</f>
        <v>35915</v>
      </c>
      <c r="AL105" s="9">
        <f>'BR SA'!O107</f>
        <v>38174</v>
      </c>
      <c r="AM105" s="9">
        <f>'BR SA'!P107</f>
        <v>257199</v>
      </c>
      <c r="AN105" s="9">
        <f>'BR SA'!Q107</f>
        <v>302265</v>
      </c>
      <c r="AO105" s="9">
        <f>'BR SA'!R107</f>
        <v>201215</v>
      </c>
      <c r="AP105" s="9">
        <f>'BR SA'!S107</f>
        <v>52987</v>
      </c>
      <c r="AQ105" s="9">
        <f>'BR SA'!T107</f>
        <v>62587</v>
      </c>
      <c r="AR105" s="9">
        <f>'BR SA'!U107</f>
        <v>46407</v>
      </c>
      <c r="AS105" s="9">
        <f>'BR SA'!V107</f>
        <v>43751</v>
      </c>
      <c r="AU105" s="9">
        <v>21049</v>
      </c>
      <c r="AV105" s="9">
        <v>55009</v>
      </c>
      <c r="AW105" s="9">
        <v>2503</v>
      </c>
      <c r="AX105" s="9">
        <v>30102</v>
      </c>
      <c r="AY105" s="9">
        <v>6947</v>
      </c>
      <c r="AZ105" s="9">
        <v>13912</v>
      </c>
      <c r="BA105" s="9">
        <v>182347</v>
      </c>
      <c r="BB105" s="9">
        <v>22237</v>
      </c>
      <c r="BC105" s="9">
        <v>8489</v>
      </c>
      <c r="BD105" s="9">
        <v>13600</v>
      </c>
      <c r="BE105" s="9">
        <v>35141</v>
      </c>
      <c r="BF105" s="9">
        <v>32690</v>
      </c>
      <c r="BG105" s="9">
        <v>35926</v>
      </c>
      <c r="BH105" s="9">
        <v>38160</v>
      </c>
      <c r="BI105" s="9">
        <v>257199</v>
      </c>
      <c r="BJ105" s="9">
        <v>44441</v>
      </c>
      <c r="BK105" s="9">
        <v>302265</v>
      </c>
      <c r="BL105" s="9">
        <v>201215</v>
      </c>
      <c r="BM105" s="9">
        <v>52987</v>
      </c>
      <c r="BN105" s="9">
        <v>62587</v>
      </c>
      <c r="BO105" s="9">
        <v>46406</v>
      </c>
      <c r="BP105" s="9">
        <v>43751</v>
      </c>
      <c r="BQ105" s="4"/>
      <c r="BR105" s="5">
        <f t="shared" si="3"/>
        <v>0</v>
      </c>
      <c r="CB105">
        <v>302546</v>
      </c>
    </row>
    <row r="106" spans="1:80" x14ac:dyDescent="0.25">
      <c r="A106" s="8">
        <v>44378</v>
      </c>
      <c r="B106" s="9">
        <f>'BR OBS'!B108</f>
        <v>17963</v>
      </c>
      <c r="C106" s="9">
        <f>'BR OBS'!C108</f>
        <v>57494</v>
      </c>
      <c r="D106" s="9">
        <f>'BR OBS'!D108</f>
        <v>2678</v>
      </c>
      <c r="E106" s="9">
        <f>'BR OBS'!E108</f>
        <v>31515</v>
      </c>
      <c r="F106" s="9">
        <f>'BR OBS'!F108</f>
        <v>6693</v>
      </c>
      <c r="G106" s="9">
        <f>'BR OBS'!G108</f>
        <v>14970</v>
      </c>
      <c r="H106" s="9">
        <f>'BR OBS'!H108</f>
        <v>186512</v>
      </c>
      <c r="I106" s="9">
        <f>'BR OBS'!I108</f>
        <v>22768</v>
      </c>
      <c r="J106" s="9">
        <f>'BR OBS'!J108</f>
        <v>8823</v>
      </c>
      <c r="K106" s="9">
        <f>'BR OBS'!K108</f>
        <v>13800</v>
      </c>
      <c r="L106" s="9">
        <f>'BR OBS'!L108</f>
        <v>35000</v>
      </c>
      <c r="M106" s="9">
        <f>'BR OBS'!M108</f>
        <v>32682</v>
      </c>
      <c r="N106" s="9">
        <f>'BR OBS'!N108</f>
        <v>37863</v>
      </c>
      <c r="O106" s="9">
        <f>'BR OBS'!O108</f>
        <v>38604</v>
      </c>
      <c r="P106" s="9">
        <f>'BR OBS'!P108</f>
        <v>260903</v>
      </c>
      <c r="Q106" s="9">
        <f>'BR OBS'!Q108</f>
        <v>45405</v>
      </c>
      <c r="R106" s="9">
        <f>'BR OBS'!R108</f>
        <v>306899</v>
      </c>
      <c r="S106" s="9">
        <f>'BR OBS'!S108</f>
        <v>203749</v>
      </c>
      <c r="T106" s="9">
        <f>'BR OBS'!T108</f>
        <v>53699</v>
      </c>
      <c r="U106" s="9">
        <f>'BR OBS'!U108</f>
        <v>64006</v>
      </c>
      <c r="V106" s="9">
        <f>'BR OBS'!V108</f>
        <v>43590</v>
      </c>
      <c r="W106" s="9">
        <f>'BR OBS'!W108</f>
        <v>41986</v>
      </c>
      <c r="X106" s="9"/>
      <c r="Y106" s="9">
        <f>'BR SA'!B108</f>
        <v>19482</v>
      </c>
      <c r="Z106" s="9">
        <f>'BR SA'!C108</f>
        <v>54952</v>
      </c>
      <c r="AA106" s="9">
        <f>'BR SA'!D108</f>
        <v>2541</v>
      </c>
      <c r="AB106" s="9">
        <f>'BR SA'!E108</f>
        <v>29677</v>
      </c>
      <c r="AC106" s="9">
        <f>'BR SA'!F108</f>
        <v>6842</v>
      </c>
      <c r="AD106" s="9">
        <f>'BR SA'!G108</f>
        <v>14463</v>
      </c>
      <c r="AE106" s="9">
        <f>'BR SA'!H108</f>
        <v>184624</v>
      </c>
      <c r="AF106" s="9">
        <f>'BR SA'!I108</f>
        <v>22017</v>
      </c>
      <c r="AG106" s="9">
        <f>'BR SA'!J108</f>
        <v>8652</v>
      </c>
      <c r="AH106" s="9">
        <f>'BR SA'!K108</f>
        <v>13986</v>
      </c>
      <c r="AI106" s="9">
        <f>'BR SA'!L108</f>
        <v>35018</v>
      </c>
      <c r="AJ106" s="9">
        <f>'BR SA'!M108</f>
        <v>32651</v>
      </c>
      <c r="AK106" s="9">
        <f>'BR SA'!N108</f>
        <v>37359</v>
      </c>
      <c r="AL106" s="9">
        <f>'BR SA'!O108</f>
        <v>38484</v>
      </c>
      <c r="AM106" s="9">
        <f>'BR SA'!P108</f>
        <v>256873</v>
      </c>
      <c r="AN106" s="9">
        <f>'BR SA'!Q108</f>
        <v>302077</v>
      </c>
      <c r="AO106" s="9">
        <f>'BR SA'!R108</f>
        <v>203153</v>
      </c>
      <c r="AP106" s="9">
        <f>'BR SA'!S108</f>
        <v>53547</v>
      </c>
      <c r="AQ106" s="9">
        <f>'BR SA'!T108</f>
        <v>62211</v>
      </c>
      <c r="AR106" s="9">
        <f>'BR SA'!U108</f>
        <v>41865</v>
      </c>
      <c r="AS106" s="9">
        <f>'BR SA'!V108</f>
        <v>41526</v>
      </c>
      <c r="AU106" s="9">
        <v>19482</v>
      </c>
      <c r="AV106" s="9">
        <v>54953</v>
      </c>
      <c r="AW106" s="9">
        <v>2541</v>
      </c>
      <c r="AX106" s="9">
        <v>29678</v>
      </c>
      <c r="AY106" s="9">
        <v>6842</v>
      </c>
      <c r="AZ106" s="9">
        <v>14434</v>
      </c>
      <c r="BA106" s="9">
        <v>184625</v>
      </c>
      <c r="BB106" s="9">
        <v>22017</v>
      </c>
      <c r="BC106" s="9">
        <v>8652</v>
      </c>
      <c r="BD106" s="9">
        <v>13985</v>
      </c>
      <c r="BE106" s="9">
        <v>35018</v>
      </c>
      <c r="BF106" s="9">
        <v>32680</v>
      </c>
      <c r="BG106" s="9">
        <v>37324</v>
      </c>
      <c r="BH106" s="9">
        <v>38498</v>
      </c>
      <c r="BI106" s="9">
        <v>256873</v>
      </c>
      <c r="BJ106" s="9">
        <v>44601</v>
      </c>
      <c r="BK106" s="9">
        <v>302077</v>
      </c>
      <c r="BL106" s="9">
        <v>203153</v>
      </c>
      <c r="BM106" s="9">
        <v>53547</v>
      </c>
      <c r="BN106" s="9">
        <v>62211</v>
      </c>
      <c r="BO106" s="9">
        <v>41865</v>
      </c>
      <c r="BP106" s="9">
        <v>41526</v>
      </c>
      <c r="BQ106" s="4"/>
      <c r="BR106" s="5">
        <f t="shared" si="3"/>
        <v>0</v>
      </c>
      <c r="CB106">
        <v>302075</v>
      </c>
    </row>
    <row r="107" spans="1:80" x14ac:dyDescent="0.25">
      <c r="A107" s="8">
        <v>44470</v>
      </c>
      <c r="B107" s="9">
        <f>'BR OBS'!B109</f>
        <v>13524</v>
      </c>
      <c r="C107" s="9">
        <f>'BR OBS'!C109</f>
        <v>54808</v>
      </c>
      <c r="D107" s="9">
        <f>'BR OBS'!D109</f>
        <v>2515</v>
      </c>
      <c r="E107" s="9">
        <f>'BR OBS'!E109</f>
        <v>29239</v>
      </c>
      <c r="F107" s="9">
        <f>'BR OBS'!F109</f>
        <v>6788</v>
      </c>
      <c r="G107" s="9">
        <f>'BR OBS'!G109</f>
        <v>14988</v>
      </c>
      <c r="H107" s="9">
        <f>'BR OBS'!H109</f>
        <v>189963</v>
      </c>
      <c r="I107" s="9">
        <f>'BR OBS'!I109</f>
        <v>22219</v>
      </c>
      <c r="J107" s="9">
        <f>'BR OBS'!J109</f>
        <v>9088</v>
      </c>
      <c r="K107" s="9">
        <f>'BR OBS'!K109</f>
        <v>15301</v>
      </c>
      <c r="L107" s="9">
        <f>'BR OBS'!L109</f>
        <v>36063</v>
      </c>
      <c r="M107" s="9">
        <f>'BR OBS'!M109</f>
        <v>32570</v>
      </c>
      <c r="N107" s="9">
        <f>'BR OBS'!N109</f>
        <v>39640</v>
      </c>
      <c r="O107" s="9">
        <f>'BR OBS'!O109</f>
        <v>39007</v>
      </c>
      <c r="P107" s="9">
        <f>'BR OBS'!P109</f>
        <v>258265</v>
      </c>
      <c r="Q107" s="9">
        <f>'BR OBS'!Q109</f>
        <v>46422</v>
      </c>
      <c r="R107" s="9">
        <f>'BR OBS'!R109</f>
        <v>305184</v>
      </c>
      <c r="S107" s="9">
        <f>'BR OBS'!S109</f>
        <v>213511</v>
      </c>
      <c r="T107" s="9">
        <f>'BR OBS'!T109</f>
        <v>55555</v>
      </c>
      <c r="U107" s="9">
        <f>'BR OBS'!U109</f>
        <v>62843</v>
      </c>
      <c r="V107" s="9">
        <f>'BR OBS'!V109</f>
        <v>40928</v>
      </c>
      <c r="W107" s="9">
        <f>'BR OBS'!W109</f>
        <v>42973</v>
      </c>
      <c r="X107" s="9"/>
      <c r="Y107" s="9">
        <f>'BR SA'!B109</f>
        <v>20612</v>
      </c>
      <c r="Z107" s="9">
        <f>'BR SA'!C109</f>
        <v>54273</v>
      </c>
      <c r="AA107" s="9">
        <f>'BR SA'!D109</f>
        <v>2480</v>
      </c>
      <c r="AB107" s="9">
        <f>'BR SA'!E109</f>
        <v>28949</v>
      </c>
      <c r="AC107" s="9">
        <f>'BR SA'!F109</f>
        <v>6827</v>
      </c>
      <c r="AD107" s="9">
        <f>'BR SA'!G109</f>
        <v>14678</v>
      </c>
      <c r="AE107" s="9">
        <f>'BR SA'!H109</f>
        <v>185526</v>
      </c>
      <c r="AF107" s="9">
        <f>'BR SA'!I109</f>
        <v>21578</v>
      </c>
      <c r="AG107" s="9">
        <f>'BR SA'!J109</f>
        <v>8879</v>
      </c>
      <c r="AH107" s="9">
        <f>'BR SA'!K109</f>
        <v>14457</v>
      </c>
      <c r="AI107" s="9">
        <f>'BR SA'!L109</f>
        <v>35033</v>
      </c>
      <c r="AJ107" s="9">
        <f>'BR SA'!M109</f>
        <v>32515</v>
      </c>
      <c r="AK107" s="9">
        <f>'BR SA'!N109</f>
        <v>38130</v>
      </c>
      <c r="AL107" s="9">
        <f>'BR SA'!O109</f>
        <v>38859</v>
      </c>
      <c r="AM107" s="9">
        <f>'BR SA'!P109</f>
        <v>258329</v>
      </c>
      <c r="AN107" s="9">
        <f>'BR SA'!Q109</f>
        <v>303721</v>
      </c>
      <c r="AO107" s="9">
        <f>'BR SA'!R109</f>
        <v>204588</v>
      </c>
      <c r="AP107" s="9">
        <f>'BR SA'!S109</f>
        <v>54000</v>
      </c>
      <c r="AQ107" s="9">
        <f>'BR SA'!T109</f>
        <v>62490</v>
      </c>
      <c r="AR107" s="9">
        <f>'BR SA'!U109</f>
        <v>40854</v>
      </c>
      <c r="AS107" s="9">
        <f>'BR SA'!V109</f>
        <v>41749</v>
      </c>
      <c r="AU107" s="9">
        <v>20613</v>
      </c>
      <c r="AV107" s="9">
        <v>54273</v>
      </c>
      <c r="AW107" s="9">
        <v>2480</v>
      </c>
      <c r="AX107" s="9">
        <v>28949</v>
      </c>
      <c r="AY107" s="9">
        <v>6827</v>
      </c>
      <c r="AZ107" s="9">
        <v>14661</v>
      </c>
      <c r="BA107" s="9">
        <v>185526</v>
      </c>
      <c r="BB107" s="9">
        <v>21578</v>
      </c>
      <c r="BC107" s="9">
        <v>8879</v>
      </c>
      <c r="BD107" s="9">
        <v>14457</v>
      </c>
      <c r="BE107" s="9">
        <v>35032</v>
      </c>
      <c r="BF107" s="9">
        <v>32540</v>
      </c>
      <c r="BG107" s="9">
        <v>38042</v>
      </c>
      <c r="BH107" s="9">
        <v>38872</v>
      </c>
      <c r="BI107" s="9">
        <v>258329</v>
      </c>
      <c r="BJ107" s="9">
        <v>44758</v>
      </c>
      <c r="BK107" s="9">
        <v>303721</v>
      </c>
      <c r="BL107" s="9">
        <v>204588</v>
      </c>
      <c r="BM107" s="9">
        <v>54001</v>
      </c>
      <c r="BN107" s="9">
        <v>62491</v>
      </c>
      <c r="BO107" s="9">
        <v>40853</v>
      </c>
      <c r="BP107" s="9">
        <v>41749</v>
      </c>
      <c r="BR107" s="5">
        <f t="shared" si="3"/>
        <v>4.8515427906074132E-5</v>
      </c>
      <c r="CB107">
        <v>303569</v>
      </c>
    </row>
    <row r="108" spans="1:80" x14ac:dyDescent="0.25">
      <c r="A108" s="1"/>
    </row>
    <row r="109" spans="1:80" x14ac:dyDescent="0.25">
      <c r="A109" s="1"/>
    </row>
    <row r="110" spans="1:80" x14ac:dyDescent="0.25">
      <c r="A110" s="1"/>
    </row>
    <row r="111" spans="1:80" x14ac:dyDescent="0.25">
      <c r="A111" s="1"/>
    </row>
    <row r="112" spans="1:80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</sheetData>
  <pageMargins left="0.511811024" right="0.511811024" top="0.78740157499999996" bottom="0.78740157499999996" header="0.31496062000000002" footer="0.31496062000000002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12C34-B34E-4B89-BF6C-AC12B3BCA9AC}">
  <sheetPr codeName="Planilha5"/>
  <dimension ref="A1:F312"/>
  <sheetViews>
    <sheetView workbookViewId="0"/>
  </sheetViews>
  <sheetFormatPr defaultRowHeight="15" x14ac:dyDescent="0.25"/>
  <cols>
    <col min="1" max="1" width="16.7109375" bestFit="1" customWidth="1"/>
    <col min="2" max="3" width="19.42578125" customWidth="1"/>
  </cols>
  <sheetData>
    <row r="1" spans="1:6" x14ac:dyDescent="0.25">
      <c r="A1" t="s">
        <v>148</v>
      </c>
    </row>
    <row r="2" spans="1:6" x14ac:dyDescent="0.25">
      <c r="A2" t="s">
        <v>149</v>
      </c>
    </row>
    <row r="3" spans="1:6" x14ac:dyDescent="0.25">
      <c r="A3" t="s">
        <v>150</v>
      </c>
    </row>
    <row r="4" spans="1:6" x14ac:dyDescent="0.25">
      <c r="A4" t="s">
        <v>151</v>
      </c>
    </row>
    <row r="5" spans="1:6" x14ac:dyDescent="0.25">
      <c r="A5" t="s">
        <v>152</v>
      </c>
    </row>
    <row r="6" spans="1:6" x14ac:dyDescent="0.25">
      <c r="A6" t="s">
        <v>153</v>
      </c>
    </row>
    <row r="8" spans="1:6" x14ac:dyDescent="0.25">
      <c r="A8" t="s">
        <v>154</v>
      </c>
      <c r="B8" t="s">
        <v>155</v>
      </c>
    </row>
    <row r="9" spans="1:6" x14ac:dyDescent="0.25">
      <c r="A9" t="s">
        <v>156</v>
      </c>
      <c r="B9" t="s">
        <v>157</v>
      </c>
    </row>
    <row r="11" spans="1:6" x14ac:dyDescent="0.25">
      <c r="A11" t="s">
        <v>158</v>
      </c>
    </row>
    <row r="12" spans="1:6" x14ac:dyDescent="0.25">
      <c r="A12" t="s">
        <v>146</v>
      </c>
      <c r="B12" t="s">
        <v>154</v>
      </c>
      <c r="C12" t="s">
        <v>156</v>
      </c>
      <c r="E12" t="s">
        <v>7</v>
      </c>
    </row>
    <row r="13" spans="1:6" x14ac:dyDescent="0.25">
      <c r="A13" s="15">
        <v>17168</v>
      </c>
      <c r="B13" s="4">
        <v>1934.5</v>
      </c>
      <c r="C13" s="16">
        <v>2034.45</v>
      </c>
      <c r="E13" cm="1">
        <f t="array" ref="E13:F289">xlDESSAZ(A13:A289,B13:C289)</f>
        <v>1939.34220174596</v>
      </c>
      <c r="F13">
        <v>2039.2243091144201</v>
      </c>
    </row>
    <row r="14" spans="1:6" x14ac:dyDescent="0.25">
      <c r="A14" s="15">
        <v>17258</v>
      </c>
      <c r="B14" s="4">
        <v>1932.3</v>
      </c>
      <c r="C14" s="16">
        <v>2029.0239999999999</v>
      </c>
      <c r="E14">
        <v>1934.8594783329399</v>
      </c>
      <c r="F14">
        <v>2031.4666144584501</v>
      </c>
    </row>
    <row r="15" spans="1:6" x14ac:dyDescent="0.25">
      <c r="A15" s="15">
        <v>17349</v>
      </c>
      <c r="B15" s="4">
        <v>1930.3</v>
      </c>
      <c r="C15" s="16">
        <v>2024.8340000000001</v>
      </c>
      <c r="E15">
        <v>1926.9753344210701</v>
      </c>
      <c r="F15">
        <v>2020.89012899406</v>
      </c>
    </row>
    <row r="16" spans="1:6" x14ac:dyDescent="0.25">
      <c r="A16" s="15">
        <v>17441</v>
      </c>
      <c r="B16" s="4">
        <v>1960.7</v>
      </c>
      <c r="C16" s="16">
        <v>2056.5079999999998</v>
      </c>
      <c r="E16">
        <v>1956.5043523715999</v>
      </c>
      <c r="F16">
        <v>2053.1368539689302</v>
      </c>
    </row>
    <row r="17" spans="1:6" x14ac:dyDescent="0.25">
      <c r="A17" s="15">
        <v>17533</v>
      </c>
      <c r="B17" s="4">
        <v>1989.5</v>
      </c>
      <c r="C17" s="16">
        <v>2087.442</v>
      </c>
      <c r="E17">
        <v>1994.5971084811299</v>
      </c>
      <c r="F17">
        <v>2092.4576518632798</v>
      </c>
    </row>
    <row r="18" spans="1:6" x14ac:dyDescent="0.25">
      <c r="A18" s="15">
        <v>17624</v>
      </c>
      <c r="B18" s="4">
        <v>2021.9</v>
      </c>
      <c r="C18" s="16">
        <v>2121.8989999999999</v>
      </c>
      <c r="E18">
        <v>2024.8770681477799</v>
      </c>
      <c r="F18">
        <v>2124.7670196921399</v>
      </c>
    </row>
    <row r="19" spans="1:6" x14ac:dyDescent="0.25">
      <c r="A19" s="15">
        <v>17715</v>
      </c>
      <c r="B19" s="4">
        <v>2033.2</v>
      </c>
      <c r="C19" s="16">
        <v>2134.056</v>
      </c>
      <c r="E19">
        <v>2028.92107245529</v>
      </c>
      <c r="F19">
        <v>2129.1312700993899</v>
      </c>
    </row>
    <row r="20" spans="1:6" x14ac:dyDescent="0.25">
      <c r="A20" s="15">
        <v>17807</v>
      </c>
      <c r="B20" s="4">
        <v>2035.3</v>
      </c>
      <c r="C20" s="16">
        <v>2136.44</v>
      </c>
      <c r="E20">
        <v>2031.66803475609</v>
      </c>
      <c r="F20">
        <v>2133.6118771014899</v>
      </c>
    </row>
    <row r="21" spans="1:6" x14ac:dyDescent="0.25">
      <c r="A21" s="15">
        <v>17899</v>
      </c>
      <c r="B21" s="4">
        <v>2007.5</v>
      </c>
      <c r="C21" s="16">
        <v>2107.0010000000002</v>
      </c>
      <c r="E21">
        <v>2012.2767766188399</v>
      </c>
      <c r="F21">
        <v>2111.7352447927901</v>
      </c>
    </row>
    <row r="22" spans="1:6" x14ac:dyDescent="0.25">
      <c r="A22" s="15">
        <v>17989</v>
      </c>
      <c r="B22" s="4">
        <v>2000.8</v>
      </c>
      <c r="C22" s="16">
        <v>2099.8139999999999</v>
      </c>
      <c r="E22">
        <v>2004.16181220559</v>
      </c>
      <c r="F22">
        <v>2103.0559619681399</v>
      </c>
    </row>
    <row r="23" spans="1:6" x14ac:dyDescent="0.25">
      <c r="A23" s="15">
        <v>18080</v>
      </c>
      <c r="B23" s="4">
        <v>2022.8</v>
      </c>
      <c r="C23" s="16">
        <v>2121.4929999999999</v>
      </c>
      <c r="E23">
        <v>2017.6490839057501</v>
      </c>
      <c r="F23">
        <v>2115.7517373194</v>
      </c>
    </row>
    <row r="24" spans="1:6" x14ac:dyDescent="0.25">
      <c r="A24" s="15">
        <v>18172</v>
      </c>
      <c r="B24" s="4">
        <v>2004.7</v>
      </c>
      <c r="C24" s="16">
        <v>2103.6880000000001</v>
      </c>
      <c r="E24">
        <v>2002.3682304726201</v>
      </c>
      <c r="F24">
        <v>2102.0651932665701</v>
      </c>
    </row>
    <row r="25" spans="1:6" x14ac:dyDescent="0.25">
      <c r="A25" s="15">
        <v>18264</v>
      </c>
      <c r="B25" s="4">
        <v>2084.6</v>
      </c>
      <c r="C25" s="16">
        <v>2186.3649999999998</v>
      </c>
      <c r="E25">
        <v>2088.6465986887802</v>
      </c>
      <c r="F25">
        <v>2190.4042935109701</v>
      </c>
    </row>
    <row r="26" spans="1:6" x14ac:dyDescent="0.25">
      <c r="A26" s="15">
        <v>18354</v>
      </c>
      <c r="B26" s="4">
        <v>2147.6</v>
      </c>
      <c r="C26" s="16">
        <v>2253.0450000000001</v>
      </c>
      <c r="E26">
        <v>2151.29889934939</v>
      </c>
      <c r="F26">
        <v>2256.6153441285701</v>
      </c>
    </row>
    <row r="27" spans="1:6" x14ac:dyDescent="0.25">
      <c r="A27" s="15">
        <v>18445</v>
      </c>
      <c r="B27" s="4">
        <v>2230.4</v>
      </c>
      <c r="C27" s="16">
        <v>2340.1120000000001</v>
      </c>
      <c r="E27">
        <v>2224.0914276824901</v>
      </c>
      <c r="F27">
        <v>2333.1968473530201</v>
      </c>
    </row>
    <row r="28" spans="1:6" x14ac:dyDescent="0.25">
      <c r="A28" s="15">
        <v>18537</v>
      </c>
      <c r="B28" s="4">
        <v>2273.4</v>
      </c>
      <c r="C28" s="16">
        <v>2384.92</v>
      </c>
      <c r="E28">
        <v>2272.9803063983099</v>
      </c>
      <c r="F28">
        <v>2385.2536838997098</v>
      </c>
    </row>
    <row r="29" spans="1:6" x14ac:dyDescent="0.25">
      <c r="A29" s="15">
        <v>18629</v>
      </c>
      <c r="B29" s="4">
        <v>2304.5</v>
      </c>
      <c r="C29" s="16">
        <v>2417.3110000000001</v>
      </c>
      <c r="E29">
        <v>2307.1867225492001</v>
      </c>
      <c r="F29">
        <v>2419.9564555772899</v>
      </c>
    </row>
    <row r="30" spans="1:6" x14ac:dyDescent="0.25">
      <c r="A30" s="15">
        <v>18719</v>
      </c>
      <c r="B30" s="4">
        <v>2344.5</v>
      </c>
      <c r="C30" s="16">
        <v>2459.1959999999999</v>
      </c>
      <c r="E30">
        <v>2348.0622174946102</v>
      </c>
      <c r="F30">
        <v>2462.6439029506901</v>
      </c>
    </row>
    <row r="31" spans="1:6" x14ac:dyDescent="0.25">
      <c r="A31" s="15">
        <v>18810</v>
      </c>
      <c r="B31" s="4">
        <v>2392.8000000000002</v>
      </c>
      <c r="C31" s="16">
        <v>2509.88</v>
      </c>
      <c r="E31">
        <v>2386.42657473189</v>
      </c>
      <c r="F31">
        <v>2502.99561765521</v>
      </c>
    </row>
    <row r="32" spans="1:6" x14ac:dyDescent="0.25">
      <c r="A32" s="15">
        <v>18902</v>
      </c>
      <c r="B32" s="4">
        <v>2398.1</v>
      </c>
      <c r="C32" s="16">
        <v>2515.4079999999999</v>
      </c>
      <c r="E32">
        <v>2399.8863178470701</v>
      </c>
      <c r="F32">
        <v>2517.8250088822401</v>
      </c>
    </row>
    <row r="33" spans="1:6" x14ac:dyDescent="0.25">
      <c r="A33" s="15">
        <v>18994</v>
      </c>
      <c r="B33" s="4">
        <v>2423.5</v>
      </c>
      <c r="C33" s="16">
        <v>2542.2860000000001</v>
      </c>
      <c r="E33">
        <v>2424.1148968623702</v>
      </c>
      <c r="F33">
        <v>2542.8276594859299</v>
      </c>
    </row>
    <row r="34" spans="1:6" x14ac:dyDescent="0.25">
      <c r="A34" s="15">
        <v>19085</v>
      </c>
      <c r="B34" s="4">
        <v>2428.5</v>
      </c>
      <c r="C34" s="16">
        <v>2547.7620000000002</v>
      </c>
      <c r="E34">
        <v>2431.2340909651798</v>
      </c>
      <c r="F34">
        <v>2550.4127904822499</v>
      </c>
    </row>
    <row r="35" spans="1:6" x14ac:dyDescent="0.25">
      <c r="A35" s="15">
        <v>19176</v>
      </c>
      <c r="B35" s="4">
        <v>2446.1</v>
      </c>
      <c r="C35" s="16">
        <v>2566.1529999999998</v>
      </c>
      <c r="E35">
        <v>2440.9084695054698</v>
      </c>
      <c r="F35">
        <v>2560.6178596209802</v>
      </c>
    </row>
    <row r="36" spans="1:6" x14ac:dyDescent="0.25">
      <c r="A36" s="15">
        <v>19268</v>
      </c>
      <c r="B36" s="4">
        <v>2526.4</v>
      </c>
      <c r="C36" s="16">
        <v>2650.431</v>
      </c>
      <c r="E36">
        <v>2529.8092386705398</v>
      </c>
      <c r="F36">
        <v>2654.3680055074501</v>
      </c>
    </row>
    <row r="37" spans="1:6" x14ac:dyDescent="0.25">
      <c r="A37" s="15">
        <v>19360</v>
      </c>
      <c r="B37" s="4">
        <v>2573.4</v>
      </c>
      <c r="C37" s="16">
        <v>2699.6990000000001</v>
      </c>
      <c r="E37">
        <v>2572.4038672738702</v>
      </c>
      <c r="F37">
        <v>2698.5180616695002</v>
      </c>
    </row>
    <row r="38" spans="1:6" x14ac:dyDescent="0.25">
      <c r="A38" s="15">
        <v>19450</v>
      </c>
      <c r="B38" s="4">
        <v>2593.5</v>
      </c>
      <c r="C38" s="16">
        <v>2720.5659999999998</v>
      </c>
      <c r="E38">
        <v>2594.7793874152098</v>
      </c>
      <c r="F38">
        <v>2721.7686519773401</v>
      </c>
    </row>
    <row r="39" spans="1:6" x14ac:dyDescent="0.25">
      <c r="A39" s="15">
        <v>19541</v>
      </c>
      <c r="B39" s="4">
        <v>2578.9</v>
      </c>
      <c r="C39" s="16">
        <v>2705.2579999999998</v>
      </c>
      <c r="E39">
        <v>2576.1848536175298</v>
      </c>
      <c r="F39">
        <v>2702.3831595684001</v>
      </c>
    </row>
    <row r="40" spans="1:6" x14ac:dyDescent="0.25">
      <c r="A40" s="15">
        <v>19633</v>
      </c>
      <c r="B40" s="4">
        <v>2539.8000000000002</v>
      </c>
      <c r="C40" s="16">
        <v>2664.3020000000001</v>
      </c>
      <c r="E40">
        <v>2542.5792884385</v>
      </c>
      <c r="F40">
        <v>2667.68561546623</v>
      </c>
    </row>
    <row r="41" spans="1:6" x14ac:dyDescent="0.25">
      <c r="A41" s="15">
        <v>19725</v>
      </c>
      <c r="B41" s="4">
        <v>2528</v>
      </c>
      <c r="C41" s="16">
        <v>2651.5659999999998</v>
      </c>
      <c r="E41">
        <v>2526.6088111100298</v>
      </c>
      <c r="F41">
        <v>2649.65488256049</v>
      </c>
    </row>
    <row r="42" spans="1:6" x14ac:dyDescent="0.25">
      <c r="A42" s="15">
        <v>19815</v>
      </c>
      <c r="B42" s="4">
        <v>2530.6999999999998</v>
      </c>
      <c r="C42" s="16">
        <v>2654.4560000000001</v>
      </c>
      <c r="E42">
        <v>2531.3998468848699</v>
      </c>
      <c r="F42">
        <v>2655.0749272057301</v>
      </c>
    </row>
    <row r="43" spans="1:6" x14ac:dyDescent="0.25">
      <c r="A43" s="15">
        <v>19906</v>
      </c>
      <c r="B43" s="4">
        <v>2559.4</v>
      </c>
      <c r="C43" s="16">
        <v>2684.4340000000002</v>
      </c>
      <c r="E43">
        <v>2558.2976792770601</v>
      </c>
      <c r="F43">
        <v>2682.93107305887</v>
      </c>
    </row>
    <row r="44" spans="1:6" x14ac:dyDescent="0.25">
      <c r="A44" s="15">
        <v>19998</v>
      </c>
      <c r="B44" s="4">
        <v>2609.3000000000002</v>
      </c>
      <c r="C44" s="16">
        <v>2736.96</v>
      </c>
      <c r="E44">
        <v>2609.64753471431</v>
      </c>
      <c r="F44">
        <v>2739.5803679638698</v>
      </c>
    </row>
    <row r="45" spans="1:6" x14ac:dyDescent="0.25">
      <c r="A45" s="15">
        <v>20090</v>
      </c>
      <c r="B45" s="4">
        <v>2683.8</v>
      </c>
      <c r="C45" s="16">
        <v>2815.134</v>
      </c>
      <c r="E45">
        <v>2684.36496667034</v>
      </c>
      <c r="F45">
        <v>2813.2401516537602</v>
      </c>
    </row>
    <row r="46" spans="1:6" x14ac:dyDescent="0.25">
      <c r="A46" s="15">
        <v>20180</v>
      </c>
      <c r="B46" s="4">
        <v>2727.5</v>
      </c>
      <c r="C46" s="16">
        <v>2860.942</v>
      </c>
      <c r="E46">
        <v>2728.2512254121398</v>
      </c>
      <c r="F46">
        <v>2861.8756171766299</v>
      </c>
    </row>
    <row r="47" spans="1:6" x14ac:dyDescent="0.25">
      <c r="A47" s="15">
        <v>20271</v>
      </c>
      <c r="B47" s="4">
        <v>2764.1</v>
      </c>
      <c r="C47" s="16">
        <v>2899.578</v>
      </c>
      <c r="E47">
        <v>2763.2379909199799</v>
      </c>
      <c r="F47">
        <v>2898.3189878911799</v>
      </c>
    </row>
    <row r="48" spans="1:6" x14ac:dyDescent="0.25">
      <c r="A48" s="15">
        <v>20363</v>
      </c>
      <c r="B48" s="4">
        <v>2780.8</v>
      </c>
      <c r="C48" s="16">
        <v>2916.9850000000001</v>
      </c>
      <c r="E48">
        <v>2778.1349644173101</v>
      </c>
      <c r="F48">
        <v>2918.5661728405598</v>
      </c>
    </row>
    <row r="49" spans="1:6" x14ac:dyDescent="0.25">
      <c r="A49" s="15">
        <v>20455</v>
      </c>
      <c r="B49" s="4">
        <v>2770</v>
      </c>
      <c r="C49" s="16">
        <v>2905.6559999999999</v>
      </c>
      <c r="E49">
        <v>2773.6581913148002</v>
      </c>
      <c r="F49">
        <v>2904.4699073562301</v>
      </c>
    </row>
    <row r="50" spans="1:6" x14ac:dyDescent="0.25">
      <c r="A50" s="15">
        <v>20546</v>
      </c>
      <c r="B50" s="4">
        <v>2792.9</v>
      </c>
      <c r="C50" s="16">
        <v>2929.6660000000002</v>
      </c>
      <c r="E50">
        <v>2793.76003554301</v>
      </c>
      <c r="F50">
        <v>2931.2508004021902</v>
      </c>
    </row>
    <row r="51" spans="1:6" x14ac:dyDescent="0.25">
      <c r="A51" s="15">
        <v>20637</v>
      </c>
      <c r="B51" s="4">
        <v>2790.6</v>
      </c>
      <c r="C51" s="16">
        <v>2927.0340000000001</v>
      </c>
      <c r="E51">
        <v>2788.63303256471</v>
      </c>
      <c r="F51">
        <v>2924.56529970764</v>
      </c>
    </row>
    <row r="52" spans="1:6" x14ac:dyDescent="0.25">
      <c r="A52" s="15">
        <v>20729</v>
      </c>
      <c r="B52" s="4">
        <v>2836.2</v>
      </c>
      <c r="C52" s="16">
        <v>2975.2089999999998</v>
      </c>
      <c r="E52">
        <v>2831.7107528245501</v>
      </c>
      <c r="F52">
        <v>2976.99531174095</v>
      </c>
    </row>
    <row r="53" spans="1:6" x14ac:dyDescent="0.25">
      <c r="A53" s="15">
        <v>20821</v>
      </c>
      <c r="B53" s="4">
        <v>2854.5</v>
      </c>
      <c r="C53" s="16">
        <v>2994.259</v>
      </c>
      <c r="E53">
        <v>2861.4873788557502</v>
      </c>
      <c r="F53">
        <v>2993.6518521646899</v>
      </c>
    </row>
    <row r="54" spans="1:6" x14ac:dyDescent="0.25">
      <c r="A54" s="15">
        <v>20911</v>
      </c>
      <c r="B54" s="4">
        <v>2848.2</v>
      </c>
      <c r="C54" s="16">
        <v>2987.6990000000001</v>
      </c>
      <c r="E54">
        <v>2848.2410815858002</v>
      </c>
      <c r="F54">
        <v>2989.4778532437799</v>
      </c>
    </row>
    <row r="55" spans="1:6" x14ac:dyDescent="0.25">
      <c r="A55" s="15">
        <v>21002</v>
      </c>
      <c r="B55" s="4">
        <v>2875.9</v>
      </c>
      <c r="C55" s="16">
        <v>3016.9789999999998</v>
      </c>
      <c r="E55">
        <v>2872.4776807528801</v>
      </c>
      <c r="F55">
        <v>3013.13332946738</v>
      </c>
    </row>
    <row r="56" spans="1:6" x14ac:dyDescent="0.25">
      <c r="A56" s="15">
        <v>21094</v>
      </c>
      <c r="B56" s="4">
        <v>2846.4</v>
      </c>
      <c r="C56" s="16">
        <v>2985.7750000000001</v>
      </c>
      <c r="E56">
        <v>2842.7429335378201</v>
      </c>
      <c r="F56">
        <v>2988.7523054284802</v>
      </c>
    </row>
    <row r="57" spans="1:6" x14ac:dyDescent="0.25">
      <c r="A57" s="15">
        <v>21186</v>
      </c>
      <c r="B57" s="4">
        <v>2772.7</v>
      </c>
      <c r="C57" s="16">
        <v>2908.2809999999999</v>
      </c>
      <c r="E57">
        <v>2780.6508340914702</v>
      </c>
      <c r="F57">
        <v>2907.8876304567798</v>
      </c>
    </row>
    <row r="58" spans="1:6" x14ac:dyDescent="0.25">
      <c r="A58" s="15">
        <v>21276</v>
      </c>
      <c r="B58" s="4">
        <v>2790.9</v>
      </c>
      <c r="C58" s="16">
        <v>2927.395</v>
      </c>
      <c r="E58">
        <v>2789.62534863677</v>
      </c>
      <c r="F58">
        <v>2928.8005323328398</v>
      </c>
    </row>
    <row r="59" spans="1:6" x14ac:dyDescent="0.25">
      <c r="A59" s="15">
        <v>21367</v>
      </c>
      <c r="B59" s="4">
        <v>2855.5</v>
      </c>
      <c r="C59" s="16">
        <v>2995.1120000000001</v>
      </c>
      <c r="E59">
        <v>2850.8069745171201</v>
      </c>
      <c r="F59">
        <v>2989.5772506314202</v>
      </c>
    </row>
    <row r="60" spans="1:6" x14ac:dyDescent="0.25">
      <c r="A60" s="15">
        <v>21459</v>
      </c>
      <c r="B60" s="4">
        <v>2922.3</v>
      </c>
      <c r="C60" s="16">
        <v>3065.1410000000001</v>
      </c>
      <c r="E60">
        <v>2921.0435589725398</v>
      </c>
      <c r="F60">
        <v>3070.6006670142601</v>
      </c>
    </row>
    <row r="61" spans="1:6" x14ac:dyDescent="0.25">
      <c r="A61" s="15">
        <v>21551</v>
      </c>
      <c r="B61" s="4">
        <v>2976.6</v>
      </c>
      <c r="C61" s="16">
        <v>3123.9780000000001</v>
      </c>
      <c r="E61">
        <v>2985.1168128910899</v>
      </c>
      <c r="F61">
        <v>3123.2696283577998</v>
      </c>
    </row>
    <row r="62" spans="1:6" x14ac:dyDescent="0.25">
      <c r="A62" s="15">
        <v>21641</v>
      </c>
      <c r="B62" s="4">
        <v>3049</v>
      </c>
      <c r="C62" s="16">
        <v>3194.4290000000001</v>
      </c>
      <c r="E62">
        <v>3045.8798548263298</v>
      </c>
      <c r="F62">
        <v>3195.31180187373</v>
      </c>
    </row>
    <row r="63" spans="1:6" x14ac:dyDescent="0.25">
      <c r="A63" s="15">
        <v>21732</v>
      </c>
      <c r="B63" s="4">
        <v>3043.1</v>
      </c>
      <c r="C63" s="16">
        <v>3196.683</v>
      </c>
      <c r="E63">
        <v>3037.1371073464502</v>
      </c>
      <c r="F63">
        <v>3189.7078034425199</v>
      </c>
    </row>
    <row r="64" spans="1:6" x14ac:dyDescent="0.25">
      <c r="A64" s="15">
        <v>21824</v>
      </c>
      <c r="B64" s="4">
        <v>3055.1</v>
      </c>
      <c r="C64" s="16">
        <v>3205.79</v>
      </c>
      <c r="E64">
        <v>3057.7601353930499</v>
      </c>
      <c r="F64">
        <v>3213.2493608213499</v>
      </c>
    </row>
    <row r="65" spans="1:6" x14ac:dyDescent="0.25">
      <c r="A65" s="15">
        <v>21916</v>
      </c>
      <c r="B65" s="4">
        <v>3123.2</v>
      </c>
      <c r="C65" s="16">
        <v>3277.8470000000002</v>
      </c>
      <c r="E65">
        <v>3130.1391812786601</v>
      </c>
      <c r="F65">
        <v>3277.16403845689</v>
      </c>
    </row>
    <row r="66" spans="1:6" x14ac:dyDescent="0.25">
      <c r="A66" s="15">
        <v>22007</v>
      </c>
      <c r="B66" s="4">
        <v>3111.3</v>
      </c>
      <c r="C66" s="16">
        <v>3260.1770000000001</v>
      </c>
      <c r="E66">
        <v>3106.6702101825299</v>
      </c>
      <c r="F66">
        <v>3260.2809489276701</v>
      </c>
    </row>
    <row r="67" spans="1:6" x14ac:dyDescent="0.25">
      <c r="A67" s="15">
        <v>22098</v>
      </c>
      <c r="B67" s="4">
        <v>3119.1</v>
      </c>
      <c r="C67" s="16">
        <v>3276.1329999999998</v>
      </c>
      <c r="E67">
        <v>3112.8843404978702</v>
      </c>
      <c r="F67">
        <v>3268.2805588917099</v>
      </c>
    </row>
    <row r="68" spans="1:6" x14ac:dyDescent="0.25">
      <c r="A68" s="15">
        <v>22190</v>
      </c>
      <c r="B68" s="4">
        <v>3081.3</v>
      </c>
      <c r="C68" s="16">
        <v>3234.087</v>
      </c>
      <c r="E68">
        <v>3087.60165819964</v>
      </c>
      <c r="F68">
        <v>3242.9271850587602</v>
      </c>
    </row>
    <row r="69" spans="1:6" x14ac:dyDescent="0.25">
      <c r="A69" s="15">
        <v>22282</v>
      </c>
      <c r="B69" s="4">
        <v>3102.3</v>
      </c>
      <c r="C69" s="16">
        <v>3255.9140000000002</v>
      </c>
      <c r="E69">
        <v>3106.23093154972</v>
      </c>
      <c r="F69">
        <v>3254.8056192965</v>
      </c>
    </row>
    <row r="70" spans="1:6" x14ac:dyDescent="0.25">
      <c r="A70" s="15">
        <v>22372</v>
      </c>
      <c r="B70" s="4">
        <v>3159.9</v>
      </c>
      <c r="C70" s="16">
        <v>3311.181</v>
      </c>
      <c r="E70">
        <v>3155.00999258825</v>
      </c>
      <c r="F70">
        <v>3311.4170113827599</v>
      </c>
    </row>
    <row r="71" spans="1:6" x14ac:dyDescent="0.25">
      <c r="A71" s="15">
        <v>22463</v>
      </c>
      <c r="B71" s="4">
        <v>3212.6</v>
      </c>
      <c r="C71" s="16">
        <v>3374.7420000000002</v>
      </c>
      <c r="E71">
        <v>3206.2556328842002</v>
      </c>
      <c r="F71">
        <v>3366.1235914956001</v>
      </c>
    </row>
    <row r="72" spans="1:6" x14ac:dyDescent="0.25">
      <c r="A72" s="15">
        <v>22555</v>
      </c>
      <c r="B72" s="4">
        <v>3277.7</v>
      </c>
      <c r="C72" s="16">
        <v>3440.924</v>
      </c>
      <c r="E72">
        <v>3287.5364785736201</v>
      </c>
      <c r="F72">
        <v>3451.06572013097</v>
      </c>
    </row>
    <row r="73" spans="1:6" x14ac:dyDescent="0.25">
      <c r="A73" s="15">
        <v>22647</v>
      </c>
      <c r="B73" s="4">
        <v>3336.8</v>
      </c>
      <c r="C73" s="16">
        <v>3502.2979999999998</v>
      </c>
      <c r="E73">
        <v>3336.9697186735202</v>
      </c>
      <c r="F73">
        <v>3500.02622609949</v>
      </c>
    </row>
    <row r="74" spans="1:6" x14ac:dyDescent="0.25">
      <c r="A74" s="15">
        <v>22737</v>
      </c>
      <c r="B74" s="4">
        <v>3372.7</v>
      </c>
      <c r="C74" s="16">
        <v>3533.9470000000001</v>
      </c>
      <c r="E74">
        <v>3368.6927575908198</v>
      </c>
      <c r="F74">
        <v>3535.1306835783798</v>
      </c>
    </row>
    <row r="75" spans="1:6" x14ac:dyDescent="0.25">
      <c r="A75" s="15">
        <v>22828</v>
      </c>
      <c r="B75" s="4">
        <v>3404.8</v>
      </c>
      <c r="C75" s="16">
        <v>3577.3620000000001</v>
      </c>
      <c r="E75">
        <v>3399.1705304751999</v>
      </c>
      <c r="F75">
        <v>3568.4654075199301</v>
      </c>
    </row>
    <row r="76" spans="1:6" x14ac:dyDescent="0.25">
      <c r="A76" s="15">
        <v>22920</v>
      </c>
      <c r="B76" s="4">
        <v>3418</v>
      </c>
      <c r="C76" s="16">
        <v>3589.1280000000002</v>
      </c>
      <c r="E76">
        <v>3429.1503149321002</v>
      </c>
      <c r="F76">
        <v>3600.09859965549</v>
      </c>
    </row>
    <row r="77" spans="1:6" x14ac:dyDescent="0.25">
      <c r="A77" s="15">
        <v>23012</v>
      </c>
      <c r="B77" s="4">
        <v>3456.1</v>
      </c>
      <c r="C77" s="16">
        <v>3628.306</v>
      </c>
      <c r="E77">
        <v>3452.1914199274902</v>
      </c>
      <c r="F77">
        <v>3623.0936275280001</v>
      </c>
    </row>
    <row r="78" spans="1:6" x14ac:dyDescent="0.25">
      <c r="A78" s="15">
        <v>23102</v>
      </c>
      <c r="B78" s="4">
        <v>3501.1</v>
      </c>
      <c r="C78" s="16">
        <v>3669.02</v>
      </c>
      <c r="E78">
        <v>3499.4379450875899</v>
      </c>
      <c r="F78">
        <v>3672.2708277699298</v>
      </c>
    </row>
    <row r="79" spans="1:6" x14ac:dyDescent="0.25">
      <c r="A79" s="15">
        <v>23193</v>
      </c>
      <c r="B79" s="4">
        <v>3569.5</v>
      </c>
      <c r="C79" s="16">
        <v>3749.681</v>
      </c>
      <c r="E79">
        <v>3565.16493694257</v>
      </c>
      <c r="F79">
        <v>3741.8533697856501</v>
      </c>
    </row>
    <row r="80" spans="1:6" x14ac:dyDescent="0.25">
      <c r="A80" s="15">
        <v>23285</v>
      </c>
      <c r="B80" s="4">
        <v>3595</v>
      </c>
      <c r="C80" s="16">
        <v>3774.2640000000001</v>
      </c>
      <c r="E80">
        <v>3606.1899746689501</v>
      </c>
      <c r="F80">
        <v>3784.94918015557</v>
      </c>
    </row>
    <row r="81" spans="1:6" x14ac:dyDescent="0.25">
      <c r="A81" s="15">
        <v>23377</v>
      </c>
      <c r="B81" s="4">
        <v>3672.7</v>
      </c>
      <c r="C81" s="16">
        <v>3853.835</v>
      </c>
      <c r="E81">
        <v>3665.13690554612</v>
      </c>
      <c r="F81">
        <v>3845.6933898142402</v>
      </c>
    </row>
    <row r="82" spans="1:6" x14ac:dyDescent="0.25">
      <c r="A82" s="15">
        <v>23468</v>
      </c>
      <c r="B82" s="4">
        <v>3716.4</v>
      </c>
      <c r="C82" s="16">
        <v>3895.7930000000001</v>
      </c>
      <c r="E82">
        <v>3716.4953127178001</v>
      </c>
      <c r="F82">
        <v>3900.3838595731199</v>
      </c>
    </row>
    <row r="83" spans="1:6" x14ac:dyDescent="0.25">
      <c r="A83" s="15">
        <v>23559</v>
      </c>
      <c r="B83" s="4">
        <v>3766.9</v>
      </c>
      <c r="C83" s="16">
        <v>3956.6570000000002</v>
      </c>
      <c r="E83">
        <v>3764.82164700061</v>
      </c>
      <c r="F83">
        <v>3951.0736295035799</v>
      </c>
    </row>
    <row r="84" spans="1:6" x14ac:dyDescent="0.25">
      <c r="A84" s="15">
        <v>23651</v>
      </c>
      <c r="B84" s="4">
        <v>3780.2</v>
      </c>
      <c r="C84" s="16">
        <v>3968.8780000000002</v>
      </c>
      <c r="E84">
        <v>3791.0556158753998</v>
      </c>
      <c r="F84">
        <v>3979.39628146225</v>
      </c>
    </row>
    <row r="85" spans="1:6" x14ac:dyDescent="0.25">
      <c r="A85" s="15">
        <v>23743</v>
      </c>
      <c r="B85" s="4">
        <v>3873.5</v>
      </c>
      <c r="C85" s="16">
        <v>4064.915</v>
      </c>
      <c r="E85">
        <v>3862.4016793997398</v>
      </c>
      <c r="F85">
        <v>4053.3870200544502</v>
      </c>
    </row>
    <row r="86" spans="1:6" x14ac:dyDescent="0.25">
      <c r="A86" s="15">
        <v>23833</v>
      </c>
      <c r="B86" s="4">
        <v>3926.4</v>
      </c>
      <c r="C86" s="16">
        <v>4116.2669999999998</v>
      </c>
      <c r="E86">
        <v>3928.1208691261199</v>
      </c>
      <c r="F86">
        <v>4121.9961038393703</v>
      </c>
    </row>
    <row r="87" spans="1:6" x14ac:dyDescent="0.25">
      <c r="A87" s="15">
        <v>23924</v>
      </c>
      <c r="B87" s="4">
        <v>4006.2</v>
      </c>
      <c r="C87" s="16">
        <v>4207.7820000000002</v>
      </c>
      <c r="E87">
        <v>4005.5941190674898</v>
      </c>
      <c r="F87">
        <v>4203.8264477815201</v>
      </c>
    </row>
    <row r="88" spans="1:6" x14ac:dyDescent="0.25">
      <c r="A88" s="15">
        <v>24016</v>
      </c>
      <c r="B88" s="4">
        <v>4100.6000000000004</v>
      </c>
      <c r="C88" s="16">
        <v>4304.7309999999998</v>
      </c>
      <c r="E88">
        <v>4111.9557245758097</v>
      </c>
      <c r="F88">
        <v>4316.0384827201697</v>
      </c>
    </row>
    <row r="89" spans="1:6" x14ac:dyDescent="0.25">
      <c r="A89" s="15">
        <v>24108</v>
      </c>
      <c r="B89" s="4">
        <v>4201.8999999999996</v>
      </c>
      <c r="C89" s="16">
        <v>4409.518</v>
      </c>
      <c r="E89">
        <v>4188.1191651890504</v>
      </c>
      <c r="F89">
        <v>4395.3472854700303</v>
      </c>
    </row>
    <row r="90" spans="1:6" x14ac:dyDescent="0.25">
      <c r="A90" s="15">
        <v>24198</v>
      </c>
      <c r="B90" s="4">
        <v>4219.1000000000004</v>
      </c>
      <c r="C90" s="16">
        <v>4424.5810000000001</v>
      </c>
      <c r="E90">
        <v>4221.6335380522896</v>
      </c>
      <c r="F90">
        <v>4430.5123685261397</v>
      </c>
    </row>
    <row r="91" spans="1:6" x14ac:dyDescent="0.25">
      <c r="A91" s="15">
        <v>24289</v>
      </c>
      <c r="B91" s="4">
        <v>4249.2</v>
      </c>
      <c r="C91" s="16">
        <v>4462.0529999999999</v>
      </c>
      <c r="E91">
        <v>4249.6625246180101</v>
      </c>
      <c r="F91">
        <v>4459.5300843974701</v>
      </c>
    </row>
    <row r="92" spans="1:6" x14ac:dyDescent="0.25">
      <c r="A92" s="15">
        <v>24381</v>
      </c>
      <c r="B92" s="4">
        <v>4285.6000000000004</v>
      </c>
      <c r="C92" s="16">
        <v>4498.66</v>
      </c>
      <c r="E92">
        <v>4296.3672251683001</v>
      </c>
      <c r="F92">
        <v>4509.67232270967</v>
      </c>
    </row>
    <row r="93" spans="1:6" x14ac:dyDescent="0.25">
      <c r="A93" s="15">
        <v>24473</v>
      </c>
      <c r="B93" s="4">
        <v>4324.8999999999996</v>
      </c>
      <c r="C93" s="16">
        <v>4538.4979999999996</v>
      </c>
      <c r="E93">
        <v>4311.15091067921</v>
      </c>
      <c r="F93">
        <v>4524.3695820442999</v>
      </c>
    </row>
    <row r="94" spans="1:6" x14ac:dyDescent="0.25">
      <c r="A94" s="15">
        <v>24563</v>
      </c>
      <c r="B94" s="4">
        <v>4328.7</v>
      </c>
      <c r="C94" s="16">
        <v>4541.28</v>
      </c>
      <c r="E94">
        <v>4331.3767999563997</v>
      </c>
      <c r="F94">
        <v>4546.5777146602004</v>
      </c>
    </row>
    <row r="95" spans="1:6" x14ac:dyDescent="0.25">
      <c r="A95" s="15">
        <v>24654</v>
      </c>
      <c r="B95" s="4">
        <v>4366.1000000000004</v>
      </c>
      <c r="C95" s="16">
        <v>4584.2460000000001</v>
      </c>
      <c r="E95">
        <v>4366.4833747709099</v>
      </c>
      <c r="F95">
        <v>4582.0898971768902</v>
      </c>
    </row>
    <row r="96" spans="1:6" x14ac:dyDescent="0.25">
      <c r="A96" s="15">
        <v>24746</v>
      </c>
      <c r="B96" s="4">
        <v>4401.2</v>
      </c>
      <c r="C96" s="16">
        <v>4618.8119999999999</v>
      </c>
      <c r="E96">
        <v>4410.7452618242796</v>
      </c>
      <c r="F96">
        <v>4628.93715413469</v>
      </c>
    </row>
    <row r="97" spans="1:6" x14ac:dyDescent="0.25">
      <c r="A97" s="15">
        <v>24838</v>
      </c>
      <c r="B97" s="4">
        <v>4490.6000000000004</v>
      </c>
      <c r="C97" s="16">
        <v>4713.0129999999999</v>
      </c>
      <c r="E97">
        <v>4478.95072691716</v>
      </c>
      <c r="F97">
        <v>4700.9378955485699</v>
      </c>
    </row>
    <row r="98" spans="1:6" x14ac:dyDescent="0.25">
      <c r="A98" s="15">
        <v>24929</v>
      </c>
      <c r="B98" s="4">
        <v>4566.3999999999996</v>
      </c>
      <c r="C98" s="16">
        <v>4791.7579999999998</v>
      </c>
      <c r="E98">
        <v>4568.9194665624</v>
      </c>
      <c r="F98">
        <v>4796.2682811201003</v>
      </c>
    </row>
    <row r="99" spans="1:6" x14ac:dyDescent="0.25">
      <c r="A99" s="15">
        <v>25020</v>
      </c>
      <c r="B99" s="4">
        <v>4599.3</v>
      </c>
      <c r="C99" s="16">
        <v>4828.8919999999998</v>
      </c>
      <c r="E99">
        <v>4597.5867714360102</v>
      </c>
      <c r="F99">
        <v>4824.9392558401696</v>
      </c>
    </row>
    <row r="100" spans="1:6" x14ac:dyDescent="0.25">
      <c r="A100" s="15">
        <v>25112</v>
      </c>
      <c r="B100" s="4">
        <v>4619.8</v>
      </c>
      <c r="C100" s="16">
        <v>4847.8850000000002</v>
      </c>
      <c r="E100">
        <v>4629.57219455615</v>
      </c>
      <c r="F100">
        <v>4858.6422204689497</v>
      </c>
    </row>
    <row r="101" spans="1:6" x14ac:dyDescent="0.25">
      <c r="A101" s="15">
        <v>25204</v>
      </c>
      <c r="B101" s="4">
        <v>4691.6000000000004</v>
      </c>
      <c r="C101" s="16">
        <v>4923.76</v>
      </c>
      <c r="E101">
        <v>4683.3914767082397</v>
      </c>
      <c r="F101">
        <v>4915.0150283255598</v>
      </c>
    </row>
    <row r="102" spans="1:6" x14ac:dyDescent="0.25">
      <c r="A102" s="15">
        <v>25294</v>
      </c>
      <c r="B102" s="4">
        <v>4706.7</v>
      </c>
      <c r="C102" s="16">
        <v>4938.7280000000001</v>
      </c>
      <c r="E102">
        <v>4706.6940421220397</v>
      </c>
      <c r="F102">
        <v>4940.1047526017501</v>
      </c>
    </row>
    <row r="103" spans="1:6" x14ac:dyDescent="0.25">
      <c r="A103" s="15">
        <v>25385</v>
      </c>
      <c r="B103" s="4">
        <v>4736.1000000000004</v>
      </c>
      <c r="C103" s="16">
        <v>4971.3490000000002</v>
      </c>
      <c r="E103">
        <v>4732.91571434043</v>
      </c>
      <c r="F103">
        <v>4966.2695452800299</v>
      </c>
    </row>
    <row r="104" spans="1:6" x14ac:dyDescent="0.25">
      <c r="A104" s="15">
        <v>25477</v>
      </c>
      <c r="B104" s="4">
        <v>4715.5</v>
      </c>
      <c r="C104" s="16">
        <v>4947.1040000000003</v>
      </c>
      <c r="E104">
        <v>4726.55556194786</v>
      </c>
      <c r="F104">
        <v>4959.4983108840797</v>
      </c>
    </row>
    <row r="105" spans="1:6" x14ac:dyDescent="0.25">
      <c r="A105" s="15">
        <v>25569</v>
      </c>
      <c r="B105" s="4">
        <v>4707.1000000000004</v>
      </c>
      <c r="C105" s="16">
        <v>4939.759</v>
      </c>
      <c r="E105">
        <v>4701.5256836836797</v>
      </c>
      <c r="F105">
        <v>4933.4669054490296</v>
      </c>
    </row>
    <row r="106" spans="1:6" x14ac:dyDescent="0.25">
      <c r="A106" s="15">
        <v>25659</v>
      </c>
      <c r="B106" s="4">
        <v>4715.3999999999996</v>
      </c>
      <c r="C106" s="16">
        <v>4946.7700000000004</v>
      </c>
      <c r="E106">
        <v>4711.9654966755497</v>
      </c>
      <c r="F106">
        <v>4944.22878545199</v>
      </c>
    </row>
    <row r="107" spans="1:6" x14ac:dyDescent="0.25">
      <c r="A107" s="15">
        <v>25750</v>
      </c>
      <c r="B107" s="4">
        <v>4757.2</v>
      </c>
      <c r="C107" s="16">
        <v>4992.357</v>
      </c>
      <c r="E107">
        <v>4754.9537204272201</v>
      </c>
      <c r="F107">
        <v>4988.6765532463296</v>
      </c>
    </row>
    <row r="108" spans="1:6" x14ac:dyDescent="0.25">
      <c r="A108" s="15">
        <v>25842</v>
      </c>
      <c r="B108" s="4">
        <v>4708.3</v>
      </c>
      <c r="C108" s="16">
        <v>4938.857</v>
      </c>
      <c r="E108">
        <v>4718.8505567880702</v>
      </c>
      <c r="F108">
        <v>4950.8079257877598</v>
      </c>
    </row>
    <row r="109" spans="1:6" x14ac:dyDescent="0.25">
      <c r="A109" s="15">
        <v>25934</v>
      </c>
      <c r="B109" s="4">
        <v>4834.3</v>
      </c>
      <c r="C109" s="16">
        <v>5072.9960000000001</v>
      </c>
      <c r="E109">
        <v>4831.6314057930904</v>
      </c>
      <c r="F109">
        <v>5069.4826788521996</v>
      </c>
    </row>
    <row r="110" spans="1:6" x14ac:dyDescent="0.25">
      <c r="A110" s="15">
        <v>26024</v>
      </c>
      <c r="B110" s="4">
        <v>4861.8999999999996</v>
      </c>
      <c r="C110" s="16">
        <v>5100.4470000000001</v>
      </c>
      <c r="E110">
        <v>4853.7968241977396</v>
      </c>
      <c r="F110">
        <v>5092.9108782764897</v>
      </c>
    </row>
    <row r="111" spans="1:6" x14ac:dyDescent="0.25">
      <c r="A111" s="15">
        <v>26115</v>
      </c>
      <c r="B111" s="4">
        <v>4900</v>
      </c>
      <c r="C111" s="16">
        <v>5142.4219999999996</v>
      </c>
      <c r="E111">
        <v>4901.3490939264202</v>
      </c>
      <c r="F111">
        <v>5142.8482512908804</v>
      </c>
    </row>
    <row r="112" spans="1:6" x14ac:dyDescent="0.25">
      <c r="A112" s="15">
        <v>26207</v>
      </c>
      <c r="B112" s="4">
        <v>4914.3</v>
      </c>
      <c r="C112" s="16">
        <v>5154.5469999999996</v>
      </c>
      <c r="E112">
        <v>4922.5003766549899</v>
      </c>
      <c r="F112">
        <v>5163.9132543850201</v>
      </c>
    </row>
    <row r="113" spans="1:6" x14ac:dyDescent="0.25">
      <c r="A113" s="15">
        <v>26299</v>
      </c>
      <c r="B113" s="4">
        <v>5002.3999999999996</v>
      </c>
      <c r="C113" s="16">
        <v>5249.3370000000004</v>
      </c>
      <c r="E113">
        <v>5002.56020978167</v>
      </c>
      <c r="F113">
        <v>5248.6590140068602</v>
      </c>
    </row>
    <row r="114" spans="1:6" x14ac:dyDescent="0.25">
      <c r="A114" s="15">
        <v>26390</v>
      </c>
      <c r="B114" s="4">
        <v>5118.3</v>
      </c>
      <c r="C114" s="16">
        <v>5368.4849999999997</v>
      </c>
      <c r="E114">
        <v>5106.9566127284897</v>
      </c>
      <c r="F114">
        <v>5357.6175322334202</v>
      </c>
    </row>
    <row r="115" spans="1:6" x14ac:dyDescent="0.25">
      <c r="A115" s="15">
        <v>26481</v>
      </c>
      <c r="B115" s="4">
        <v>5165.3999999999996</v>
      </c>
      <c r="C115" s="16">
        <v>5419.1840000000002</v>
      </c>
      <c r="E115">
        <v>5169.2458560068399</v>
      </c>
      <c r="F115">
        <v>5422.4436001138502</v>
      </c>
    </row>
    <row r="116" spans="1:6" x14ac:dyDescent="0.25">
      <c r="A116" s="15">
        <v>26573</v>
      </c>
      <c r="B116" s="4">
        <v>5251.2</v>
      </c>
      <c r="C116" s="16">
        <v>5509.9260000000004</v>
      </c>
      <c r="E116">
        <v>5257.4688612244099</v>
      </c>
      <c r="F116">
        <v>5517.0206824622901</v>
      </c>
    </row>
    <row r="117" spans="1:6" x14ac:dyDescent="0.25">
      <c r="A117" s="15">
        <v>26665</v>
      </c>
      <c r="B117" s="4">
        <v>5380.5</v>
      </c>
      <c r="C117" s="16">
        <v>5646.2860000000001</v>
      </c>
      <c r="E117">
        <v>5383.10592351183</v>
      </c>
      <c r="F117">
        <v>5648.1243245077903</v>
      </c>
    </row>
    <row r="118" spans="1:6" x14ac:dyDescent="0.25">
      <c r="A118" s="15">
        <v>26755</v>
      </c>
      <c r="B118" s="4">
        <v>5441.5</v>
      </c>
      <c r="C118" s="16">
        <v>5707.7550000000001</v>
      </c>
      <c r="E118">
        <v>5427.85851825195</v>
      </c>
      <c r="F118">
        <v>5694.6553629312302</v>
      </c>
    </row>
    <row r="119" spans="1:6" x14ac:dyDescent="0.25">
      <c r="A119" s="15">
        <v>26846</v>
      </c>
      <c r="B119" s="4">
        <v>5411.9</v>
      </c>
      <c r="C119" s="16">
        <v>5677.7380000000003</v>
      </c>
      <c r="E119">
        <v>5417.2083461805096</v>
      </c>
      <c r="F119">
        <v>5682.6587996046101</v>
      </c>
    </row>
    <row r="120" spans="1:6" x14ac:dyDescent="0.25">
      <c r="A120" s="15">
        <v>26938</v>
      </c>
      <c r="B120" s="4">
        <v>5462.4</v>
      </c>
      <c r="C120" s="16">
        <v>5731.6319999999996</v>
      </c>
      <c r="E120">
        <v>5466.9244614403397</v>
      </c>
      <c r="F120">
        <v>5736.5296173665201</v>
      </c>
    </row>
    <row r="121" spans="1:6" x14ac:dyDescent="0.25">
      <c r="A121" s="15">
        <v>27030</v>
      </c>
      <c r="B121" s="4">
        <v>5417</v>
      </c>
      <c r="C121" s="16">
        <v>5682.3530000000001</v>
      </c>
      <c r="E121">
        <v>5420.5940367821704</v>
      </c>
      <c r="F121">
        <v>5685.3738389175996</v>
      </c>
    </row>
    <row r="122" spans="1:6" x14ac:dyDescent="0.25">
      <c r="A122" s="15">
        <v>27120</v>
      </c>
      <c r="B122" s="4">
        <v>5431.3</v>
      </c>
      <c r="C122" s="16">
        <v>5695.8590000000004</v>
      </c>
      <c r="E122">
        <v>5419.7144361558303</v>
      </c>
      <c r="F122">
        <v>5685.0520659714202</v>
      </c>
    </row>
    <row r="123" spans="1:6" x14ac:dyDescent="0.25">
      <c r="A123" s="15">
        <v>27211</v>
      </c>
      <c r="B123" s="4">
        <v>5378.7</v>
      </c>
      <c r="C123" s="16">
        <v>5642.0249999999996</v>
      </c>
      <c r="E123">
        <v>5382.1418378610397</v>
      </c>
      <c r="F123">
        <v>5644.9930267196796</v>
      </c>
    </row>
    <row r="124" spans="1:6" x14ac:dyDescent="0.25">
      <c r="A124" s="15">
        <v>27303</v>
      </c>
      <c r="B124" s="4">
        <v>5357.2</v>
      </c>
      <c r="C124" s="16">
        <v>5620.1260000000002</v>
      </c>
      <c r="E124">
        <v>5359.9579023459901</v>
      </c>
      <c r="F124">
        <v>5622.8828885447501</v>
      </c>
    </row>
    <row r="125" spans="1:6" x14ac:dyDescent="0.25">
      <c r="A125" s="15">
        <v>27395</v>
      </c>
      <c r="B125" s="4">
        <v>5292.4</v>
      </c>
      <c r="C125" s="16">
        <v>5551.7129999999997</v>
      </c>
      <c r="E125">
        <v>5296.7814418213102</v>
      </c>
      <c r="F125">
        <v>5555.77261481595</v>
      </c>
    </row>
    <row r="126" spans="1:6" x14ac:dyDescent="0.25">
      <c r="A126" s="15">
        <v>27485</v>
      </c>
      <c r="B126" s="4">
        <v>5333.2</v>
      </c>
      <c r="C126" s="16">
        <v>5591.3819999999996</v>
      </c>
      <c r="E126">
        <v>5325.2821283163203</v>
      </c>
      <c r="F126">
        <v>5584.4828618680203</v>
      </c>
    </row>
    <row r="127" spans="1:6" x14ac:dyDescent="0.25">
      <c r="A127" s="15">
        <v>27576</v>
      </c>
      <c r="B127" s="4">
        <v>5421.4</v>
      </c>
      <c r="C127" s="16">
        <v>5687.0870000000004</v>
      </c>
      <c r="E127">
        <v>5422.8295692216197</v>
      </c>
      <c r="F127">
        <v>5687.8852058147404</v>
      </c>
    </row>
    <row r="128" spans="1:6" x14ac:dyDescent="0.25">
      <c r="A128" s="15">
        <v>27668</v>
      </c>
      <c r="B128" s="4">
        <v>5494.4</v>
      </c>
      <c r="C128" s="16">
        <v>5763.665</v>
      </c>
      <c r="E128">
        <v>5494.3288819997597</v>
      </c>
      <c r="F128">
        <v>5763.2522575310604</v>
      </c>
    </row>
    <row r="129" spans="1:6" x14ac:dyDescent="0.25">
      <c r="A129" s="15">
        <v>27760</v>
      </c>
      <c r="B129" s="4">
        <v>5618.5</v>
      </c>
      <c r="C129" s="16">
        <v>5893.2759999999998</v>
      </c>
      <c r="E129">
        <v>5623.3815120817198</v>
      </c>
      <c r="F129">
        <v>5898.0194527356898</v>
      </c>
    </row>
    <row r="130" spans="1:6" x14ac:dyDescent="0.25">
      <c r="A130" s="15">
        <v>27851</v>
      </c>
      <c r="B130" s="4">
        <v>5661</v>
      </c>
      <c r="C130" s="16">
        <v>5936.5150000000003</v>
      </c>
      <c r="E130">
        <v>5658.3455213370698</v>
      </c>
      <c r="F130">
        <v>5935.2900029237799</v>
      </c>
    </row>
    <row r="131" spans="1:6" x14ac:dyDescent="0.25">
      <c r="A131" s="15">
        <v>27942</v>
      </c>
      <c r="B131" s="4">
        <v>5689.8</v>
      </c>
      <c r="C131" s="16">
        <v>5969.0889999999999</v>
      </c>
      <c r="E131">
        <v>5687.9125097153401</v>
      </c>
      <c r="F131">
        <v>5966.2678424382702</v>
      </c>
    </row>
    <row r="132" spans="1:6" x14ac:dyDescent="0.25">
      <c r="A132" s="15">
        <v>28034</v>
      </c>
      <c r="B132" s="4">
        <v>5732.5</v>
      </c>
      <c r="C132" s="16">
        <v>6012.3559999999998</v>
      </c>
      <c r="E132">
        <v>5732.1498812772797</v>
      </c>
      <c r="F132">
        <v>6011.5038102718299</v>
      </c>
    </row>
    <row r="133" spans="1:6" x14ac:dyDescent="0.25">
      <c r="A133" s="15">
        <v>28126</v>
      </c>
      <c r="B133" s="4">
        <v>5799.2</v>
      </c>
      <c r="C133" s="16">
        <v>6083.3909999999996</v>
      </c>
      <c r="E133">
        <v>5800.12073737216</v>
      </c>
      <c r="F133">
        <v>6084.1928131904097</v>
      </c>
    </row>
    <row r="134" spans="1:6" x14ac:dyDescent="0.25">
      <c r="A134" s="15">
        <v>28216</v>
      </c>
      <c r="B134" s="4">
        <v>5913</v>
      </c>
      <c r="C134" s="16">
        <v>6201.6589999999997</v>
      </c>
      <c r="E134">
        <v>5916.1024192126797</v>
      </c>
      <c r="F134">
        <v>6206.47650444188</v>
      </c>
    </row>
    <row r="135" spans="1:6" x14ac:dyDescent="0.25">
      <c r="A135" s="15">
        <v>28307</v>
      </c>
      <c r="B135" s="4">
        <v>6017.6</v>
      </c>
      <c r="C135" s="16">
        <v>6313.5590000000002</v>
      </c>
      <c r="E135">
        <v>6016.2291266877</v>
      </c>
      <c r="F135">
        <v>6311.2367202147398</v>
      </c>
    </row>
    <row r="136" spans="1:6" x14ac:dyDescent="0.25">
      <c r="A136" s="15">
        <v>28399</v>
      </c>
      <c r="B136" s="4">
        <v>6018.2</v>
      </c>
      <c r="C136" s="16">
        <v>6313.6970000000001</v>
      </c>
      <c r="E136">
        <v>6016.7485977207698</v>
      </c>
      <c r="F136">
        <v>6311.5245615948397</v>
      </c>
    </row>
    <row r="137" spans="1:6" x14ac:dyDescent="0.25">
      <c r="A137" s="15">
        <v>28491</v>
      </c>
      <c r="B137" s="4">
        <v>6039.2</v>
      </c>
      <c r="C137" s="16">
        <v>6333.848</v>
      </c>
      <c r="E137">
        <v>6033.7921192491604</v>
      </c>
      <c r="F137">
        <v>6328.2375043315196</v>
      </c>
    </row>
    <row r="138" spans="1:6" x14ac:dyDescent="0.25">
      <c r="A138" s="15">
        <v>28581</v>
      </c>
      <c r="B138" s="4">
        <v>6274</v>
      </c>
      <c r="C138" s="16">
        <v>6578.6049999999996</v>
      </c>
      <c r="E138">
        <v>6283.9115789428497</v>
      </c>
      <c r="F138">
        <v>6590.4413071048202</v>
      </c>
    </row>
    <row r="139" spans="1:6" x14ac:dyDescent="0.25">
      <c r="A139" s="15">
        <v>28672</v>
      </c>
      <c r="B139" s="4">
        <v>6335.3</v>
      </c>
      <c r="C139" s="16">
        <v>6644.7539999999999</v>
      </c>
      <c r="E139">
        <v>6334.7516652399099</v>
      </c>
      <c r="F139">
        <v>6643.42678087479</v>
      </c>
    </row>
    <row r="140" spans="1:6" x14ac:dyDescent="0.25">
      <c r="A140" s="15">
        <v>28764</v>
      </c>
      <c r="B140" s="4">
        <v>6420.3</v>
      </c>
      <c r="C140" s="16">
        <v>6734.0690000000004</v>
      </c>
      <c r="E140">
        <v>6417.6260393430503</v>
      </c>
      <c r="F140">
        <v>6730.4310289933101</v>
      </c>
    </row>
    <row r="141" spans="1:6" x14ac:dyDescent="0.25">
      <c r="A141" s="15">
        <v>28856</v>
      </c>
      <c r="B141" s="4">
        <v>6433</v>
      </c>
      <c r="C141" s="16">
        <v>6746.1760000000004</v>
      </c>
      <c r="E141">
        <v>6422.9857244034702</v>
      </c>
      <c r="F141">
        <v>6735.9155084888698</v>
      </c>
    </row>
    <row r="142" spans="1:6" x14ac:dyDescent="0.25">
      <c r="A142" s="15">
        <v>28946</v>
      </c>
      <c r="B142" s="4">
        <v>6440.8</v>
      </c>
      <c r="C142" s="16">
        <v>6753.3890000000001</v>
      </c>
      <c r="E142">
        <v>6453.4663583986503</v>
      </c>
      <c r="F142">
        <v>6767.84778174855</v>
      </c>
    </row>
    <row r="143" spans="1:6" x14ac:dyDescent="0.25">
      <c r="A143" s="15">
        <v>29037</v>
      </c>
      <c r="B143" s="4">
        <v>6487.1</v>
      </c>
      <c r="C143" s="16">
        <v>6803.558</v>
      </c>
      <c r="E143">
        <v>6489.1768299163296</v>
      </c>
      <c r="F143">
        <v>6805.2320902437305</v>
      </c>
    </row>
    <row r="144" spans="1:6" x14ac:dyDescent="0.25">
      <c r="A144" s="15">
        <v>29129</v>
      </c>
      <c r="B144" s="4">
        <v>6503.9</v>
      </c>
      <c r="C144" s="16">
        <v>6820.5720000000001</v>
      </c>
      <c r="E144">
        <v>6499.13174429438</v>
      </c>
      <c r="F144">
        <v>6814.6998409192402</v>
      </c>
    </row>
    <row r="145" spans="1:6" x14ac:dyDescent="0.25">
      <c r="A145" s="15">
        <v>29221</v>
      </c>
      <c r="B145" s="4">
        <v>6524.9</v>
      </c>
      <c r="C145" s="16">
        <v>6842.0240000000003</v>
      </c>
      <c r="E145">
        <v>6515.0825091858696</v>
      </c>
      <c r="F145">
        <v>6831.9800235764596</v>
      </c>
    </row>
    <row r="146" spans="1:6" x14ac:dyDescent="0.25">
      <c r="A146" s="15">
        <v>29312</v>
      </c>
      <c r="B146" s="4">
        <v>6392.6</v>
      </c>
      <c r="C146" s="16">
        <v>6701.0460000000003</v>
      </c>
      <c r="E146">
        <v>6404.4175687018696</v>
      </c>
      <c r="F146">
        <v>6714.3427391920204</v>
      </c>
    </row>
    <row r="147" spans="1:6" x14ac:dyDescent="0.25">
      <c r="A147" s="15">
        <v>29403</v>
      </c>
      <c r="B147" s="4">
        <v>6382.9</v>
      </c>
      <c r="C147" s="16">
        <v>6693.0820000000003</v>
      </c>
      <c r="E147">
        <v>6384.1384030740501</v>
      </c>
      <c r="F147">
        <v>6694.1690360912398</v>
      </c>
    </row>
    <row r="148" spans="1:6" x14ac:dyDescent="0.25">
      <c r="A148" s="15">
        <v>29495</v>
      </c>
      <c r="B148" s="4">
        <v>6501.2</v>
      </c>
      <c r="C148" s="16">
        <v>6817.9030000000002</v>
      </c>
      <c r="E148">
        <v>6498.2734296895596</v>
      </c>
      <c r="F148">
        <v>6813.9724863756801</v>
      </c>
    </row>
    <row r="149" spans="1:6" x14ac:dyDescent="0.25">
      <c r="A149" s="15">
        <v>29587</v>
      </c>
      <c r="B149" s="4">
        <v>6635.7</v>
      </c>
      <c r="C149" s="16">
        <v>6951.4949999999999</v>
      </c>
      <c r="E149">
        <v>6628.0550803265596</v>
      </c>
      <c r="F149">
        <v>6943.6712560318401</v>
      </c>
    </row>
    <row r="150" spans="1:6" x14ac:dyDescent="0.25">
      <c r="A150" s="15">
        <v>29677</v>
      </c>
      <c r="B150" s="4">
        <v>6587.3</v>
      </c>
      <c r="C150" s="16">
        <v>6899.98</v>
      </c>
      <c r="E150">
        <v>6594.7051873943801</v>
      </c>
      <c r="F150">
        <v>6908.4484761198901</v>
      </c>
    </row>
    <row r="151" spans="1:6" x14ac:dyDescent="0.25">
      <c r="A151" s="15">
        <v>29768</v>
      </c>
      <c r="B151" s="4">
        <v>6662.9</v>
      </c>
      <c r="C151" s="16">
        <v>6982.6090000000004</v>
      </c>
      <c r="E151">
        <v>6663.8694828285297</v>
      </c>
      <c r="F151">
        <v>6983.6463884382501</v>
      </c>
    </row>
    <row r="152" spans="1:6" x14ac:dyDescent="0.25">
      <c r="A152" s="15">
        <v>29860</v>
      </c>
      <c r="B152" s="4">
        <v>6585.1</v>
      </c>
      <c r="C152" s="16">
        <v>6906.5290000000005</v>
      </c>
      <c r="E152">
        <v>6584.4087737621403</v>
      </c>
      <c r="F152">
        <v>6905.0479858290701</v>
      </c>
    </row>
    <row r="153" spans="1:6" x14ac:dyDescent="0.25">
      <c r="A153" s="15">
        <v>29952</v>
      </c>
      <c r="B153" s="4">
        <v>6475</v>
      </c>
      <c r="C153" s="16">
        <v>6799.2330000000002</v>
      </c>
      <c r="E153">
        <v>6471.5764206276999</v>
      </c>
      <c r="F153">
        <v>6795.64977209481</v>
      </c>
    </row>
    <row r="154" spans="1:6" x14ac:dyDescent="0.25">
      <c r="A154" s="15">
        <v>30042</v>
      </c>
      <c r="B154" s="4">
        <v>6510.2</v>
      </c>
      <c r="C154" s="16">
        <v>6830.2510000000002</v>
      </c>
      <c r="E154">
        <v>6513.1999887246602</v>
      </c>
      <c r="F154">
        <v>6833.9075890862396</v>
      </c>
    </row>
    <row r="155" spans="1:6" x14ac:dyDescent="0.25">
      <c r="A155" s="15">
        <v>30133</v>
      </c>
      <c r="B155" s="4">
        <v>6486.8</v>
      </c>
      <c r="C155" s="16">
        <v>6804.1390000000001</v>
      </c>
      <c r="E155">
        <v>6484.0965449024698</v>
      </c>
      <c r="F155">
        <v>6801.5831640449996</v>
      </c>
    </row>
    <row r="156" spans="1:6" x14ac:dyDescent="0.25">
      <c r="A156" s="15">
        <v>30225</v>
      </c>
      <c r="B156" s="4">
        <v>6493.1</v>
      </c>
      <c r="C156" s="16">
        <v>6806.857</v>
      </c>
      <c r="E156">
        <v>6495.4447743933597</v>
      </c>
      <c r="F156">
        <v>6808.7019151799404</v>
      </c>
    </row>
    <row r="157" spans="1:6" x14ac:dyDescent="0.25">
      <c r="A157" s="15">
        <v>30317</v>
      </c>
      <c r="B157" s="4">
        <v>6578.2</v>
      </c>
      <c r="C157" s="16">
        <v>6896.5609999999997</v>
      </c>
      <c r="E157">
        <v>6579.9661019211298</v>
      </c>
      <c r="F157">
        <v>6898.2142302988696</v>
      </c>
    </row>
    <row r="158" spans="1:6" x14ac:dyDescent="0.25">
      <c r="A158" s="15">
        <v>30407</v>
      </c>
      <c r="B158" s="4">
        <v>6728.3</v>
      </c>
      <c r="C158" s="16">
        <v>7053.5</v>
      </c>
      <c r="E158">
        <v>6726.6811355826803</v>
      </c>
      <c r="F158">
        <v>7052.1323806070804</v>
      </c>
    </row>
    <row r="159" spans="1:6" x14ac:dyDescent="0.25">
      <c r="A159" s="15">
        <v>30498</v>
      </c>
      <c r="B159" s="4">
        <v>6860</v>
      </c>
      <c r="C159" s="16">
        <v>7194.5039999999999</v>
      </c>
      <c r="E159">
        <v>6854.6455482391202</v>
      </c>
      <c r="F159">
        <v>7189.4059481423301</v>
      </c>
    </row>
    <row r="160" spans="1:6" x14ac:dyDescent="0.25">
      <c r="A160" s="15">
        <v>30590</v>
      </c>
      <c r="B160" s="4">
        <v>7001.5</v>
      </c>
      <c r="C160" s="16">
        <v>7344.5969999999998</v>
      </c>
      <c r="E160">
        <v>7005.9213966605403</v>
      </c>
      <c r="F160">
        <v>7348.8379250650396</v>
      </c>
    </row>
    <row r="161" spans="1:6" x14ac:dyDescent="0.25">
      <c r="A161" s="15">
        <v>30682</v>
      </c>
      <c r="B161" s="4">
        <v>7140.6</v>
      </c>
      <c r="C161" s="16">
        <v>7488.1670000000004</v>
      </c>
      <c r="E161">
        <v>7145.6905925927203</v>
      </c>
      <c r="F161">
        <v>7492.9754556265198</v>
      </c>
    </row>
    <row r="162" spans="1:6" x14ac:dyDescent="0.25">
      <c r="A162" s="15">
        <v>30773</v>
      </c>
      <c r="B162" s="4">
        <v>7266</v>
      </c>
      <c r="C162" s="16">
        <v>7617.5469999999996</v>
      </c>
      <c r="E162">
        <v>7262.5570219325</v>
      </c>
      <c r="F162">
        <v>7614.1533137632496</v>
      </c>
    </row>
    <row r="163" spans="1:6" x14ac:dyDescent="0.25">
      <c r="A163" s="15">
        <v>30864</v>
      </c>
      <c r="B163" s="4">
        <v>7337.5</v>
      </c>
      <c r="C163" s="16">
        <v>7690.9849999999997</v>
      </c>
      <c r="E163">
        <v>7330.33361254387</v>
      </c>
      <c r="F163">
        <v>7684.1281470159502</v>
      </c>
    </row>
    <row r="164" spans="1:6" x14ac:dyDescent="0.25">
      <c r="A164" s="15">
        <v>30956</v>
      </c>
      <c r="B164" s="4">
        <v>7396</v>
      </c>
      <c r="C164" s="16">
        <v>7754.1170000000002</v>
      </c>
      <c r="E164">
        <v>7400.9446648809499</v>
      </c>
      <c r="F164">
        <v>7759.2604199550897</v>
      </c>
    </row>
    <row r="165" spans="1:6" x14ac:dyDescent="0.25">
      <c r="A165" s="15">
        <v>31048</v>
      </c>
      <c r="B165" s="4">
        <v>7469.5</v>
      </c>
      <c r="C165" s="16">
        <v>7829.26</v>
      </c>
      <c r="E165">
        <v>7475.1727683639801</v>
      </c>
      <c r="F165">
        <v>7834.3605862742797</v>
      </c>
    </row>
    <row r="166" spans="1:6" x14ac:dyDescent="0.25">
      <c r="A166" s="15">
        <v>31138</v>
      </c>
      <c r="B166" s="4">
        <v>7537.9</v>
      </c>
      <c r="C166" s="16">
        <v>7898.1940000000004</v>
      </c>
      <c r="E166">
        <v>7533.92714951365</v>
      </c>
      <c r="F166">
        <v>7894.0723804937397</v>
      </c>
    </row>
    <row r="167" spans="1:6" x14ac:dyDescent="0.25">
      <c r="A167" s="15">
        <v>31229</v>
      </c>
      <c r="B167" s="4">
        <v>7655.2</v>
      </c>
      <c r="C167" s="16">
        <v>8018.8090000000002</v>
      </c>
      <c r="E167">
        <v>7650.2298425057197</v>
      </c>
      <c r="F167">
        <v>8014.33304634258</v>
      </c>
    </row>
    <row r="168" spans="1:6" x14ac:dyDescent="0.25">
      <c r="A168" s="15">
        <v>31321</v>
      </c>
      <c r="B168" s="4">
        <v>7712.6</v>
      </c>
      <c r="C168" s="16">
        <v>8078.415</v>
      </c>
      <c r="E168">
        <v>7716.0155556890404</v>
      </c>
      <c r="F168">
        <v>8082.3392924094396</v>
      </c>
    </row>
    <row r="169" spans="1:6" x14ac:dyDescent="0.25">
      <c r="A169" s="15">
        <v>31413</v>
      </c>
      <c r="B169" s="4">
        <v>7784.1</v>
      </c>
      <c r="C169" s="16">
        <v>8153.8289999999997</v>
      </c>
      <c r="E169">
        <v>7787.7956743227196</v>
      </c>
      <c r="F169">
        <v>8156.6214481192101</v>
      </c>
    </row>
    <row r="170" spans="1:6" x14ac:dyDescent="0.25">
      <c r="A170" s="15">
        <v>31503</v>
      </c>
      <c r="B170" s="4">
        <v>7819.8</v>
      </c>
      <c r="C170" s="16">
        <v>8190.5519999999997</v>
      </c>
      <c r="E170">
        <v>7817.69659134015</v>
      </c>
      <c r="F170">
        <v>8188.2575112680797</v>
      </c>
    </row>
    <row r="171" spans="1:6" x14ac:dyDescent="0.25">
      <c r="A171" s="15">
        <v>31594</v>
      </c>
      <c r="B171" s="4">
        <v>7898.6</v>
      </c>
      <c r="C171" s="16">
        <v>8268.9349999999995</v>
      </c>
      <c r="E171">
        <v>7894.9372566230604</v>
      </c>
      <c r="F171">
        <v>8265.6410441500993</v>
      </c>
    </row>
    <row r="172" spans="1:6" x14ac:dyDescent="0.25">
      <c r="A172" s="15">
        <v>31686</v>
      </c>
      <c r="B172" s="4">
        <v>7939.5</v>
      </c>
      <c r="C172" s="16">
        <v>8313.3379999999997</v>
      </c>
      <c r="E172">
        <v>7941.7824763158196</v>
      </c>
      <c r="F172">
        <v>8316.6250477845606</v>
      </c>
    </row>
    <row r="173" spans="1:6" x14ac:dyDescent="0.25">
      <c r="A173" s="15">
        <v>31778</v>
      </c>
      <c r="B173" s="4">
        <v>7995</v>
      </c>
      <c r="C173" s="16">
        <v>8375.2739999999994</v>
      </c>
      <c r="E173">
        <v>7998.07146791783</v>
      </c>
      <c r="F173">
        <v>8377.2291197909799</v>
      </c>
    </row>
    <row r="174" spans="1:6" x14ac:dyDescent="0.25">
      <c r="A174" s="15">
        <v>31868</v>
      </c>
      <c r="B174" s="4">
        <v>8084.7</v>
      </c>
      <c r="C174" s="16">
        <v>8465.6299999999992</v>
      </c>
      <c r="E174">
        <v>8082.2004650240997</v>
      </c>
      <c r="F174">
        <v>8462.8874904688801</v>
      </c>
    </row>
    <row r="175" spans="1:6" x14ac:dyDescent="0.25">
      <c r="A175" s="15">
        <v>31959</v>
      </c>
      <c r="B175" s="4">
        <v>8158</v>
      </c>
      <c r="C175" s="16">
        <v>8539.0750000000007</v>
      </c>
      <c r="E175">
        <v>8154.94383017577</v>
      </c>
      <c r="F175">
        <v>8535.9989530660605</v>
      </c>
    </row>
    <row r="176" spans="1:6" x14ac:dyDescent="0.25">
      <c r="A176" s="15">
        <v>32051</v>
      </c>
      <c r="B176" s="4">
        <v>8292.7000000000007</v>
      </c>
      <c r="C176" s="16">
        <v>8685.6939999999995</v>
      </c>
      <c r="E176">
        <v>8295.7250676151107</v>
      </c>
      <c r="F176">
        <v>8690.2373231999009</v>
      </c>
    </row>
    <row r="177" spans="1:6" x14ac:dyDescent="0.25">
      <c r="A177" s="15">
        <v>32143</v>
      </c>
      <c r="B177" s="4">
        <v>8339.2999999999993</v>
      </c>
      <c r="C177" s="16">
        <v>8730.5689999999995</v>
      </c>
      <c r="E177">
        <v>8343.2770661576906</v>
      </c>
      <c r="F177">
        <v>8733.5293759506494</v>
      </c>
    </row>
    <row r="178" spans="1:6" x14ac:dyDescent="0.25">
      <c r="A178" s="15">
        <v>32234</v>
      </c>
      <c r="B178" s="4">
        <v>8449.5</v>
      </c>
      <c r="C178" s="16">
        <v>8845.2800000000007</v>
      </c>
      <c r="E178">
        <v>8444.4567200727306</v>
      </c>
      <c r="F178">
        <v>8839.9930963553907</v>
      </c>
    </row>
    <row r="179" spans="1:6" x14ac:dyDescent="0.25">
      <c r="A179" s="15">
        <v>32325</v>
      </c>
      <c r="B179" s="4">
        <v>8498.2999999999993</v>
      </c>
      <c r="C179" s="16">
        <v>8897.107</v>
      </c>
      <c r="E179">
        <v>8494.7834603104093</v>
      </c>
      <c r="F179">
        <v>8892.7552757050798</v>
      </c>
    </row>
    <row r="180" spans="1:6" x14ac:dyDescent="0.25">
      <c r="A180" s="15">
        <v>32417</v>
      </c>
      <c r="B180" s="4">
        <v>8610.9</v>
      </c>
      <c r="C180" s="16">
        <v>9015.6610000000001</v>
      </c>
      <c r="E180">
        <v>8616.4678745135006</v>
      </c>
      <c r="F180">
        <v>9023.3648313638696</v>
      </c>
    </row>
    <row r="181" spans="1:6" x14ac:dyDescent="0.25">
      <c r="A181" s="15">
        <v>32509</v>
      </c>
      <c r="B181" s="4">
        <v>8697.7000000000007</v>
      </c>
      <c r="C181" s="16">
        <v>9107.3140000000003</v>
      </c>
      <c r="E181">
        <v>8702.7206142934992</v>
      </c>
      <c r="F181">
        <v>9111.5544922159497</v>
      </c>
    </row>
    <row r="182" spans="1:6" x14ac:dyDescent="0.25">
      <c r="A182" s="15">
        <v>32599</v>
      </c>
      <c r="B182" s="4">
        <v>8766.1</v>
      </c>
      <c r="C182" s="16">
        <v>9176.8269999999993</v>
      </c>
      <c r="E182">
        <v>8757.9426358604596</v>
      </c>
      <c r="F182">
        <v>9168.4121042274692</v>
      </c>
    </row>
    <row r="183" spans="1:6" x14ac:dyDescent="0.25">
      <c r="A183" s="15">
        <v>32690</v>
      </c>
      <c r="B183" s="4">
        <v>8831.5</v>
      </c>
      <c r="C183" s="16">
        <v>9244.8160000000007</v>
      </c>
      <c r="E183">
        <v>8827.7228693802499</v>
      </c>
      <c r="F183">
        <v>9239.6542835161508</v>
      </c>
    </row>
    <row r="184" spans="1:6" x14ac:dyDescent="0.25">
      <c r="A184" s="15">
        <v>32782</v>
      </c>
      <c r="B184" s="4">
        <v>8850.2000000000007</v>
      </c>
      <c r="C184" s="16">
        <v>9263.0329999999994</v>
      </c>
      <c r="E184">
        <v>8857.2878764836805</v>
      </c>
      <c r="F184">
        <v>9272.2213473039101</v>
      </c>
    </row>
    <row r="185" spans="1:6" x14ac:dyDescent="0.25">
      <c r="A185" s="15">
        <v>32874</v>
      </c>
      <c r="B185" s="4">
        <v>8947.1</v>
      </c>
      <c r="C185" s="16">
        <v>9364.259</v>
      </c>
      <c r="E185">
        <v>8953.1738777790197</v>
      </c>
      <c r="F185">
        <v>9370.1113978475205</v>
      </c>
    </row>
    <row r="186" spans="1:6" x14ac:dyDescent="0.25">
      <c r="A186" s="15">
        <v>32964</v>
      </c>
      <c r="B186" s="4">
        <v>8981.7000000000007</v>
      </c>
      <c r="C186" s="16">
        <v>9398.2430000000004</v>
      </c>
      <c r="E186">
        <v>8972.3059875399595</v>
      </c>
      <c r="F186">
        <v>9388.5971239962691</v>
      </c>
    </row>
    <row r="187" spans="1:6" x14ac:dyDescent="0.25">
      <c r="A187" s="15">
        <v>33055</v>
      </c>
      <c r="B187" s="4">
        <v>8983.9</v>
      </c>
      <c r="C187" s="16">
        <v>9404.4940000000006</v>
      </c>
      <c r="E187">
        <v>8979.5209775555595</v>
      </c>
      <c r="F187">
        <v>9398.4360141589805</v>
      </c>
    </row>
    <row r="188" spans="1:6" x14ac:dyDescent="0.25">
      <c r="A188" s="15">
        <v>33147</v>
      </c>
      <c r="B188" s="4">
        <v>8907.4</v>
      </c>
      <c r="C188" s="16">
        <v>9318.8760000000002</v>
      </c>
      <c r="E188">
        <v>8914.9381742517708</v>
      </c>
      <c r="F188">
        <v>9328.2700690013007</v>
      </c>
    </row>
    <row r="189" spans="1:6" x14ac:dyDescent="0.25">
      <c r="A189" s="15">
        <v>33239</v>
      </c>
      <c r="B189" s="4">
        <v>8865.6</v>
      </c>
      <c r="C189" s="16">
        <v>9275.2759999999998</v>
      </c>
      <c r="E189">
        <v>8871.4302475017503</v>
      </c>
      <c r="F189">
        <v>9281.1874077429602</v>
      </c>
    </row>
    <row r="190" spans="1:6" x14ac:dyDescent="0.25">
      <c r="A190" s="15">
        <v>33329</v>
      </c>
      <c r="B190" s="4">
        <v>8934.4</v>
      </c>
      <c r="C190" s="16">
        <v>9347.5969999999998</v>
      </c>
      <c r="E190">
        <v>8925.6844392393505</v>
      </c>
      <c r="F190">
        <v>9338.6328242212403</v>
      </c>
    </row>
    <row r="191" spans="1:6" x14ac:dyDescent="0.25">
      <c r="A191" s="15">
        <v>33420</v>
      </c>
      <c r="B191" s="4">
        <v>8977.2999999999993</v>
      </c>
      <c r="C191" s="16">
        <v>9394.8340000000007</v>
      </c>
      <c r="E191">
        <v>8974.2056848136599</v>
      </c>
      <c r="F191">
        <v>9390.4227448546408</v>
      </c>
    </row>
    <row r="192" spans="1:6" x14ac:dyDescent="0.25">
      <c r="A192" s="15">
        <v>33512</v>
      </c>
      <c r="B192" s="4">
        <v>9016.4</v>
      </c>
      <c r="C192" s="16">
        <v>9427.5810000000001</v>
      </c>
      <c r="E192">
        <v>9020.4803090898204</v>
      </c>
      <c r="F192">
        <v>9432.81770299444</v>
      </c>
    </row>
    <row r="193" spans="1:6" x14ac:dyDescent="0.25">
      <c r="A193" s="15">
        <v>33604</v>
      </c>
      <c r="B193" s="4">
        <v>9123</v>
      </c>
      <c r="C193" s="16">
        <v>9540.4439999999995</v>
      </c>
      <c r="E193">
        <v>9130.0990536726495</v>
      </c>
      <c r="F193">
        <v>9547.9374033878394</v>
      </c>
    </row>
    <row r="194" spans="1:6" x14ac:dyDescent="0.25">
      <c r="A194" s="15">
        <v>33695</v>
      </c>
      <c r="B194" s="4">
        <v>9223.5</v>
      </c>
      <c r="C194" s="16">
        <v>9643.893</v>
      </c>
      <c r="E194">
        <v>9215.9071323879598</v>
      </c>
      <c r="F194">
        <v>9635.9100070470304</v>
      </c>
    </row>
    <row r="195" spans="1:6" x14ac:dyDescent="0.25">
      <c r="A195" s="15">
        <v>33786</v>
      </c>
      <c r="B195" s="4">
        <v>9313.2000000000007</v>
      </c>
      <c r="C195" s="16">
        <v>9739.1849999999995</v>
      </c>
      <c r="E195">
        <v>9312.2103695528403</v>
      </c>
      <c r="F195">
        <v>9737.3136777456093</v>
      </c>
    </row>
    <row r="196" spans="1:6" x14ac:dyDescent="0.25">
      <c r="A196" s="15">
        <v>33878</v>
      </c>
      <c r="B196" s="4">
        <v>9406.5</v>
      </c>
      <c r="C196" s="16">
        <v>9840.7530000000006</v>
      </c>
      <c r="E196">
        <v>9405.5233382741899</v>
      </c>
      <c r="F196">
        <v>9840.7048310477094</v>
      </c>
    </row>
    <row r="197" spans="1:6" x14ac:dyDescent="0.25">
      <c r="A197" s="15">
        <v>33970</v>
      </c>
      <c r="B197" s="4">
        <v>9424.1</v>
      </c>
      <c r="C197" s="16">
        <v>9857.1849999999995</v>
      </c>
      <c r="E197">
        <v>9433.0117088611605</v>
      </c>
      <c r="F197">
        <v>9866.4739268740395</v>
      </c>
    </row>
    <row r="198" spans="1:6" x14ac:dyDescent="0.25">
      <c r="A198" s="15">
        <v>34060</v>
      </c>
      <c r="B198" s="4">
        <v>9480.1</v>
      </c>
      <c r="C198" s="16">
        <v>9914.5650000000005</v>
      </c>
      <c r="E198">
        <v>9473.42923566428</v>
      </c>
      <c r="F198">
        <v>9906.9126578032501</v>
      </c>
    </row>
    <row r="199" spans="1:6" x14ac:dyDescent="0.25">
      <c r="A199" s="15">
        <v>34151</v>
      </c>
      <c r="B199" s="4">
        <v>9526.2999999999993</v>
      </c>
      <c r="C199" s="16">
        <v>9961.8729999999996</v>
      </c>
      <c r="E199">
        <v>9528.3659025166398</v>
      </c>
      <c r="F199">
        <v>9964.1200344302706</v>
      </c>
    </row>
    <row r="200" spans="1:6" x14ac:dyDescent="0.25">
      <c r="A200" s="15">
        <v>34243</v>
      </c>
      <c r="B200" s="4">
        <v>9653.5</v>
      </c>
      <c r="C200" s="16">
        <v>10097.361999999999</v>
      </c>
      <c r="E200">
        <v>9645.9256062285494</v>
      </c>
      <c r="F200">
        <v>10090.128586507501</v>
      </c>
    </row>
    <row r="201" spans="1:6" x14ac:dyDescent="0.25">
      <c r="A201" s="15">
        <v>34335</v>
      </c>
      <c r="B201" s="4">
        <v>9748.2000000000007</v>
      </c>
      <c r="C201" s="16">
        <v>10195.338</v>
      </c>
      <c r="E201">
        <v>9759.9283834434991</v>
      </c>
      <c r="F201">
        <v>10207.882231281599</v>
      </c>
    </row>
    <row r="202" spans="1:6" x14ac:dyDescent="0.25">
      <c r="A202" s="15">
        <v>34425</v>
      </c>
      <c r="B202" s="4">
        <v>9881.4</v>
      </c>
      <c r="C202" s="16">
        <v>10333.495000000001</v>
      </c>
      <c r="E202">
        <v>9876.5686290991798</v>
      </c>
      <c r="F202">
        <v>10326.604969759701</v>
      </c>
    </row>
    <row r="203" spans="1:6" x14ac:dyDescent="0.25">
      <c r="A203" s="15">
        <v>34516</v>
      </c>
      <c r="B203" s="4">
        <v>9939.7000000000007</v>
      </c>
      <c r="C203" s="16">
        <v>10393.897999999999</v>
      </c>
      <c r="E203">
        <v>9941.4352908427409</v>
      </c>
      <c r="F203">
        <v>10396.7590408215</v>
      </c>
    </row>
    <row r="204" spans="1:6" x14ac:dyDescent="0.25">
      <c r="A204" s="15">
        <v>34608</v>
      </c>
      <c r="B204" s="4">
        <v>10052.5</v>
      </c>
      <c r="C204" s="16">
        <v>10512.962</v>
      </c>
      <c r="E204">
        <v>10042.093851596799</v>
      </c>
      <c r="F204">
        <v>10502.797815117599</v>
      </c>
    </row>
    <row r="205" spans="1:6" x14ac:dyDescent="0.25">
      <c r="A205" s="15">
        <v>34700</v>
      </c>
      <c r="B205" s="4">
        <v>10086.9</v>
      </c>
      <c r="C205" s="16">
        <v>10550.251</v>
      </c>
      <c r="E205">
        <v>10099.9651734619</v>
      </c>
      <c r="F205">
        <v>10564.413970612601</v>
      </c>
    </row>
    <row r="206" spans="1:6" x14ac:dyDescent="0.25">
      <c r="A206" s="15">
        <v>34790</v>
      </c>
      <c r="B206" s="4">
        <v>10122.1</v>
      </c>
      <c r="C206" s="16">
        <v>10581.723</v>
      </c>
      <c r="E206">
        <v>10119.3451517747</v>
      </c>
      <c r="F206">
        <v>10575.9370298469</v>
      </c>
    </row>
    <row r="207" spans="1:6" x14ac:dyDescent="0.25">
      <c r="A207" s="15">
        <v>34881</v>
      </c>
      <c r="B207" s="4">
        <v>10208.799999999999</v>
      </c>
      <c r="C207" s="16">
        <v>10671.737999999999</v>
      </c>
      <c r="E207">
        <v>10209.1585506179</v>
      </c>
      <c r="F207">
        <v>10673.7930961073</v>
      </c>
    </row>
    <row r="208" spans="1:6" x14ac:dyDescent="0.25">
      <c r="A208" s="15">
        <v>34973</v>
      </c>
      <c r="B208" s="4">
        <v>10281.200000000001</v>
      </c>
      <c r="C208" s="16">
        <v>10744.203</v>
      </c>
      <c r="E208">
        <v>10269.159130577</v>
      </c>
      <c r="F208">
        <v>10732.4956736601</v>
      </c>
    </row>
    <row r="209" spans="1:6" x14ac:dyDescent="0.25">
      <c r="A209" s="15">
        <v>35065</v>
      </c>
      <c r="B209" s="4">
        <v>10348.700000000001</v>
      </c>
      <c r="C209" s="16">
        <v>10824.674000000001</v>
      </c>
      <c r="E209">
        <v>10362.2593434952</v>
      </c>
      <c r="F209">
        <v>10839.572432749201</v>
      </c>
    </row>
    <row r="210" spans="1:6" x14ac:dyDescent="0.25">
      <c r="A210" s="15">
        <v>35156</v>
      </c>
      <c r="B210" s="4">
        <v>10529.4</v>
      </c>
      <c r="C210" s="16">
        <v>11005.217000000001</v>
      </c>
      <c r="E210">
        <v>10529.829871468601</v>
      </c>
      <c r="F210">
        <v>11002.248276525999</v>
      </c>
    </row>
    <row r="211" spans="1:6" x14ac:dyDescent="0.25">
      <c r="A211" s="15">
        <v>35247</v>
      </c>
      <c r="B211" s="4">
        <v>10626.8</v>
      </c>
      <c r="C211" s="16">
        <v>11103.934999999999</v>
      </c>
      <c r="E211">
        <v>10624.269413530201</v>
      </c>
      <c r="F211">
        <v>11102.801111074201</v>
      </c>
    </row>
    <row r="212" spans="1:6" x14ac:dyDescent="0.25">
      <c r="A212" s="15">
        <v>35339</v>
      </c>
      <c r="B212" s="4">
        <v>10739.1</v>
      </c>
      <c r="C212" s="16">
        <v>11219.237999999999</v>
      </c>
      <c r="E212">
        <v>10727.0177637663</v>
      </c>
      <c r="F212">
        <v>11207.523552689299</v>
      </c>
    </row>
    <row r="213" spans="1:6" x14ac:dyDescent="0.25">
      <c r="A213" s="15">
        <v>35431</v>
      </c>
      <c r="B213" s="4">
        <v>10820.9</v>
      </c>
      <c r="C213" s="16">
        <v>11291.665000000001</v>
      </c>
      <c r="E213">
        <v>10834.786999449399</v>
      </c>
      <c r="F213">
        <v>11307.884758271501</v>
      </c>
    </row>
    <row r="214" spans="1:6" x14ac:dyDescent="0.25">
      <c r="A214" s="15">
        <v>35521</v>
      </c>
      <c r="B214" s="4">
        <v>10984.2</v>
      </c>
      <c r="C214" s="16">
        <v>11479.33</v>
      </c>
      <c r="E214">
        <v>10985.2250833577</v>
      </c>
      <c r="F214">
        <v>11476.2207471522</v>
      </c>
    </row>
    <row r="215" spans="1:6" x14ac:dyDescent="0.25">
      <c r="A215" s="15">
        <v>35612</v>
      </c>
      <c r="B215" s="4">
        <v>11124</v>
      </c>
      <c r="C215" s="16">
        <v>11622.911</v>
      </c>
      <c r="E215">
        <v>11122.217298574</v>
      </c>
      <c r="F215">
        <v>11622.3551699941</v>
      </c>
    </row>
    <row r="216" spans="1:6" x14ac:dyDescent="0.25">
      <c r="A216" s="15">
        <v>35704</v>
      </c>
      <c r="B216" s="4">
        <v>11210.3</v>
      </c>
      <c r="C216" s="16">
        <v>11722.722</v>
      </c>
      <c r="E216">
        <v>11196.2129220185</v>
      </c>
      <c r="F216">
        <v>11708.406585631699</v>
      </c>
    </row>
    <row r="217" spans="1:6" x14ac:dyDescent="0.25">
      <c r="A217" s="15">
        <v>35796</v>
      </c>
      <c r="B217" s="4">
        <v>11321.2</v>
      </c>
      <c r="C217" s="16">
        <v>11839.876</v>
      </c>
      <c r="E217">
        <v>11336.483699161599</v>
      </c>
      <c r="F217">
        <v>11859.1423314644</v>
      </c>
    </row>
    <row r="218" spans="1:6" x14ac:dyDescent="0.25">
      <c r="A218" s="15">
        <v>35886</v>
      </c>
      <c r="B218" s="4">
        <v>11431</v>
      </c>
      <c r="C218" s="16">
        <v>11949.492</v>
      </c>
      <c r="E218">
        <v>11430.1278122111</v>
      </c>
      <c r="F218">
        <v>11943.8377616131</v>
      </c>
    </row>
    <row r="219" spans="1:6" x14ac:dyDescent="0.25">
      <c r="A219" s="15">
        <v>35977</v>
      </c>
      <c r="B219" s="4">
        <v>11580.6</v>
      </c>
      <c r="C219" s="16">
        <v>12099.191000000001</v>
      </c>
      <c r="E219">
        <v>11581.1205697724</v>
      </c>
      <c r="F219">
        <v>12100.6959789512</v>
      </c>
    </row>
    <row r="220" spans="1:6" x14ac:dyDescent="0.25">
      <c r="A220" s="15">
        <v>36069</v>
      </c>
      <c r="B220" s="4">
        <v>11770.7</v>
      </c>
      <c r="C220" s="16">
        <v>12294.736999999999</v>
      </c>
      <c r="E220">
        <v>11756.7384216586</v>
      </c>
      <c r="F220">
        <v>12279.663561814101</v>
      </c>
    </row>
    <row r="221" spans="1:6" x14ac:dyDescent="0.25">
      <c r="A221" s="15">
        <v>36161</v>
      </c>
      <c r="B221" s="4">
        <v>11864.7</v>
      </c>
      <c r="C221" s="16">
        <v>12410.778</v>
      </c>
      <c r="E221">
        <v>11879.7797670542</v>
      </c>
      <c r="F221">
        <v>12431.6798682141</v>
      </c>
    </row>
    <row r="222" spans="1:6" x14ac:dyDescent="0.25">
      <c r="A222" s="15">
        <v>36251</v>
      </c>
      <c r="B222" s="4">
        <v>11962.5</v>
      </c>
      <c r="C222" s="16">
        <v>12514.407999999999</v>
      </c>
      <c r="E222">
        <v>11957.887609944501</v>
      </c>
      <c r="F222">
        <v>12504.143323144999</v>
      </c>
    </row>
    <row r="223" spans="1:6" x14ac:dyDescent="0.25">
      <c r="A223" s="15">
        <v>36342</v>
      </c>
      <c r="B223" s="4">
        <v>12113.1</v>
      </c>
      <c r="C223" s="16">
        <v>12679.977000000001</v>
      </c>
      <c r="E223">
        <v>12117.3419908575</v>
      </c>
      <c r="F223">
        <v>12685.279475734</v>
      </c>
    </row>
    <row r="224" spans="1:6" x14ac:dyDescent="0.25">
      <c r="A224" s="15">
        <v>36434</v>
      </c>
      <c r="B224" s="4">
        <v>12323.3</v>
      </c>
      <c r="C224" s="16">
        <v>12888.281000000001</v>
      </c>
      <c r="E224">
        <v>12310.1784215551</v>
      </c>
      <c r="F224">
        <v>12873.558616599301</v>
      </c>
    </row>
    <row r="225" spans="1:6" x14ac:dyDescent="0.25">
      <c r="A225" s="15">
        <v>36526</v>
      </c>
      <c r="B225" s="4">
        <v>12359.1</v>
      </c>
      <c r="C225" s="16">
        <v>12935.252</v>
      </c>
      <c r="E225">
        <v>12372.376823143601</v>
      </c>
      <c r="F225">
        <v>12954.751095613299</v>
      </c>
    </row>
    <row r="226" spans="1:6" x14ac:dyDescent="0.25">
      <c r="A226" s="15">
        <v>36617</v>
      </c>
      <c r="B226" s="4">
        <v>12592.5</v>
      </c>
      <c r="C226" s="16">
        <v>13170.749</v>
      </c>
      <c r="E226">
        <v>12587.010436483301</v>
      </c>
      <c r="F226">
        <v>13159.853442623</v>
      </c>
    </row>
    <row r="227" spans="1:6" x14ac:dyDescent="0.25">
      <c r="A227" s="15">
        <v>36708</v>
      </c>
      <c r="B227" s="4">
        <v>12607.7</v>
      </c>
      <c r="C227" s="16">
        <v>13183.89</v>
      </c>
      <c r="E227">
        <v>12611.867394478601</v>
      </c>
      <c r="F227">
        <v>13188.9850777593</v>
      </c>
    </row>
    <row r="228" spans="1:6" x14ac:dyDescent="0.25">
      <c r="A228" s="15">
        <v>36800</v>
      </c>
      <c r="B228" s="4">
        <v>12679.3</v>
      </c>
      <c r="C228" s="16">
        <v>13262.25</v>
      </c>
      <c r="E228">
        <v>12669.0774000862</v>
      </c>
      <c r="F228">
        <v>13250.0191315011</v>
      </c>
    </row>
    <row r="229" spans="1:6" x14ac:dyDescent="0.25">
      <c r="A229" s="15">
        <v>36892</v>
      </c>
      <c r="B229" s="4">
        <v>12643.3</v>
      </c>
      <c r="C229" s="16">
        <v>13219.251</v>
      </c>
      <c r="E229">
        <v>12654.851746099001</v>
      </c>
      <c r="F229">
        <v>13237.071203117601</v>
      </c>
    </row>
    <row r="230" spans="1:6" x14ac:dyDescent="0.25">
      <c r="A230" s="15">
        <v>36982</v>
      </c>
      <c r="B230" s="4">
        <v>12710.3</v>
      </c>
      <c r="C230" s="16">
        <v>13301.394</v>
      </c>
      <c r="E230">
        <v>12704.888889567799</v>
      </c>
      <c r="F230">
        <v>13290.562530625701</v>
      </c>
    </row>
    <row r="231" spans="1:6" x14ac:dyDescent="0.25">
      <c r="A231" s="15">
        <v>37073</v>
      </c>
      <c r="B231" s="4">
        <v>12670.1</v>
      </c>
      <c r="C231" s="16">
        <v>13248.142</v>
      </c>
      <c r="E231">
        <v>12672.3542872453</v>
      </c>
      <c r="F231">
        <v>13252.0908546672</v>
      </c>
    </row>
    <row r="232" spans="1:6" x14ac:dyDescent="0.25">
      <c r="A232" s="15">
        <v>37165</v>
      </c>
      <c r="B232" s="4">
        <v>12705.3</v>
      </c>
      <c r="C232" s="16">
        <v>13284.880999999999</v>
      </c>
      <c r="E232">
        <v>12698.310822341</v>
      </c>
      <c r="F232">
        <v>13275.8394770166</v>
      </c>
    </row>
    <row r="233" spans="1:6" x14ac:dyDescent="0.25">
      <c r="A233" s="15">
        <v>37257</v>
      </c>
      <c r="B233" s="4">
        <v>12822.3</v>
      </c>
      <c r="C233" s="16">
        <v>13394.91</v>
      </c>
      <c r="E233">
        <v>12831.503029527999</v>
      </c>
      <c r="F233">
        <v>13408.793434443</v>
      </c>
    </row>
    <row r="234" spans="1:6" x14ac:dyDescent="0.25">
      <c r="A234" s="15">
        <v>37347</v>
      </c>
      <c r="B234" s="4">
        <v>12893</v>
      </c>
      <c r="C234" s="16">
        <v>13477.356</v>
      </c>
      <c r="E234">
        <v>12890.2579660874</v>
      </c>
      <c r="F234">
        <v>13470.126196719601</v>
      </c>
    </row>
    <row r="235" spans="1:6" x14ac:dyDescent="0.25">
      <c r="A235" s="15">
        <v>37438</v>
      </c>
      <c r="B235" s="4">
        <v>12955.8</v>
      </c>
      <c r="C235" s="16">
        <v>13531.741</v>
      </c>
      <c r="E235">
        <v>12954.386733065799</v>
      </c>
      <c r="F235">
        <v>13532.868642601399</v>
      </c>
    </row>
    <row r="236" spans="1:6" x14ac:dyDescent="0.25">
      <c r="A236" s="15">
        <v>37530</v>
      </c>
      <c r="B236" s="4">
        <v>12964</v>
      </c>
      <c r="C236" s="16">
        <v>13549.421</v>
      </c>
      <c r="E236">
        <v>12961.405171357101</v>
      </c>
      <c r="F236">
        <v>13545.115929580001</v>
      </c>
    </row>
    <row r="237" spans="1:6" x14ac:dyDescent="0.25">
      <c r="A237" s="15">
        <v>37622</v>
      </c>
      <c r="B237" s="4">
        <v>13031.2</v>
      </c>
      <c r="C237" s="16">
        <v>13619.433999999999</v>
      </c>
      <c r="E237">
        <v>13034.9835524964</v>
      </c>
      <c r="F237">
        <v>13625.2915103096</v>
      </c>
    </row>
    <row r="238" spans="1:6" x14ac:dyDescent="0.25">
      <c r="A238" s="15">
        <v>37712</v>
      </c>
      <c r="B238" s="4">
        <v>13152.1</v>
      </c>
      <c r="C238" s="16">
        <v>13741.107</v>
      </c>
      <c r="E238">
        <v>13154.1045329057</v>
      </c>
      <c r="F238">
        <v>13739.8754820785</v>
      </c>
    </row>
    <row r="239" spans="1:6" x14ac:dyDescent="0.25">
      <c r="A239" s="15">
        <v>37803</v>
      </c>
      <c r="B239" s="4">
        <v>13372.4</v>
      </c>
      <c r="C239" s="16">
        <v>13970.156999999999</v>
      </c>
      <c r="E239">
        <v>13369.403330668199</v>
      </c>
      <c r="F239">
        <v>13970.6557120446</v>
      </c>
    </row>
    <row r="240" spans="1:6" x14ac:dyDescent="0.25">
      <c r="A240" s="15">
        <v>37895</v>
      </c>
      <c r="B240" s="4">
        <v>13528.7</v>
      </c>
      <c r="C240" s="16">
        <v>14131.379000000001</v>
      </c>
      <c r="E240">
        <v>13526.3151719299</v>
      </c>
      <c r="F240">
        <v>14128.6583372527</v>
      </c>
    </row>
    <row r="241" spans="1:6" x14ac:dyDescent="0.25">
      <c r="A241" s="15">
        <v>37987</v>
      </c>
      <c r="B241" s="4">
        <v>13606.5</v>
      </c>
      <c r="C241" s="16">
        <v>14212.34</v>
      </c>
      <c r="E241">
        <v>13606.6373583481</v>
      </c>
      <c r="F241">
        <v>14210.185915821399</v>
      </c>
    </row>
    <row r="242" spans="1:6" x14ac:dyDescent="0.25">
      <c r="A242" s="15">
        <v>38078</v>
      </c>
      <c r="B242" s="4">
        <v>13706.2</v>
      </c>
      <c r="C242" s="16">
        <v>14323.017</v>
      </c>
      <c r="E242">
        <v>13713.7125147024</v>
      </c>
      <c r="F242">
        <v>14329.373946563899</v>
      </c>
    </row>
    <row r="243" spans="1:6" x14ac:dyDescent="0.25">
      <c r="A243" s="15">
        <v>38169</v>
      </c>
      <c r="B243" s="4">
        <v>13830.8</v>
      </c>
      <c r="C243" s="16">
        <v>14457.832</v>
      </c>
      <c r="E243">
        <v>13827.282151101899</v>
      </c>
      <c r="F243">
        <v>14458.8237127917</v>
      </c>
    </row>
    <row r="244" spans="1:6" x14ac:dyDescent="0.25">
      <c r="A244" s="15">
        <v>38261</v>
      </c>
      <c r="B244" s="4">
        <v>13950.4</v>
      </c>
      <c r="C244" s="16">
        <v>14605.594999999999</v>
      </c>
      <c r="E244">
        <v>13943.8026831847</v>
      </c>
      <c r="F244">
        <v>14599.373799712201</v>
      </c>
    </row>
    <row r="245" spans="1:6" x14ac:dyDescent="0.25">
      <c r="A245" s="15">
        <v>38353</v>
      </c>
      <c r="B245" s="4">
        <v>14099.1</v>
      </c>
      <c r="C245" s="16">
        <v>14767.846</v>
      </c>
      <c r="E245">
        <v>14102.141464509201</v>
      </c>
      <c r="F245">
        <v>14765.9214801381</v>
      </c>
    </row>
    <row r="246" spans="1:6" x14ac:dyDescent="0.25">
      <c r="A246" s="15">
        <v>38443</v>
      </c>
      <c r="B246" s="4">
        <v>14172.7</v>
      </c>
      <c r="C246" s="16">
        <v>14839.707</v>
      </c>
      <c r="E246">
        <v>14180.1687708259</v>
      </c>
      <c r="F246">
        <v>14846.230346690299</v>
      </c>
    </row>
    <row r="247" spans="1:6" x14ac:dyDescent="0.25">
      <c r="A247" s="15">
        <v>38534</v>
      </c>
      <c r="B247" s="4">
        <v>14291.8</v>
      </c>
      <c r="C247" s="16">
        <v>14956.290999999999</v>
      </c>
      <c r="E247">
        <v>14289.834790266301</v>
      </c>
      <c r="F247">
        <v>14960.379611558101</v>
      </c>
    </row>
    <row r="248" spans="1:6" x14ac:dyDescent="0.25">
      <c r="A248" s="15">
        <v>38626</v>
      </c>
      <c r="B248" s="4">
        <v>14373.4</v>
      </c>
      <c r="C248" s="16">
        <v>15041.232</v>
      </c>
      <c r="E248">
        <v>14359.740649539101</v>
      </c>
      <c r="F248">
        <v>15028.891496641399</v>
      </c>
    </row>
    <row r="249" spans="1:6" x14ac:dyDescent="0.25">
      <c r="A249" s="15">
        <v>38718</v>
      </c>
      <c r="B249" s="4">
        <v>14546.1</v>
      </c>
      <c r="C249" s="16">
        <v>15244.088</v>
      </c>
      <c r="E249">
        <v>14558.040228162799</v>
      </c>
      <c r="F249">
        <v>15248.8365299824</v>
      </c>
    </row>
    <row r="250" spans="1:6" x14ac:dyDescent="0.25">
      <c r="A250" s="15">
        <v>38808</v>
      </c>
      <c r="B250" s="4">
        <v>14589.6</v>
      </c>
      <c r="C250" s="16">
        <v>15281.525</v>
      </c>
      <c r="E250">
        <v>14593.5970457966</v>
      </c>
      <c r="F250">
        <v>15284.306020608299</v>
      </c>
    </row>
    <row r="251" spans="1:6" x14ac:dyDescent="0.25">
      <c r="A251" s="15">
        <v>38899</v>
      </c>
      <c r="B251" s="4">
        <v>14602.6</v>
      </c>
      <c r="C251" s="16">
        <v>15304.517</v>
      </c>
      <c r="E251">
        <v>14601.101147736201</v>
      </c>
      <c r="F251">
        <v>15310.322680372999</v>
      </c>
    </row>
    <row r="252" spans="1:6" x14ac:dyDescent="0.25">
      <c r="A252" s="15">
        <v>38991</v>
      </c>
      <c r="B252" s="4">
        <v>14716.9</v>
      </c>
      <c r="C252" s="16">
        <v>15433.643</v>
      </c>
      <c r="E252">
        <v>14697.434031325</v>
      </c>
      <c r="F252">
        <v>15415.9182084855</v>
      </c>
    </row>
    <row r="253" spans="1:6" x14ac:dyDescent="0.25">
      <c r="A253" s="15">
        <v>39083</v>
      </c>
      <c r="B253" s="4">
        <v>14726</v>
      </c>
      <c r="C253" s="16">
        <v>15478.956</v>
      </c>
      <c r="E253">
        <v>14747.8320892587</v>
      </c>
      <c r="F253">
        <v>15493.17867524</v>
      </c>
    </row>
    <row r="254" spans="1:6" x14ac:dyDescent="0.25">
      <c r="A254" s="15">
        <v>39173</v>
      </c>
      <c r="B254" s="4">
        <v>14838.7</v>
      </c>
      <c r="C254" s="16">
        <v>15577.779</v>
      </c>
      <c r="E254">
        <v>14838.006280727701</v>
      </c>
      <c r="F254">
        <v>15575.1358425692</v>
      </c>
    </row>
    <row r="255" spans="1:6" x14ac:dyDescent="0.25">
      <c r="A255" s="15">
        <v>39264</v>
      </c>
      <c r="B255" s="4">
        <v>14938.5</v>
      </c>
      <c r="C255" s="16">
        <v>15671.605</v>
      </c>
      <c r="E255">
        <v>14936.959308491399</v>
      </c>
      <c r="F255">
        <v>15677.301266222799</v>
      </c>
    </row>
    <row r="256" spans="1:6" x14ac:dyDescent="0.25">
      <c r="A256" s="15">
        <v>39356</v>
      </c>
      <c r="B256" s="4">
        <v>14991.8</v>
      </c>
      <c r="C256" s="16">
        <v>15767.146000000001</v>
      </c>
      <c r="E256">
        <v>14966.1951214251</v>
      </c>
      <c r="F256">
        <v>15744.5934411985</v>
      </c>
    </row>
    <row r="257" spans="1:6" x14ac:dyDescent="0.25">
      <c r="A257" s="15">
        <v>39448</v>
      </c>
      <c r="B257" s="4">
        <v>14889.5</v>
      </c>
      <c r="C257" s="16">
        <v>15702.906000000001</v>
      </c>
      <c r="E257">
        <v>14921.7721441797</v>
      </c>
      <c r="F257">
        <v>15727.2463799613</v>
      </c>
    </row>
    <row r="258" spans="1:6" x14ac:dyDescent="0.25">
      <c r="A258" s="15">
        <v>39539</v>
      </c>
      <c r="B258" s="4">
        <v>14963.4</v>
      </c>
      <c r="C258" s="16">
        <v>15792.772999999999</v>
      </c>
      <c r="E258">
        <v>14959.0234238145</v>
      </c>
      <c r="F258">
        <v>15786.101379755401</v>
      </c>
    </row>
    <row r="259" spans="1:6" x14ac:dyDescent="0.25">
      <c r="A259" s="15">
        <v>39630</v>
      </c>
      <c r="B259" s="4">
        <v>14891.6</v>
      </c>
      <c r="C259" s="16">
        <v>15709.562</v>
      </c>
      <c r="E259">
        <v>14889.3880320513</v>
      </c>
      <c r="F259">
        <v>15713.577068513199</v>
      </c>
    </row>
    <row r="260" spans="1:6" x14ac:dyDescent="0.25">
      <c r="A260" s="15">
        <v>39722</v>
      </c>
      <c r="B260" s="4">
        <v>14577</v>
      </c>
      <c r="C260" s="16">
        <v>15366.607</v>
      </c>
      <c r="E260">
        <v>14548.5072153357</v>
      </c>
      <c r="F260">
        <v>15342.1859631064</v>
      </c>
    </row>
    <row r="261" spans="1:6" x14ac:dyDescent="0.25">
      <c r="A261" s="15">
        <v>39814</v>
      </c>
      <c r="B261" s="4">
        <v>14375</v>
      </c>
      <c r="C261" s="16">
        <v>15187.475</v>
      </c>
      <c r="E261">
        <v>14412.1413767998</v>
      </c>
      <c r="F261">
        <v>15217.6403954284</v>
      </c>
    </row>
    <row r="262" spans="1:6" x14ac:dyDescent="0.25">
      <c r="A262" s="15">
        <v>39904</v>
      </c>
      <c r="B262" s="4">
        <v>14355.6</v>
      </c>
      <c r="C262" s="16">
        <v>15161.772000000001</v>
      </c>
      <c r="E262">
        <v>14348.8588109829</v>
      </c>
      <c r="F262">
        <v>15151.994076524101</v>
      </c>
    </row>
    <row r="263" spans="1:6" x14ac:dyDescent="0.25">
      <c r="A263" s="15">
        <v>39995</v>
      </c>
      <c r="B263" s="4">
        <v>14402.5</v>
      </c>
      <c r="C263" s="16">
        <v>15216.647000000001</v>
      </c>
      <c r="E263">
        <v>14400.097921201301</v>
      </c>
      <c r="F263">
        <v>15218.8102648118</v>
      </c>
    </row>
    <row r="264" spans="1:6" x14ac:dyDescent="0.25">
      <c r="A264" s="15">
        <v>40087</v>
      </c>
      <c r="B264" s="4">
        <v>14541.9</v>
      </c>
      <c r="C264" s="16">
        <v>15379.155000000001</v>
      </c>
      <c r="E264">
        <v>14513.508393402801</v>
      </c>
      <c r="F264">
        <v>15357.5952769982</v>
      </c>
    </row>
    <row r="265" spans="1:6" x14ac:dyDescent="0.25">
      <c r="A265" s="15">
        <v>40179</v>
      </c>
      <c r="B265" s="4">
        <v>14604.8</v>
      </c>
      <c r="C265" s="16">
        <v>15456.058999999999</v>
      </c>
      <c r="E265">
        <v>14642.2033672372</v>
      </c>
      <c r="F265">
        <v>15484.7977530689</v>
      </c>
    </row>
    <row r="266" spans="1:6" x14ac:dyDescent="0.25">
      <c r="A266" s="15">
        <v>40269</v>
      </c>
      <c r="B266" s="4">
        <v>14745.9</v>
      </c>
      <c r="C266" s="16">
        <v>15605.628000000001</v>
      </c>
      <c r="E266">
        <v>14739.5852957105</v>
      </c>
      <c r="F266">
        <v>15596.5686338259</v>
      </c>
    </row>
    <row r="267" spans="1:6" x14ac:dyDescent="0.25">
      <c r="A267" s="15">
        <v>40360</v>
      </c>
      <c r="B267" s="4">
        <v>14845.5</v>
      </c>
      <c r="C267" s="16">
        <v>15726.281999999999</v>
      </c>
      <c r="E267">
        <v>14843.3320194564</v>
      </c>
      <c r="F267">
        <v>15726.894760442699</v>
      </c>
    </row>
    <row r="268" spans="1:6" x14ac:dyDescent="0.25">
      <c r="A268" s="15">
        <v>40452</v>
      </c>
      <c r="B268" s="4">
        <v>14939</v>
      </c>
      <c r="C268" s="16">
        <v>15807.995000000001</v>
      </c>
      <c r="E268">
        <v>14911.2402899769</v>
      </c>
      <c r="F268">
        <v>15791.5812538956</v>
      </c>
    </row>
    <row r="269" spans="1:6" x14ac:dyDescent="0.25">
      <c r="A269" s="15">
        <v>40544</v>
      </c>
      <c r="B269" s="4">
        <v>14881.3</v>
      </c>
      <c r="C269" s="16">
        <v>15769.911</v>
      </c>
      <c r="E269">
        <v>14915.548983497099</v>
      </c>
      <c r="F269">
        <v>15791.741890830601</v>
      </c>
    </row>
    <row r="270" spans="1:6" x14ac:dyDescent="0.25">
      <c r="A270" s="15">
        <v>40634</v>
      </c>
      <c r="B270" s="4">
        <v>14989.6</v>
      </c>
      <c r="C270" s="16">
        <v>15876.839</v>
      </c>
      <c r="E270">
        <v>14985.845865405299</v>
      </c>
      <c r="F270">
        <v>15871.339440756899</v>
      </c>
    </row>
    <row r="271" spans="1:6" x14ac:dyDescent="0.25">
      <c r="A271" s="15">
        <v>40725</v>
      </c>
      <c r="B271" s="4">
        <v>15021.1</v>
      </c>
      <c r="C271" s="16">
        <v>15870.683999999999</v>
      </c>
      <c r="E271">
        <v>15017.820813751199</v>
      </c>
      <c r="F271">
        <v>15868.0175619809</v>
      </c>
    </row>
    <row r="272" spans="1:6" x14ac:dyDescent="0.25">
      <c r="A272" s="15">
        <v>40817</v>
      </c>
      <c r="B272" s="4">
        <v>15190.3</v>
      </c>
      <c r="C272" s="16">
        <v>16048.701999999999</v>
      </c>
      <c r="E272">
        <v>15163.434630490499</v>
      </c>
      <c r="F272">
        <v>16040.1317826956</v>
      </c>
    </row>
    <row r="273" spans="1:6" x14ac:dyDescent="0.25">
      <c r="A273" s="15">
        <v>40909</v>
      </c>
      <c r="B273" s="4">
        <v>15291</v>
      </c>
      <c r="C273" s="16">
        <v>16179.968000000001</v>
      </c>
      <c r="E273">
        <v>15324.6544953353</v>
      </c>
      <c r="F273">
        <v>16194.028712994999</v>
      </c>
    </row>
    <row r="274" spans="1:6" x14ac:dyDescent="0.25">
      <c r="A274" s="15">
        <v>41000</v>
      </c>
      <c r="B274" s="4">
        <v>15362.4</v>
      </c>
      <c r="C274" s="16">
        <v>16253.726000000001</v>
      </c>
      <c r="E274">
        <v>15360.2915596407</v>
      </c>
      <c r="F274">
        <v>16251.377165452999</v>
      </c>
    </row>
    <row r="275" spans="1:6" x14ac:dyDescent="0.25">
      <c r="A275" s="15">
        <v>41091</v>
      </c>
      <c r="B275" s="4">
        <v>15380.8</v>
      </c>
      <c r="C275" s="16">
        <v>16282.151</v>
      </c>
      <c r="E275">
        <v>15374.9326787298</v>
      </c>
      <c r="F275">
        <v>16276.0759842307</v>
      </c>
    </row>
    <row r="276" spans="1:6" x14ac:dyDescent="0.25">
      <c r="A276" s="15">
        <v>41183</v>
      </c>
      <c r="B276" s="4">
        <v>15384.3</v>
      </c>
      <c r="C276" s="16">
        <v>16300.035</v>
      </c>
      <c r="E276">
        <v>15358.962086935901</v>
      </c>
      <c r="F276">
        <v>16299.009362040801</v>
      </c>
    </row>
    <row r="277" spans="1:6" x14ac:dyDescent="0.25">
      <c r="A277" s="15">
        <v>41275</v>
      </c>
      <c r="B277" s="4">
        <v>15457.2</v>
      </c>
      <c r="C277" s="16">
        <v>16441.485000000001</v>
      </c>
      <c r="E277">
        <v>15491.144520301999</v>
      </c>
      <c r="F277">
        <v>16449.889087708099</v>
      </c>
    </row>
    <row r="278" spans="1:6" x14ac:dyDescent="0.25">
      <c r="A278" s="15">
        <v>41365</v>
      </c>
      <c r="B278" s="4">
        <v>15500.2</v>
      </c>
      <c r="C278" s="16">
        <v>16464.401999999998</v>
      </c>
      <c r="E278">
        <v>15499.937356685399</v>
      </c>
      <c r="F278">
        <v>16463.684909851301</v>
      </c>
    </row>
    <row r="279" spans="1:6" x14ac:dyDescent="0.25">
      <c r="A279" s="15">
        <v>41456</v>
      </c>
      <c r="B279" s="4">
        <v>15614.4</v>
      </c>
      <c r="C279" s="16">
        <v>16594.742999999999</v>
      </c>
      <c r="E279">
        <v>15602.419873823301</v>
      </c>
      <c r="F279">
        <v>16583.809465397298</v>
      </c>
    </row>
    <row r="280" spans="1:6" x14ac:dyDescent="0.25">
      <c r="A280" s="15">
        <v>41548</v>
      </c>
      <c r="B280" s="4">
        <v>15761.5</v>
      </c>
      <c r="C280" s="16">
        <v>16712.759999999998</v>
      </c>
      <c r="E280">
        <v>15739.6811742798</v>
      </c>
      <c r="F280">
        <v>16719.354283667399</v>
      </c>
    </row>
    <row r="281" spans="1:6" x14ac:dyDescent="0.25">
      <c r="A281" s="15">
        <v>41640</v>
      </c>
      <c r="B281" s="4">
        <v>15724.9</v>
      </c>
      <c r="C281" s="16">
        <v>16654.246999999999</v>
      </c>
      <c r="E281">
        <v>15760.068000884299</v>
      </c>
      <c r="F281">
        <v>16659.144950289101</v>
      </c>
    </row>
    <row r="282" spans="1:6" x14ac:dyDescent="0.25">
      <c r="A282" s="15">
        <v>41730</v>
      </c>
      <c r="B282" s="4">
        <v>15901.5</v>
      </c>
      <c r="C282" s="16">
        <v>16868.109</v>
      </c>
      <c r="E282">
        <v>15902.562972833</v>
      </c>
      <c r="F282">
        <v>16868.6044888549</v>
      </c>
    </row>
    <row r="283" spans="1:6" x14ac:dyDescent="0.25">
      <c r="A283" s="15">
        <v>41821</v>
      </c>
      <c r="B283" s="4">
        <v>16068.8</v>
      </c>
      <c r="C283" s="16">
        <v>17064.616000000002</v>
      </c>
      <c r="E283">
        <v>16051.5158015078</v>
      </c>
      <c r="F283">
        <v>17049.890811115602</v>
      </c>
    </row>
    <row r="284" spans="1:6" x14ac:dyDescent="0.25">
      <c r="A284" s="15">
        <v>41913</v>
      </c>
      <c r="B284" s="4">
        <v>16151.4</v>
      </c>
      <c r="C284" s="16">
        <v>17141.235000000001</v>
      </c>
      <c r="E284">
        <v>16130.9366147283</v>
      </c>
      <c r="F284">
        <v>17150.9301443273</v>
      </c>
    </row>
    <row r="285" spans="1:6" x14ac:dyDescent="0.25">
      <c r="A285" s="15">
        <v>42005</v>
      </c>
      <c r="B285" s="4">
        <v>16177.3</v>
      </c>
      <c r="C285" s="16">
        <v>17280.647000000001</v>
      </c>
      <c r="E285">
        <v>16215.0694432123</v>
      </c>
      <c r="F285">
        <v>17285.993101151798</v>
      </c>
    </row>
    <row r="286" spans="1:6" x14ac:dyDescent="0.25">
      <c r="A286" s="15">
        <v>42095</v>
      </c>
      <c r="B286" s="4">
        <v>16333.6</v>
      </c>
      <c r="C286" s="16">
        <v>17380.875</v>
      </c>
      <c r="E286">
        <v>16336.3539098744</v>
      </c>
      <c r="F286">
        <v>17382.241162749899</v>
      </c>
    </row>
    <row r="287" spans="1:6" x14ac:dyDescent="0.25">
      <c r="A287" s="15">
        <v>42186</v>
      </c>
      <c r="B287" s="4">
        <v>16414</v>
      </c>
      <c r="C287" s="16">
        <v>17437.080000000002</v>
      </c>
      <c r="E287">
        <v>16391.406824692898</v>
      </c>
      <c r="F287">
        <v>17418.574767334499</v>
      </c>
    </row>
    <row r="288" spans="1:6" x14ac:dyDescent="0.25">
      <c r="A288" s="15">
        <v>42278</v>
      </c>
      <c r="B288" s="4">
        <v>16470.599999999999</v>
      </c>
      <c r="C288" s="16">
        <v>17462.579000000002</v>
      </c>
      <c r="E288">
        <v>16451.513204838</v>
      </c>
      <c r="F288">
        <v>17473.560976451801</v>
      </c>
    </row>
    <row r="289" spans="1:6" x14ac:dyDescent="0.25">
      <c r="A289" s="15">
        <v>42370</v>
      </c>
      <c r="B289" s="4">
        <v>16505.099999999999</v>
      </c>
      <c r="C289" s="16">
        <v>17565.465</v>
      </c>
      <c r="E289">
        <v>16545.601398904601</v>
      </c>
      <c r="F289">
        <v>17573.1663211089</v>
      </c>
    </row>
    <row r="290" spans="1:6" x14ac:dyDescent="0.25">
      <c r="A290" s="15">
        <v>42461</v>
      </c>
      <c r="C290" s="16">
        <v>17618.580999999998</v>
      </c>
    </row>
    <row r="291" spans="1:6" x14ac:dyDescent="0.25">
      <c r="A291" s="15">
        <v>42552</v>
      </c>
      <c r="C291" s="16">
        <v>17724.489000000001</v>
      </c>
    </row>
    <row r="292" spans="1:6" x14ac:dyDescent="0.25">
      <c r="A292" s="15">
        <v>42644</v>
      </c>
      <c r="C292" s="16">
        <v>17812.560000000001</v>
      </c>
    </row>
    <row r="293" spans="1:6" x14ac:dyDescent="0.25">
      <c r="A293" s="15">
        <v>42736</v>
      </c>
      <c r="C293" s="16">
        <v>17896.623</v>
      </c>
    </row>
    <row r="294" spans="1:6" x14ac:dyDescent="0.25">
      <c r="A294" s="15">
        <v>42826</v>
      </c>
      <c r="C294" s="16">
        <v>17996.802</v>
      </c>
    </row>
    <row r="295" spans="1:6" x14ac:dyDescent="0.25">
      <c r="A295" s="15">
        <v>42917</v>
      </c>
      <c r="C295" s="16">
        <v>18126.225999999999</v>
      </c>
    </row>
    <row r="296" spans="1:6" x14ac:dyDescent="0.25">
      <c r="A296" s="15">
        <v>43009</v>
      </c>
      <c r="C296" s="16">
        <v>18296.685000000001</v>
      </c>
    </row>
    <row r="297" spans="1:6" x14ac:dyDescent="0.25">
      <c r="A297" s="15">
        <v>43101</v>
      </c>
      <c r="C297" s="16">
        <v>18436.261999999999</v>
      </c>
    </row>
    <row r="298" spans="1:6" x14ac:dyDescent="0.25">
      <c r="A298" s="15">
        <v>43191</v>
      </c>
      <c r="C298" s="16">
        <v>18590.004000000001</v>
      </c>
    </row>
    <row r="299" spans="1:6" x14ac:dyDescent="0.25">
      <c r="A299" s="15">
        <v>43282</v>
      </c>
      <c r="C299" s="16">
        <v>18679.598999999998</v>
      </c>
    </row>
    <row r="300" spans="1:6" x14ac:dyDescent="0.25">
      <c r="A300" s="15">
        <v>43374</v>
      </c>
      <c r="C300" s="16">
        <v>18721.280999999999</v>
      </c>
    </row>
    <row r="301" spans="1:6" x14ac:dyDescent="0.25">
      <c r="A301" s="15">
        <v>43466</v>
      </c>
      <c r="C301" s="16">
        <v>18833.195</v>
      </c>
    </row>
    <row r="302" spans="1:6" x14ac:dyDescent="0.25">
      <c r="A302" s="15">
        <v>43556</v>
      </c>
      <c r="C302" s="16">
        <v>18982.527999999998</v>
      </c>
    </row>
    <row r="303" spans="1:6" x14ac:dyDescent="0.25">
      <c r="A303" s="15">
        <v>43647</v>
      </c>
      <c r="C303" s="16">
        <v>19112.652999999998</v>
      </c>
    </row>
    <row r="304" spans="1:6" x14ac:dyDescent="0.25">
      <c r="A304" s="15">
        <v>43739</v>
      </c>
      <c r="C304" s="16">
        <v>19202.310000000001</v>
      </c>
    </row>
    <row r="305" spans="1:3" x14ac:dyDescent="0.25">
      <c r="A305" s="15">
        <v>43831</v>
      </c>
      <c r="C305" s="16">
        <v>18951.991999999998</v>
      </c>
    </row>
    <row r="306" spans="1:3" x14ac:dyDescent="0.25">
      <c r="A306" s="15">
        <v>43922</v>
      </c>
      <c r="C306" s="16">
        <v>17258.205000000002</v>
      </c>
    </row>
    <row r="307" spans="1:3" x14ac:dyDescent="0.25">
      <c r="A307" s="15">
        <v>44013</v>
      </c>
      <c r="C307" s="16">
        <v>18560.774000000001</v>
      </c>
    </row>
    <row r="308" spans="1:3" x14ac:dyDescent="0.25">
      <c r="A308" s="15">
        <v>44105</v>
      </c>
      <c r="C308" s="16">
        <v>18767.777999999998</v>
      </c>
    </row>
    <row r="309" spans="1:3" x14ac:dyDescent="0.25">
      <c r="A309" s="15">
        <v>44197</v>
      </c>
      <c r="C309" s="16">
        <v>19055.654999999999</v>
      </c>
    </row>
    <row r="310" spans="1:3" x14ac:dyDescent="0.25">
      <c r="A310" s="15">
        <v>44287</v>
      </c>
      <c r="C310" s="16">
        <v>19368.310000000001</v>
      </c>
    </row>
    <row r="311" spans="1:3" x14ac:dyDescent="0.25">
      <c r="A311" s="15">
        <v>44378</v>
      </c>
      <c r="C311" s="16">
        <v>19478.893</v>
      </c>
    </row>
    <row r="312" spans="1:3" x14ac:dyDescent="0.25">
      <c r="A312" s="15">
        <v>44470</v>
      </c>
      <c r="C312" s="16">
        <v>19810.572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16989-0D87-4D4A-99FA-7E3F0B84F81C}">
  <sheetPr codeName="Planilha1"/>
  <dimension ref="A1:W110"/>
  <sheetViews>
    <sheetView workbookViewId="0">
      <selection activeCell="B5" sqref="B5:W5"/>
    </sheetView>
  </sheetViews>
  <sheetFormatPr defaultRowHeight="15" x14ac:dyDescent="0.25"/>
  <cols>
    <col min="1" max="1" width="16.140625" style="13" bestFit="1" customWidth="1"/>
    <col min="2" max="16384" width="9.140625" style="13"/>
  </cols>
  <sheetData>
    <row r="1" spans="1:23" x14ac:dyDescent="0.25">
      <c r="A1" s="18" t="s">
        <v>11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x14ac:dyDescent="0.25">
      <c r="A2" s="18" t="s">
        <v>12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</row>
    <row r="3" spans="1:23" x14ac:dyDescent="0.25">
      <c r="A3" s="18" t="s">
        <v>13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</row>
    <row r="4" spans="1:23" x14ac:dyDescent="0.25">
      <c r="A4" s="18" t="s">
        <v>14</v>
      </c>
      <c r="B4" s="18" t="s">
        <v>15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</row>
    <row r="5" spans="1:23" x14ac:dyDescent="0.25">
      <c r="A5" s="18"/>
      <c r="B5" s="13" t="s">
        <v>16</v>
      </c>
      <c r="C5" s="13" t="s">
        <v>17</v>
      </c>
      <c r="D5" s="13" t="s">
        <v>18</v>
      </c>
      <c r="E5" s="13" t="s">
        <v>19</v>
      </c>
      <c r="F5" s="13" t="s">
        <v>20</v>
      </c>
      <c r="G5" s="13" t="s">
        <v>21</v>
      </c>
      <c r="H5" s="13" t="s">
        <v>22</v>
      </c>
      <c r="I5" s="13" t="s">
        <v>23</v>
      </c>
      <c r="J5" s="13" t="s">
        <v>24</v>
      </c>
      <c r="K5" s="13" t="s">
        <v>25</v>
      </c>
      <c r="L5" s="13" t="s">
        <v>26</v>
      </c>
      <c r="M5" s="13" t="s">
        <v>27</v>
      </c>
      <c r="N5" s="13" t="s">
        <v>28</v>
      </c>
      <c r="O5" s="13" t="s">
        <v>29</v>
      </c>
      <c r="P5" s="13" t="s">
        <v>30</v>
      </c>
      <c r="Q5" s="13" t="s">
        <v>31</v>
      </c>
      <c r="R5" s="13" t="s">
        <v>32</v>
      </c>
      <c r="S5" s="13" t="s">
        <v>33</v>
      </c>
      <c r="T5" s="13" t="s">
        <v>34</v>
      </c>
      <c r="U5" s="13" t="s">
        <v>35</v>
      </c>
      <c r="V5" s="13" t="s">
        <v>36</v>
      </c>
      <c r="W5" s="13" t="s">
        <v>37</v>
      </c>
    </row>
    <row r="6" spans="1:23" x14ac:dyDescent="0.25">
      <c r="A6" s="13" t="s">
        <v>38</v>
      </c>
      <c r="B6" s="13">
        <v>9316</v>
      </c>
      <c r="C6" s="13">
        <v>38457</v>
      </c>
      <c r="D6" s="13">
        <v>1107</v>
      </c>
      <c r="E6" s="13">
        <v>22989</v>
      </c>
      <c r="F6" s="13">
        <v>3835</v>
      </c>
      <c r="G6" s="13">
        <v>10525</v>
      </c>
      <c r="H6" s="13">
        <v>100853</v>
      </c>
      <c r="I6" s="13">
        <v>12732</v>
      </c>
      <c r="J6" s="13">
        <v>5031</v>
      </c>
      <c r="K6" s="13">
        <v>3741</v>
      </c>
      <c r="L6" s="13">
        <v>15329</v>
      </c>
      <c r="M6" s="13">
        <v>15373</v>
      </c>
      <c r="N6" s="13">
        <v>22400</v>
      </c>
      <c r="O6" s="13">
        <v>26247</v>
      </c>
      <c r="P6" s="13">
        <v>148626</v>
      </c>
      <c r="Q6" s="13">
        <v>22294</v>
      </c>
      <c r="R6" s="13">
        <v>170920</v>
      </c>
      <c r="S6" s="13">
        <v>108013</v>
      </c>
      <c r="T6" s="13">
        <v>35503</v>
      </c>
      <c r="U6" s="13">
        <v>33267</v>
      </c>
      <c r="V6" s="13">
        <v>12645</v>
      </c>
      <c r="W6" s="13">
        <v>13697</v>
      </c>
    </row>
    <row r="7" spans="1:23" x14ac:dyDescent="0.25">
      <c r="A7" s="13" t="s">
        <v>39</v>
      </c>
      <c r="B7" s="13">
        <v>9332</v>
      </c>
      <c r="C7" s="13">
        <v>40402</v>
      </c>
      <c r="D7" s="13">
        <v>1102</v>
      </c>
      <c r="E7" s="13">
        <v>24655</v>
      </c>
      <c r="F7" s="13">
        <v>3772</v>
      </c>
      <c r="G7" s="13">
        <v>10873</v>
      </c>
      <c r="H7" s="13">
        <v>103181</v>
      </c>
      <c r="I7" s="13">
        <v>13999</v>
      </c>
      <c r="J7" s="13">
        <v>5345</v>
      </c>
      <c r="K7" s="13">
        <v>3843</v>
      </c>
      <c r="L7" s="13">
        <v>14880</v>
      </c>
      <c r="M7" s="13">
        <v>15480</v>
      </c>
      <c r="N7" s="13">
        <v>22773</v>
      </c>
      <c r="O7" s="13">
        <v>26862</v>
      </c>
      <c r="P7" s="13">
        <v>152915</v>
      </c>
      <c r="Q7" s="13">
        <v>23793</v>
      </c>
      <c r="R7" s="13">
        <v>176709</v>
      </c>
      <c r="S7" s="13">
        <v>112161</v>
      </c>
      <c r="T7" s="13">
        <v>36963</v>
      </c>
      <c r="U7" s="13">
        <v>36228</v>
      </c>
      <c r="V7" s="13">
        <v>13904</v>
      </c>
      <c r="W7" s="13">
        <v>16388</v>
      </c>
    </row>
    <row r="8" spans="1:23" x14ac:dyDescent="0.25">
      <c r="A8" s="13" t="s">
        <v>40</v>
      </c>
      <c r="B8" s="13">
        <v>9562</v>
      </c>
      <c r="C8" s="13">
        <v>46061</v>
      </c>
      <c r="D8" s="13">
        <v>1119</v>
      </c>
      <c r="E8" s="13">
        <v>29571</v>
      </c>
      <c r="F8" s="13">
        <v>3817</v>
      </c>
      <c r="G8" s="13">
        <v>11555</v>
      </c>
      <c r="H8" s="13">
        <v>108484</v>
      </c>
      <c r="I8" s="13">
        <v>15155</v>
      </c>
      <c r="J8" s="13">
        <v>5910</v>
      </c>
      <c r="K8" s="13">
        <v>3986</v>
      </c>
      <c r="L8" s="13">
        <v>17653</v>
      </c>
      <c r="M8" s="13">
        <v>15500</v>
      </c>
      <c r="N8" s="13">
        <v>23450</v>
      </c>
      <c r="O8" s="13">
        <v>26830</v>
      </c>
      <c r="P8" s="13">
        <v>164107</v>
      </c>
      <c r="Q8" s="13">
        <v>25737</v>
      </c>
      <c r="R8" s="13">
        <v>189844</v>
      </c>
      <c r="S8" s="13">
        <v>117771</v>
      </c>
      <c r="T8" s="13">
        <v>38784</v>
      </c>
      <c r="U8" s="13">
        <v>37688</v>
      </c>
      <c r="V8" s="13">
        <v>14175</v>
      </c>
      <c r="W8" s="13">
        <v>19099</v>
      </c>
    </row>
    <row r="9" spans="1:23" x14ac:dyDescent="0.25">
      <c r="A9" s="13" t="s">
        <v>41</v>
      </c>
      <c r="B9" s="13">
        <v>8216</v>
      </c>
      <c r="C9" s="13">
        <v>41760</v>
      </c>
      <c r="D9" s="13">
        <v>1191</v>
      </c>
      <c r="E9" s="13">
        <v>25535</v>
      </c>
      <c r="F9" s="13">
        <v>3981</v>
      </c>
      <c r="G9" s="13">
        <v>11054</v>
      </c>
      <c r="H9" s="13">
        <v>107248</v>
      </c>
      <c r="I9" s="13">
        <v>14838</v>
      </c>
      <c r="J9" s="13">
        <v>5644</v>
      </c>
      <c r="K9" s="13">
        <v>4147</v>
      </c>
      <c r="L9" s="13">
        <v>17097</v>
      </c>
      <c r="M9" s="13">
        <v>15286</v>
      </c>
      <c r="N9" s="13">
        <v>23870</v>
      </c>
      <c r="O9" s="13">
        <v>26367</v>
      </c>
      <c r="P9" s="13">
        <v>157224</v>
      </c>
      <c r="Q9" s="13">
        <v>26889</v>
      </c>
      <c r="R9" s="13">
        <v>184113</v>
      </c>
      <c r="S9" s="13">
        <v>126373</v>
      </c>
      <c r="T9" s="13">
        <v>33803</v>
      </c>
      <c r="U9" s="13">
        <v>37749</v>
      </c>
      <c r="V9" s="13">
        <v>12205</v>
      </c>
      <c r="W9" s="13">
        <v>21306</v>
      </c>
    </row>
    <row r="10" spans="1:23" x14ac:dyDescent="0.25">
      <c r="A10" s="13" t="s">
        <v>42</v>
      </c>
      <c r="B10" s="13">
        <v>9966</v>
      </c>
      <c r="C10" s="13">
        <v>39719</v>
      </c>
      <c r="D10" s="13">
        <v>1097</v>
      </c>
      <c r="E10" s="13">
        <v>23619</v>
      </c>
      <c r="F10" s="13">
        <v>4054</v>
      </c>
      <c r="G10" s="13">
        <v>10859</v>
      </c>
      <c r="H10" s="13">
        <v>102784</v>
      </c>
      <c r="I10" s="13">
        <v>13312</v>
      </c>
      <c r="J10" s="13">
        <v>5083</v>
      </c>
      <c r="K10" s="13">
        <v>3915</v>
      </c>
      <c r="L10" s="13">
        <v>15588</v>
      </c>
      <c r="M10" s="13">
        <v>15582</v>
      </c>
      <c r="N10" s="13">
        <v>22595</v>
      </c>
      <c r="O10" s="13">
        <v>26433</v>
      </c>
      <c r="P10" s="13">
        <v>152448</v>
      </c>
      <c r="Q10" s="13">
        <v>24295</v>
      </c>
      <c r="R10" s="13">
        <v>176732</v>
      </c>
      <c r="S10" s="13">
        <v>116540</v>
      </c>
      <c r="T10" s="13">
        <v>35941</v>
      </c>
      <c r="U10" s="13">
        <v>37013</v>
      </c>
      <c r="V10" s="13">
        <v>12584</v>
      </c>
      <c r="W10" s="13">
        <v>17469</v>
      </c>
    </row>
    <row r="11" spans="1:23" x14ac:dyDescent="0.25">
      <c r="A11" s="13" t="s">
        <v>43</v>
      </c>
      <c r="B11" s="13">
        <v>9744</v>
      </c>
      <c r="C11" s="13">
        <v>43648</v>
      </c>
      <c r="D11" s="13">
        <v>1142</v>
      </c>
      <c r="E11" s="13">
        <v>26918</v>
      </c>
      <c r="F11" s="13">
        <v>3972</v>
      </c>
      <c r="G11" s="13">
        <v>11614</v>
      </c>
      <c r="H11" s="13">
        <v>105502</v>
      </c>
      <c r="I11" s="13">
        <v>14758</v>
      </c>
      <c r="J11" s="13">
        <v>5790</v>
      </c>
      <c r="K11" s="13">
        <v>4069</v>
      </c>
      <c r="L11" s="13">
        <v>15052</v>
      </c>
      <c r="M11" s="13">
        <v>15696</v>
      </c>
      <c r="N11" s="13">
        <v>23288</v>
      </c>
      <c r="O11" s="13">
        <v>26703</v>
      </c>
      <c r="P11" s="13">
        <v>158775</v>
      </c>
      <c r="Q11" s="13">
        <v>26438</v>
      </c>
      <c r="R11" s="13">
        <v>185109</v>
      </c>
      <c r="S11" s="13">
        <v>118882</v>
      </c>
      <c r="T11" s="13">
        <v>36670</v>
      </c>
      <c r="U11" s="13">
        <v>40104</v>
      </c>
      <c r="V11" s="13">
        <v>15898</v>
      </c>
      <c r="W11" s="13">
        <v>20293</v>
      </c>
    </row>
    <row r="12" spans="1:23" x14ac:dyDescent="0.25">
      <c r="A12" s="13" t="s">
        <v>44</v>
      </c>
      <c r="B12" s="13">
        <v>9703</v>
      </c>
      <c r="C12" s="13">
        <v>46160</v>
      </c>
      <c r="D12" s="13">
        <v>1244</v>
      </c>
      <c r="E12" s="13">
        <v>28202</v>
      </c>
      <c r="F12" s="13">
        <v>4075</v>
      </c>
      <c r="G12" s="13">
        <v>12589</v>
      </c>
      <c r="H12" s="13">
        <v>109863</v>
      </c>
      <c r="I12" s="13">
        <v>15651</v>
      </c>
      <c r="J12" s="13">
        <v>6170</v>
      </c>
      <c r="K12" s="13">
        <v>4093</v>
      </c>
      <c r="L12" s="13">
        <v>17839</v>
      </c>
      <c r="M12" s="13">
        <v>15750</v>
      </c>
      <c r="N12" s="13">
        <v>24075</v>
      </c>
      <c r="O12" s="13">
        <v>26588</v>
      </c>
      <c r="P12" s="13">
        <v>165600</v>
      </c>
      <c r="Q12" s="13">
        <v>27768</v>
      </c>
      <c r="R12" s="13">
        <v>193245</v>
      </c>
      <c r="S12" s="13">
        <v>120195</v>
      </c>
      <c r="T12" s="13">
        <v>36567</v>
      </c>
      <c r="U12" s="13">
        <v>40896</v>
      </c>
      <c r="V12" s="13">
        <v>16655</v>
      </c>
      <c r="W12" s="13">
        <v>22133</v>
      </c>
    </row>
    <row r="13" spans="1:23" x14ac:dyDescent="0.25">
      <c r="A13" s="13" t="s">
        <v>45</v>
      </c>
      <c r="B13" s="13">
        <v>7310</v>
      </c>
      <c r="C13" s="13">
        <v>44446</v>
      </c>
      <c r="D13" s="13">
        <v>1261</v>
      </c>
      <c r="E13" s="13">
        <v>26572</v>
      </c>
      <c r="F13" s="13">
        <v>4214</v>
      </c>
      <c r="G13" s="13">
        <v>12291</v>
      </c>
      <c r="H13" s="13">
        <v>112255</v>
      </c>
      <c r="I13" s="13">
        <v>15190</v>
      </c>
      <c r="J13" s="13">
        <v>6233</v>
      </c>
      <c r="K13" s="13">
        <v>4462</v>
      </c>
      <c r="L13" s="13">
        <v>18642</v>
      </c>
      <c r="M13" s="13">
        <v>16155</v>
      </c>
      <c r="N13" s="13">
        <v>25139</v>
      </c>
      <c r="O13" s="13">
        <v>26536</v>
      </c>
      <c r="P13" s="13">
        <v>164180</v>
      </c>
      <c r="Q13" s="13">
        <v>26886</v>
      </c>
      <c r="R13" s="13">
        <v>190996</v>
      </c>
      <c r="S13" s="13">
        <v>122785</v>
      </c>
      <c r="T13" s="13">
        <v>37682</v>
      </c>
      <c r="U13" s="13">
        <v>39120</v>
      </c>
      <c r="V13" s="13">
        <v>13626</v>
      </c>
      <c r="W13" s="13">
        <v>20883</v>
      </c>
    </row>
    <row r="14" spans="1:23" x14ac:dyDescent="0.25">
      <c r="A14" s="13" t="s">
        <v>46</v>
      </c>
      <c r="B14" s="13">
        <v>9825</v>
      </c>
      <c r="C14" s="13">
        <v>39745</v>
      </c>
      <c r="D14" s="13">
        <v>1181</v>
      </c>
      <c r="E14" s="13">
        <v>22616</v>
      </c>
      <c r="F14" s="13">
        <v>4208</v>
      </c>
      <c r="G14" s="13">
        <v>11530</v>
      </c>
      <c r="H14" s="13">
        <v>104221</v>
      </c>
      <c r="I14" s="13">
        <v>13379</v>
      </c>
      <c r="J14" s="13">
        <v>5226</v>
      </c>
      <c r="K14" s="13">
        <v>4091</v>
      </c>
      <c r="L14" s="13">
        <v>15264</v>
      </c>
      <c r="M14" s="13">
        <v>16041</v>
      </c>
      <c r="N14" s="13">
        <v>22824</v>
      </c>
      <c r="O14" s="13">
        <v>26837</v>
      </c>
      <c r="P14" s="13">
        <v>153829</v>
      </c>
      <c r="Q14" s="13">
        <v>24670</v>
      </c>
      <c r="R14" s="13">
        <v>178513</v>
      </c>
      <c r="S14" s="13">
        <v>115956</v>
      </c>
      <c r="T14" s="13">
        <v>36380</v>
      </c>
      <c r="U14" s="13">
        <v>38304</v>
      </c>
      <c r="V14" s="13">
        <v>13895</v>
      </c>
      <c r="W14" s="13">
        <v>18842</v>
      </c>
    </row>
    <row r="15" spans="1:23" x14ac:dyDescent="0.25">
      <c r="A15" s="13" t="s">
        <v>47</v>
      </c>
      <c r="B15" s="13">
        <v>11018</v>
      </c>
      <c r="C15" s="13">
        <v>43525</v>
      </c>
      <c r="D15" s="13">
        <v>1199</v>
      </c>
      <c r="E15" s="13">
        <v>25972</v>
      </c>
      <c r="F15" s="13">
        <v>4066</v>
      </c>
      <c r="G15" s="13">
        <v>12173</v>
      </c>
      <c r="H15" s="13">
        <v>107469</v>
      </c>
      <c r="I15" s="13">
        <v>14834</v>
      </c>
      <c r="J15" s="13">
        <v>5881</v>
      </c>
      <c r="K15" s="13">
        <v>4113</v>
      </c>
      <c r="L15" s="13">
        <v>14821</v>
      </c>
      <c r="M15" s="13">
        <v>16175</v>
      </c>
      <c r="N15" s="13">
        <v>23778</v>
      </c>
      <c r="O15" s="13">
        <v>27467</v>
      </c>
      <c r="P15" s="13">
        <v>161855</v>
      </c>
      <c r="Q15" s="13">
        <v>26046</v>
      </c>
      <c r="R15" s="13">
        <v>187904</v>
      </c>
      <c r="S15" s="13">
        <v>117598</v>
      </c>
      <c r="T15" s="13">
        <v>37499</v>
      </c>
      <c r="U15" s="13">
        <v>40966</v>
      </c>
      <c r="V15" s="13">
        <v>16662</v>
      </c>
      <c r="W15" s="13">
        <v>19836</v>
      </c>
    </row>
    <row r="16" spans="1:23" x14ac:dyDescent="0.25">
      <c r="A16" s="13" t="s">
        <v>48</v>
      </c>
      <c r="B16" s="13">
        <v>10208</v>
      </c>
      <c r="C16" s="13">
        <v>44910</v>
      </c>
      <c r="D16" s="13">
        <v>1267</v>
      </c>
      <c r="E16" s="13">
        <v>26836</v>
      </c>
      <c r="F16" s="13">
        <v>4097</v>
      </c>
      <c r="G16" s="13">
        <v>12592</v>
      </c>
      <c r="H16" s="13">
        <v>111838</v>
      </c>
      <c r="I16" s="13">
        <v>15300</v>
      </c>
      <c r="J16" s="13">
        <v>6302</v>
      </c>
      <c r="K16" s="13">
        <v>4587</v>
      </c>
      <c r="L16" s="13">
        <v>17611</v>
      </c>
      <c r="M16" s="13">
        <v>16147</v>
      </c>
      <c r="N16" s="13">
        <v>24463</v>
      </c>
      <c r="O16" s="13">
        <v>27536</v>
      </c>
      <c r="P16" s="13">
        <v>166900</v>
      </c>
      <c r="Q16" s="13">
        <v>27058</v>
      </c>
      <c r="R16" s="13">
        <v>193932</v>
      </c>
      <c r="S16" s="13">
        <v>120234</v>
      </c>
      <c r="T16" s="13">
        <v>38533</v>
      </c>
      <c r="U16" s="13">
        <v>40401</v>
      </c>
      <c r="V16" s="13">
        <v>16633</v>
      </c>
      <c r="W16" s="13">
        <v>21671</v>
      </c>
    </row>
    <row r="17" spans="1:23" x14ac:dyDescent="0.25">
      <c r="A17" s="13" t="s">
        <v>49</v>
      </c>
      <c r="B17" s="13">
        <v>6923</v>
      </c>
      <c r="C17" s="13">
        <v>42157</v>
      </c>
      <c r="D17" s="13">
        <v>1269</v>
      </c>
      <c r="E17" s="13">
        <v>24790</v>
      </c>
      <c r="F17" s="13">
        <v>4146</v>
      </c>
      <c r="G17" s="13">
        <v>11815</v>
      </c>
      <c r="H17" s="13">
        <v>112995</v>
      </c>
      <c r="I17" s="13">
        <v>14295</v>
      </c>
      <c r="J17" s="13">
        <v>6025</v>
      </c>
      <c r="K17" s="13">
        <v>5063</v>
      </c>
      <c r="L17" s="13">
        <v>18430</v>
      </c>
      <c r="M17" s="13">
        <v>16444</v>
      </c>
      <c r="N17" s="13">
        <v>25076</v>
      </c>
      <c r="O17" s="13">
        <v>27496</v>
      </c>
      <c r="P17" s="13">
        <v>162424</v>
      </c>
      <c r="Q17" s="13">
        <v>25779</v>
      </c>
      <c r="R17" s="13">
        <v>188256</v>
      </c>
      <c r="S17" s="13">
        <v>121169</v>
      </c>
      <c r="T17" s="13">
        <v>39180</v>
      </c>
      <c r="U17" s="13">
        <v>37203</v>
      </c>
      <c r="V17" s="13">
        <v>14456</v>
      </c>
      <c r="W17" s="13">
        <v>20384</v>
      </c>
    </row>
    <row r="18" spans="1:23" x14ac:dyDescent="0.25">
      <c r="A18" s="13" t="s">
        <v>50</v>
      </c>
      <c r="B18" s="13">
        <v>11061</v>
      </c>
      <c r="C18" s="13">
        <v>38061</v>
      </c>
      <c r="D18" s="13">
        <v>1168</v>
      </c>
      <c r="E18" s="13">
        <v>21655</v>
      </c>
      <c r="F18" s="13">
        <v>4124</v>
      </c>
      <c r="G18" s="13">
        <v>10868</v>
      </c>
      <c r="H18" s="13">
        <v>107103</v>
      </c>
      <c r="I18" s="13">
        <v>13038</v>
      </c>
      <c r="J18" s="13">
        <v>5120</v>
      </c>
      <c r="K18" s="13">
        <v>4857</v>
      </c>
      <c r="L18" s="13">
        <v>15364</v>
      </c>
      <c r="M18" s="13">
        <v>16644</v>
      </c>
      <c r="N18" s="13">
        <v>23193</v>
      </c>
      <c r="O18" s="13">
        <v>27901</v>
      </c>
      <c r="P18" s="13">
        <v>156302</v>
      </c>
      <c r="Q18" s="13">
        <v>23339</v>
      </c>
      <c r="R18" s="13">
        <v>179883</v>
      </c>
      <c r="S18" s="13">
        <v>114870</v>
      </c>
      <c r="T18" s="13">
        <v>36637</v>
      </c>
      <c r="U18" s="13">
        <v>35087</v>
      </c>
      <c r="V18" s="13">
        <v>13882</v>
      </c>
      <c r="W18" s="13">
        <v>15476</v>
      </c>
    </row>
    <row r="19" spans="1:23" x14ac:dyDescent="0.25">
      <c r="A19" s="13" t="s">
        <v>51</v>
      </c>
      <c r="B19" s="13">
        <v>11195</v>
      </c>
      <c r="C19" s="13">
        <v>41602</v>
      </c>
      <c r="D19" s="13">
        <v>1109</v>
      </c>
      <c r="E19" s="13">
        <v>24911</v>
      </c>
      <c r="F19" s="13">
        <v>4118</v>
      </c>
      <c r="G19" s="13">
        <v>11369</v>
      </c>
      <c r="H19" s="13">
        <v>109264</v>
      </c>
      <c r="I19" s="13">
        <v>14232</v>
      </c>
      <c r="J19" s="13">
        <v>5384</v>
      </c>
      <c r="K19" s="13">
        <v>5024</v>
      </c>
      <c r="L19" s="13">
        <v>14891</v>
      </c>
      <c r="M19" s="13">
        <v>16595</v>
      </c>
      <c r="N19" s="13">
        <v>23880</v>
      </c>
      <c r="O19" s="13">
        <v>28443</v>
      </c>
      <c r="P19" s="13">
        <v>162014</v>
      </c>
      <c r="Q19" s="13">
        <v>24992</v>
      </c>
      <c r="R19" s="13">
        <v>187151</v>
      </c>
      <c r="S19" s="13">
        <v>116884</v>
      </c>
      <c r="T19" s="13">
        <v>37870</v>
      </c>
      <c r="U19" s="13">
        <v>36705</v>
      </c>
      <c r="V19" s="13">
        <v>16494</v>
      </c>
      <c r="W19" s="13">
        <v>16868</v>
      </c>
    </row>
    <row r="20" spans="1:23" x14ac:dyDescent="0.25">
      <c r="A20" s="13" t="s">
        <v>52</v>
      </c>
      <c r="B20" s="13">
        <v>10564</v>
      </c>
      <c r="C20" s="13">
        <v>43331</v>
      </c>
      <c r="D20" s="13">
        <v>1190</v>
      </c>
      <c r="E20" s="13">
        <v>26010</v>
      </c>
      <c r="F20" s="13">
        <v>4140</v>
      </c>
      <c r="G20" s="13">
        <v>11916</v>
      </c>
      <c r="H20" s="13">
        <v>112829</v>
      </c>
      <c r="I20" s="13">
        <v>14627</v>
      </c>
      <c r="J20" s="13">
        <v>5874</v>
      </c>
      <c r="K20" s="13">
        <v>4908</v>
      </c>
      <c r="L20" s="13">
        <v>17658</v>
      </c>
      <c r="M20" s="13">
        <v>16485</v>
      </c>
      <c r="N20" s="13">
        <v>24647</v>
      </c>
      <c r="O20" s="13">
        <v>28383</v>
      </c>
      <c r="P20" s="13">
        <v>166741</v>
      </c>
      <c r="Q20" s="13">
        <v>25865</v>
      </c>
      <c r="R20" s="13">
        <v>192737</v>
      </c>
      <c r="S20" s="13">
        <v>120091</v>
      </c>
      <c r="T20" s="13">
        <v>38952</v>
      </c>
      <c r="U20" s="13">
        <v>35816</v>
      </c>
      <c r="V20" s="13">
        <v>17181</v>
      </c>
      <c r="W20" s="13">
        <v>17603</v>
      </c>
    </row>
    <row r="21" spans="1:23" x14ac:dyDescent="0.25">
      <c r="A21" s="13" t="s">
        <v>53</v>
      </c>
      <c r="B21" s="13">
        <v>7633</v>
      </c>
      <c r="C21" s="13">
        <v>42899</v>
      </c>
      <c r="D21" s="13">
        <v>1235</v>
      </c>
      <c r="E21" s="13">
        <v>25770</v>
      </c>
      <c r="F21" s="13">
        <v>4224</v>
      </c>
      <c r="G21" s="13">
        <v>11606</v>
      </c>
      <c r="H21" s="13">
        <v>115272</v>
      </c>
      <c r="I21" s="13">
        <v>14628</v>
      </c>
      <c r="J21" s="13">
        <v>6118</v>
      </c>
      <c r="K21" s="13">
        <v>5386</v>
      </c>
      <c r="L21" s="13">
        <v>18404</v>
      </c>
      <c r="M21" s="13">
        <v>16589</v>
      </c>
      <c r="N21" s="13">
        <v>25572</v>
      </c>
      <c r="O21" s="13">
        <v>28200</v>
      </c>
      <c r="P21" s="13">
        <v>166149</v>
      </c>
      <c r="Q21" s="13">
        <v>26100</v>
      </c>
      <c r="R21" s="13">
        <v>192337</v>
      </c>
      <c r="S21" s="13">
        <v>124909</v>
      </c>
      <c r="T21" s="13">
        <v>40692</v>
      </c>
      <c r="U21" s="13">
        <v>35343</v>
      </c>
      <c r="V21" s="13">
        <v>17608</v>
      </c>
      <c r="W21" s="13">
        <v>18600</v>
      </c>
    </row>
    <row r="22" spans="1:23" x14ac:dyDescent="0.25">
      <c r="A22" s="13" t="s">
        <v>54</v>
      </c>
      <c r="B22" s="13">
        <v>11743</v>
      </c>
      <c r="C22" s="13">
        <v>39804</v>
      </c>
      <c r="D22" s="13">
        <v>1160</v>
      </c>
      <c r="E22" s="13">
        <v>23077</v>
      </c>
      <c r="F22" s="13">
        <v>4364</v>
      </c>
      <c r="G22" s="13">
        <v>10992</v>
      </c>
      <c r="H22" s="13">
        <v>110464</v>
      </c>
      <c r="I22" s="13">
        <v>13568</v>
      </c>
      <c r="J22" s="13">
        <v>5450</v>
      </c>
      <c r="K22" s="13">
        <v>5405</v>
      </c>
      <c r="L22" s="13">
        <v>15733</v>
      </c>
      <c r="M22" s="13">
        <v>16747</v>
      </c>
      <c r="N22" s="13">
        <v>24319</v>
      </c>
      <c r="O22" s="13">
        <v>28283</v>
      </c>
      <c r="P22" s="13">
        <v>161899</v>
      </c>
      <c r="Q22" s="13">
        <v>25746</v>
      </c>
      <c r="R22" s="13">
        <v>187799</v>
      </c>
      <c r="S22" s="13">
        <v>118332</v>
      </c>
      <c r="T22" s="13">
        <v>37940</v>
      </c>
      <c r="U22" s="13">
        <v>34980</v>
      </c>
      <c r="V22" s="13">
        <v>16754</v>
      </c>
      <c r="W22" s="13">
        <v>16107</v>
      </c>
    </row>
    <row r="23" spans="1:23" x14ac:dyDescent="0.25">
      <c r="A23" s="13" t="s">
        <v>55</v>
      </c>
      <c r="B23" s="13">
        <v>11581</v>
      </c>
      <c r="C23" s="13">
        <v>43239</v>
      </c>
      <c r="D23" s="13">
        <v>1181</v>
      </c>
      <c r="E23" s="13">
        <v>26232</v>
      </c>
      <c r="F23" s="13">
        <v>4261</v>
      </c>
      <c r="G23" s="13">
        <v>11497</v>
      </c>
      <c r="H23" s="13">
        <v>112886</v>
      </c>
      <c r="I23" s="13">
        <v>14428</v>
      </c>
      <c r="J23" s="13">
        <v>5918</v>
      </c>
      <c r="K23" s="13">
        <v>5756</v>
      </c>
      <c r="L23" s="13">
        <v>15199</v>
      </c>
      <c r="M23" s="13">
        <v>17000</v>
      </c>
      <c r="N23" s="13">
        <v>24745</v>
      </c>
      <c r="O23" s="13">
        <v>28813</v>
      </c>
      <c r="P23" s="13">
        <v>167611</v>
      </c>
      <c r="Q23" s="13">
        <v>26825</v>
      </c>
      <c r="R23" s="13">
        <v>194597</v>
      </c>
      <c r="S23" s="13">
        <v>121842</v>
      </c>
      <c r="T23" s="13">
        <v>38367</v>
      </c>
      <c r="U23" s="13">
        <v>38137</v>
      </c>
      <c r="V23" s="13">
        <v>18338</v>
      </c>
      <c r="W23" s="13">
        <v>18100</v>
      </c>
    </row>
    <row r="24" spans="1:23" x14ac:dyDescent="0.25">
      <c r="A24" s="13" t="s">
        <v>56</v>
      </c>
      <c r="B24" s="13">
        <v>10722</v>
      </c>
      <c r="C24" s="13">
        <v>45257</v>
      </c>
      <c r="D24" s="13">
        <v>1325</v>
      </c>
      <c r="E24" s="13">
        <v>27488</v>
      </c>
      <c r="F24" s="13">
        <v>4256</v>
      </c>
      <c r="G24" s="13">
        <v>12135</v>
      </c>
      <c r="H24" s="13">
        <v>117702</v>
      </c>
      <c r="I24" s="13">
        <v>15334</v>
      </c>
      <c r="J24" s="13">
        <v>6207</v>
      </c>
      <c r="K24" s="13">
        <v>6051</v>
      </c>
      <c r="L24" s="13">
        <v>18017</v>
      </c>
      <c r="M24" s="13">
        <v>17309</v>
      </c>
      <c r="N24" s="13">
        <v>25391</v>
      </c>
      <c r="O24" s="13">
        <v>28848</v>
      </c>
      <c r="P24" s="13">
        <v>173765</v>
      </c>
      <c r="Q24" s="13">
        <v>27604</v>
      </c>
      <c r="R24" s="13">
        <v>201535</v>
      </c>
      <c r="S24" s="13">
        <v>125793</v>
      </c>
      <c r="T24" s="13">
        <v>38046</v>
      </c>
      <c r="U24" s="13">
        <v>38250</v>
      </c>
      <c r="V24" s="13">
        <v>20374</v>
      </c>
      <c r="W24" s="13">
        <v>20725</v>
      </c>
    </row>
    <row r="25" spans="1:23" x14ac:dyDescent="0.25">
      <c r="A25" s="13" t="s">
        <v>57</v>
      </c>
      <c r="B25" s="13">
        <v>7508</v>
      </c>
      <c r="C25" s="13">
        <v>44913</v>
      </c>
      <c r="D25" s="13">
        <v>1463</v>
      </c>
      <c r="E25" s="13">
        <v>27145</v>
      </c>
      <c r="F25" s="13">
        <v>4416</v>
      </c>
      <c r="G25" s="13">
        <v>11777</v>
      </c>
      <c r="H25" s="13">
        <v>120514</v>
      </c>
      <c r="I25" s="13">
        <v>15736</v>
      </c>
      <c r="J25" s="13">
        <v>6209</v>
      </c>
      <c r="K25" s="13">
        <v>6310</v>
      </c>
      <c r="L25" s="13">
        <v>18831</v>
      </c>
      <c r="M25" s="13">
        <v>17925</v>
      </c>
      <c r="N25" s="13">
        <v>26010</v>
      </c>
      <c r="O25" s="13">
        <v>28861</v>
      </c>
      <c r="P25" s="13">
        <v>173514</v>
      </c>
      <c r="Q25" s="13">
        <v>27500</v>
      </c>
      <c r="R25" s="13">
        <v>201180</v>
      </c>
      <c r="S25" s="13">
        <v>130011</v>
      </c>
      <c r="T25" s="13">
        <v>39565</v>
      </c>
      <c r="U25" s="13">
        <v>38465</v>
      </c>
      <c r="V25" s="13">
        <v>18079</v>
      </c>
      <c r="W25" s="13">
        <v>21015</v>
      </c>
    </row>
    <row r="26" spans="1:23" x14ac:dyDescent="0.25">
      <c r="A26" s="13" t="s">
        <v>58</v>
      </c>
      <c r="B26" s="13">
        <v>12082</v>
      </c>
      <c r="C26" s="13">
        <v>41441</v>
      </c>
      <c r="D26" s="13">
        <v>1264</v>
      </c>
      <c r="E26" s="13">
        <v>24188</v>
      </c>
      <c r="F26" s="13">
        <v>4405</v>
      </c>
      <c r="G26" s="13">
        <v>11378</v>
      </c>
      <c r="H26" s="13">
        <v>113142</v>
      </c>
      <c r="I26" s="13">
        <v>14275</v>
      </c>
      <c r="J26" s="13">
        <v>5478</v>
      </c>
      <c r="K26" s="13">
        <v>5973</v>
      </c>
      <c r="L26" s="13">
        <v>15745</v>
      </c>
      <c r="M26" s="13">
        <v>17536</v>
      </c>
      <c r="N26" s="13">
        <v>23929</v>
      </c>
      <c r="O26" s="13">
        <v>29155</v>
      </c>
      <c r="P26" s="13">
        <v>166540</v>
      </c>
      <c r="Q26" s="13">
        <v>27604</v>
      </c>
      <c r="R26" s="13">
        <v>194326</v>
      </c>
      <c r="S26" s="13">
        <v>123094</v>
      </c>
      <c r="T26" s="13">
        <v>38350</v>
      </c>
      <c r="U26" s="13">
        <v>38563</v>
      </c>
      <c r="V26" s="13">
        <v>18628</v>
      </c>
      <c r="W26" s="13">
        <v>20019</v>
      </c>
    </row>
    <row r="27" spans="1:23" x14ac:dyDescent="0.25">
      <c r="A27" s="13" t="s">
        <v>59</v>
      </c>
      <c r="B27" s="13">
        <v>11932</v>
      </c>
      <c r="C27" s="13">
        <v>43424</v>
      </c>
      <c r="D27" s="13">
        <v>1282</v>
      </c>
      <c r="E27" s="13">
        <v>26428</v>
      </c>
      <c r="F27" s="13">
        <v>4174</v>
      </c>
      <c r="G27" s="13">
        <v>11472</v>
      </c>
      <c r="H27" s="13">
        <v>116478</v>
      </c>
      <c r="I27" s="13">
        <v>15135</v>
      </c>
      <c r="J27" s="13">
        <v>5892</v>
      </c>
      <c r="K27" s="13">
        <v>6177</v>
      </c>
      <c r="L27" s="13">
        <v>15322</v>
      </c>
      <c r="M27" s="13">
        <v>17730</v>
      </c>
      <c r="N27" s="13">
        <v>24977</v>
      </c>
      <c r="O27" s="13">
        <v>29905</v>
      </c>
      <c r="P27" s="13">
        <v>171791</v>
      </c>
      <c r="Q27" s="13">
        <v>27171</v>
      </c>
      <c r="R27" s="13">
        <v>199123</v>
      </c>
      <c r="S27" s="13">
        <v>125609</v>
      </c>
      <c r="T27" s="13">
        <v>39229</v>
      </c>
      <c r="U27" s="13">
        <v>38914</v>
      </c>
      <c r="V27" s="13">
        <v>20873</v>
      </c>
      <c r="W27" s="13">
        <v>20422</v>
      </c>
    </row>
    <row r="28" spans="1:23" x14ac:dyDescent="0.25">
      <c r="A28" s="13" t="s">
        <v>60</v>
      </c>
      <c r="B28" s="13">
        <v>11362</v>
      </c>
      <c r="C28" s="13">
        <v>44071</v>
      </c>
      <c r="D28" s="13">
        <v>1393</v>
      </c>
      <c r="E28" s="13">
        <v>27446</v>
      </c>
      <c r="F28" s="13">
        <v>3668</v>
      </c>
      <c r="G28" s="13">
        <v>11556</v>
      </c>
      <c r="H28" s="13">
        <v>119741</v>
      </c>
      <c r="I28" s="13">
        <v>15505</v>
      </c>
      <c r="J28" s="13">
        <v>6201</v>
      </c>
      <c r="K28" s="13">
        <v>6273</v>
      </c>
      <c r="L28" s="13">
        <v>18265</v>
      </c>
      <c r="M28" s="13">
        <v>17797</v>
      </c>
      <c r="N28" s="13">
        <v>25241</v>
      </c>
      <c r="O28" s="13">
        <v>29974</v>
      </c>
      <c r="P28" s="13">
        <v>175196</v>
      </c>
      <c r="Q28" s="13">
        <v>27117</v>
      </c>
      <c r="R28" s="13">
        <v>202464</v>
      </c>
      <c r="S28" s="13">
        <v>123497</v>
      </c>
      <c r="T28" s="13">
        <v>39377</v>
      </c>
      <c r="U28" s="13">
        <v>38706</v>
      </c>
      <c r="V28" s="13">
        <v>20988</v>
      </c>
      <c r="W28" s="13">
        <v>19648</v>
      </c>
    </row>
    <row r="29" spans="1:23" x14ac:dyDescent="0.25">
      <c r="A29" s="13" t="s">
        <v>61</v>
      </c>
      <c r="B29" s="13">
        <v>8339</v>
      </c>
      <c r="C29" s="13">
        <v>43164</v>
      </c>
      <c r="D29" s="13">
        <v>1467</v>
      </c>
      <c r="E29" s="13">
        <v>26622</v>
      </c>
      <c r="F29" s="13">
        <v>3722</v>
      </c>
      <c r="G29" s="13">
        <v>11231</v>
      </c>
      <c r="H29" s="13">
        <v>121730</v>
      </c>
      <c r="I29" s="13">
        <v>15240</v>
      </c>
      <c r="J29" s="13">
        <v>6268</v>
      </c>
      <c r="K29" s="13">
        <v>6628</v>
      </c>
      <c r="L29" s="13">
        <v>19228</v>
      </c>
      <c r="M29" s="13">
        <v>18103</v>
      </c>
      <c r="N29" s="13">
        <v>25949</v>
      </c>
      <c r="O29" s="13">
        <v>29849</v>
      </c>
      <c r="P29" s="13">
        <v>173502</v>
      </c>
      <c r="Q29" s="13">
        <v>26465</v>
      </c>
      <c r="R29" s="13">
        <v>200110</v>
      </c>
      <c r="S29" s="13">
        <v>127605</v>
      </c>
      <c r="T29" s="13">
        <v>40988</v>
      </c>
      <c r="U29" s="13">
        <v>35603</v>
      </c>
      <c r="V29" s="13">
        <v>19845</v>
      </c>
      <c r="W29" s="13">
        <v>18390</v>
      </c>
    </row>
    <row r="30" spans="1:23" x14ac:dyDescent="0.25">
      <c r="A30" s="13" t="s">
        <v>62</v>
      </c>
      <c r="B30" s="13">
        <v>12651</v>
      </c>
      <c r="C30" s="13">
        <v>40477</v>
      </c>
      <c r="D30" s="13">
        <v>1440</v>
      </c>
      <c r="E30" s="13">
        <v>23631</v>
      </c>
      <c r="F30" s="13">
        <v>3971</v>
      </c>
      <c r="G30" s="13">
        <v>11097</v>
      </c>
      <c r="H30" s="13">
        <v>116465</v>
      </c>
      <c r="I30" s="13">
        <v>13671</v>
      </c>
      <c r="J30" s="13">
        <v>5730</v>
      </c>
      <c r="K30" s="13">
        <v>6392</v>
      </c>
      <c r="L30" s="13">
        <v>16435</v>
      </c>
      <c r="M30" s="13">
        <v>18065</v>
      </c>
      <c r="N30" s="13">
        <v>24974</v>
      </c>
      <c r="O30" s="13">
        <v>30085</v>
      </c>
      <c r="P30" s="13">
        <v>169287</v>
      </c>
      <c r="Q30" s="13">
        <v>25883</v>
      </c>
      <c r="R30" s="13">
        <v>195252</v>
      </c>
      <c r="S30" s="13">
        <v>123388</v>
      </c>
      <c r="T30" s="13">
        <v>39988</v>
      </c>
      <c r="U30" s="13">
        <v>35506</v>
      </c>
      <c r="V30" s="13">
        <v>17776</v>
      </c>
      <c r="W30" s="13">
        <v>16298</v>
      </c>
    </row>
    <row r="31" spans="1:23" x14ac:dyDescent="0.25">
      <c r="A31" s="13" t="s">
        <v>63</v>
      </c>
      <c r="B31" s="13">
        <v>12809</v>
      </c>
      <c r="C31" s="13">
        <v>44430</v>
      </c>
      <c r="D31" s="13">
        <v>1549</v>
      </c>
      <c r="E31" s="13">
        <v>26603</v>
      </c>
      <c r="F31" s="13">
        <v>4191</v>
      </c>
      <c r="G31" s="13">
        <v>11795</v>
      </c>
      <c r="H31" s="13">
        <v>119373</v>
      </c>
      <c r="I31" s="13">
        <v>14667</v>
      </c>
      <c r="J31" s="13">
        <v>6151</v>
      </c>
      <c r="K31" s="13">
        <v>6439</v>
      </c>
      <c r="L31" s="13">
        <v>16000</v>
      </c>
      <c r="M31" s="13">
        <v>18308</v>
      </c>
      <c r="N31" s="13">
        <v>25737</v>
      </c>
      <c r="O31" s="13">
        <v>30736</v>
      </c>
      <c r="P31" s="13">
        <v>176496</v>
      </c>
      <c r="Q31" s="13">
        <v>27106</v>
      </c>
      <c r="R31" s="13">
        <v>203699</v>
      </c>
      <c r="S31" s="13">
        <v>126482</v>
      </c>
      <c r="T31" s="13">
        <v>40846</v>
      </c>
      <c r="U31" s="13">
        <v>37250</v>
      </c>
      <c r="V31" s="13">
        <v>18562</v>
      </c>
      <c r="W31" s="13">
        <v>17046</v>
      </c>
    </row>
    <row r="32" spans="1:23" x14ac:dyDescent="0.25">
      <c r="A32" s="13" t="s">
        <v>64</v>
      </c>
      <c r="B32" s="13">
        <v>12690</v>
      </c>
      <c r="C32" s="13">
        <v>46605</v>
      </c>
      <c r="D32" s="13">
        <v>1613</v>
      </c>
      <c r="E32" s="13">
        <v>28249</v>
      </c>
      <c r="F32" s="13">
        <v>4166</v>
      </c>
      <c r="G32" s="13">
        <v>12380</v>
      </c>
      <c r="H32" s="13">
        <v>123812</v>
      </c>
      <c r="I32" s="13">
        <v>15305</v>
      </c>
      <c r="J32" s="13">
        <v>6507</v>
      </c>
      <c r="K32" s="13">
        <v>6671</v>
      </c>
      <c r="L32" s="13">
        <v>19001</v>
      </c>
      <c r="M32" s="13">
        <v>18520</v>
      </c>
      <c r="N32" s="13">
        <v>26432</v>
      </c>
      <c r="O32" s="13">
        <v>30698</v>
      </c>
      <c r="P32" s="13">
        <v>183086</v>
      </c>
      <c r="Q32" s="13">
        <v>27761</v>
      </c>
      <c r="R32" s="13">
        <v>210916</v>
      </c>
      <c r="S32" s="13">
        <v>126845</v>
      </c>
      <c r="T32" s="13">
        <v>41023</v>
      </c>
      <c r="U32" s="13">
        <v>38532</v>
      </c>
      <c r="V32" s="13">
        <v>25215</v>
      </c>
      <c r="W32" s="13">
        <v>17956</v>
      </c>
    </row>
    <row r="33" spans="1:23" x14ac:dyDescent="0.25">
      <c r="A33" s="13" t="s">
        <v>65</v>
      </c>
      <c r="B33" s="13">
        <v>9072</v>
      </c>
      <c r="C33" s="13">
        <v>47134</v>
      </c>
      <c r="D33" s="13">
        <v>1628</v>
      </c>
      <c r="E33" s="13">
        <v>28391</v>
      </c>
      <c r="F33" s="13">
        <v>4322</v>
      </c>
      <c r="G33" s="13">
        <v>12554</v>
      </c>
      <c r="H33" s="13">
        <v>126150</v>
      </c>
      <c r="I33" s="13">
        <v>15090</v>
      </c>
      <c r="J33" s="13">
        <v>6394</v>
      </c>
      <c r="K33" s="13">
        <v>7118</v>
      </c>
      <c r="L33" s="13">
        <v>19725</v>
      </c>
      <c r="M33" s="13">
        <v>19017</v>
      </c>
      <c r="N33" s="13">
        <v>27439</v>
      </c>
      <c r="O33" s="13">
        <v>30577</v>
      </c>
      <c r="P33" s="13">
        <v>182752</v>
      </c>
      <c r="Q33" s="13">
        <v>27645</v>
      </c>
      <c r="R33" s="13">
        <v>210461</v>
      </c>
      <c r="S33" s="13">
        <v>129682</v>
      </c>
      <c r="T33" s="13">
        <v>42115</v>
      </c>
      <c r="U33" s="13">
        <v>38308</v>
      </c>
      <c r="V33" s="13">
        <v>23984</v>
      </c>
      <c r="W33" s="13">
        <v>16735</v>
      </c>
    </row>
    <row r="34" spans="1:23" x14ac:dyDescent="0.25">
      <c r="A34" s="13" t="s">
        <v>66</v>
      </c>
      <c r="B34" s="13">
        <v>14596</v>
      </c>
      <c r="C34" s="13">
        <v>40505</v>
      </c>
      <c r="D34" s="13">
        <v>1481</v>
      </c>
      <c r="E34" s="13">
        <v>23012</v>
      </c>
      <c r="F34" s="13">
        <v>4364</v>
      </c>
      <c r="G34" s="13">
        <v>11012</v>
      </c>
      <c r="H34" s="13">
        <v>118597</v>
      </c>
      <c r="I34" s="13">
        <v>13729</v>
      </c>
      <c r="J34" s="13">
        <v>5417</v>
      </c>
      <c r="K34" s="13">
        <v>6583</v>
      </c>
      <c r="L34" s="13">
        <v>16017</v>
      </c>
      <c r="M34" s="13">
        <v>19296</v>
      </c>
      <c r="N34" s="13">
        <v>25561</v>
      </c>
      <c r="O34" s="13">
        <v>30730</v>
      </c>
      <c r="P34" s="13">
        <v>173430</v>
      </c>
      <c r="Q34" s="13">
        <v>26900</v>
      </c>
      <c r="R34" s="13">
        <v>200460</v>
      </c>
      <c r="S34" s="13">
        <v>123366</v>
      </c>
      <c r="T34" s="13">
        <v>39688</v>
      </c>
      <c r="U34" s="13">
        <v>36615</v>
      </c>
      <c r="V34" s="13">
        <v>20382</v>
      </c>
      <c r="W34" s="13">
        <v>15542</v>
      </c>
    </row>
    <row r="35" spans="1:23" x14ac:dyDescent="0.25">
      <c r="A35" s="13" t="s">
        <v>67</v>
      </c>
      <c r="B35" s="13">
        <v>14529</v>
      </c>
      <c r="C35" s="13">
        <v>43545</v>
      </c>
      <c r="D35" s="13">
        <v>1518</v>
      </c>
      <c r="E35" s="13">
        <v>27157</v>
      </c>
      <c r="F35" s="13">
        <v>4195</v>
      </c>
      <c r="G35" s="13">
        <v>10342</v>
      </c>
      <c r="H35" s="13">
        <v>120435</v>
      </c>
      <c r="I35" s="13">
        <v>14417</v>
      </c>
      <c r="J35" s="13">
        <v>5977</v>
      </c>
      <c r="K35" s="13">
        <v>6749</v>
      </c>
      <c r="L35" s="13">
        <v>15390</v>
      </c>
      <c r="M35" s="13">
        <v>19249</v>
      </c>
      <c r="N35" s="13">
        <v>25596</v>
      </c>
      <c r="O35" s="13">
        <v>31656</v>
      </c>
      <c r="P35" s="13">
        <v>178368</v>
      </c>
      <c r="Q35" s="13">
        <v>26877</v>
      </c>
      <c r="R35" s="13">
        <v>205291</v>
      </c>
      <c r="S35" s="13">
        <v>123902</v>
      </c>
      <c r="T35" s="13">
        <v>40950</v>
      </c>
      <c r="U35" s="13">
        <v>34707</v>
      </c>
      <c r="V35" s="13">
        <v>23649</v>
      </c>
      <c r="W35" s="13">
        <v>16345</v>
      </c>
    </row>
    <row r="36" spans="1:23" x14ac:dyDescent="0.25">
      <c r="A36" s="13" t="s">
        <v>68</v>
      </c>
      <c r="B36" s="13">
        <v>12876</v>
      </c>
      <c r="C36" s="13">
        <v>47493</v>
      </c>
      <c r="D36" s="13">
        <v>1654</v>
      </c>
      <c r="E36" s="13">
        <v>30425</v>
      </c>
      <c r="F36" s="13">
        <v>4300</v>
      </c>
      <c r="G36" s="13">
        <v>10891</v>
      </c>
      <c r="H36" s="13">
        <v>124394</v>
      </c>
      <c r="I36" s="13">
        <v>14820</v>
      </c>
      <c r="J36" s="13">
        <v>6373</v>
      </c>
      <c r="K36" s="13">
        <v>6792</v>
      </c>
      <c r="L36" s="13">
        <v>18264</v>
      </c>
      <c r="M36" s="13">
        <v>19012</v>
      </c>
      <c r="N36" s="13">
        <v>26411</v>
      </c>
      <c r="O36" s="13">
        <v>31775</v>
      </c>
      <c r="P36" s="13">
        <v>184814</v>
      </c>
      <c r="Q36" s="13">
        <v>27423</v>
      </c>
      <c r="R36" s="13">
        <v>212237</v>
      </c>
      <c r="S36" s="13">
        <v>125917</v>
      </c>
      <c r="T36" s="13">
        <v>41846</v>
      </c>
      <c r="U36" s="13">
        <v>35878</v>
      </c>
      <c r="V36" s="13">
        <v>25611</v>
      </c>
      <c r="W36" s="13">
        <v>17293</v>
      </c>
    </row>
    <row r="37" spans="1:23" x14ac:dyDescent="0.25">
      <c r="A37" s="13" t="s">
        <v>69</v>
      </c>
      <c r="B37" s="13">
        <v>9142</v>
      </c>
      <c r="C37" s="13">
        <v>47287</v>
      </c>
      <c r="D37" s="13">
        <v>1862</v>
      </c>
      <c r="E37" s="13">
        <v>29123</v>
      </c>
      <c r="F37" s="13">
        <v>4411</v>
      </c>
      <c r="G37" s="13">
        <v>11303</v>
      </c>
      <c r="H37" s="13">
        <v>127191</v>
      </c>
      <c r="I37" s="13">
        <v>15537</v>
      </c>
      <c r="J37" s="13">
        <v>6458</v>
      </c>
      <c r="K37" s="13">
        <v>7097</v>
      </c>
      <c r="L37" s="13">
        <v>19198</v>
      </c>
      <c r="M37" s="13">
        <v>19217</v>
      </c>
      <c r="N37" s="13">
        <v>26961</v>
      </c>
      <c r="O37" s="13">
        <v>31858</v>
      </c>
      <c r="P37" s="13">
        <v>183740</v>
      </c>
      <c r="Q37" s="13">
        <v>27890</v>
      </c>
      <c r="R37" s="13">
        <v>211700</v>
      </c>
      <c r="S37" s="13">
        <v>130447</v>
      </c>
      <c r="T37" s="13">
        <v>44106</v>
      </c>
      <c r="U37" s="13">
        <v>36434</v>
      </c>
      <c r="V37" s="13">
        <v>25316</v>
      </c>
      <c r="W37" s="13">
        <v>18527</v>
      </c>
    </row>
    <row r="38" spans="1:23" x14ac:dyDescent="0.25">
      <c r="A38" s="13" t="s">
        <v>70</v>
      </c>
      <c r="B38" s="13">
        <v>14598</v>
      </c>
      <c r="C38" s="13">
        <v>43493</v>
      </c>
      <c r="D38" s="13">
        <v>1514</v>
      </c>
      <c r="E38" s="13">
        <v>26278</v>
      </c>
      <c r="F38" s="13">
        <v>4374</v>
      </c>
      <c r="G38" s="13">
        <v>11093</v>
      </c>
      <c r="H38" s="13">
        <v>122535</v>
      </c>
      <c r="I38" s="13">
        <v>14824</v>
      </c>
      <c r="J38" s="13">
        <v>5961</v>
      </c>
      <c r="K38" s="13">
        <v>6659</v>
      </c>
      <c r="L38" s="13">
        <v>16243</v>
      </c>
      <c r="M38" s="13">
        <v>19430</v>
      </c>
      <c r="N38" s="13">
        <v>25220</v>
      </c>
      <c r="O38" s="13">
        <v>33050</v>
      </c>
      <c r="P38" s="13">
        <v>180492</v>
      </c>
      <c r="Q38" s="13">
        <v>27650</v>
      </c>
      <c r="R38" s="13">
        <v>208234</v>
      </c>
      <c r="S38" s="13">
        <v>124485</v>
      </c>
      <c r="T38" s="13">
        <v>41136</v>
      </c>
      <c r="U38" s="13">
        <v>36948</v>
      </c>
      <c r="V38" s="13">
        <v>24101</v>
      </c>
      <c r="W38" s="13">
        <v>17140</v>
      </c>
    </row>
    <row r="39" spans="1:23" x14ac:dyDescent="0.25">
      <c r="A39" s="13" t="s">
        <v>71</v>
      </c>
      <c r="B39" s="13">
        <v>14821</v>
      </c>
      <c r="C39" s="13">
        <v>47426</v>
      </c>
      <c r="D39" s="13">
        <v>1578</v>
      </c>
      <c r="E39" s="13">
        <v>29302</v>
      </c>
      <c r="F39" s="13">
        <v>4588</v>
      </c>
      <c r="G39" s="13">
        <v>11712</v>
      </c>
      <c r="H39" s="13">
        <v>127145</v>
      </c>
      <c r="I39" s="13">
        <v>15773</v>
      </c>
      <c r="J39" s="13">
        <v>6361</v>
      </c>
      <c r="K39" s="13">
        <v>6924</v>
      </c>
      <c r="L39" s="13">
        <v>17613</v>
      </c>
      <c r="M39" s="13">
        <v>20038</v>
      </c>
      <c r="N39" s="13">
        <v>26560</v>
      </c>
      <c r="O39" s="13">
        <v>32607</v>
      </c>
      <c r="P39" s="13">
        <v>189445</v>
      </c>
      <c r="Q39" s="13">
        <v>28728</v>
      </c>
      <c r="R39" s="13">
        <v>218241</v>
      </c>
      <c r="S39" s="13">
        <v>127754</v>
      </c>
      <c r="T39" s="13">
        <v>43595</v>
      </c>
      <c r="U39" s="13">
        <v>38851</v>
      </c>
      <c r="V39" s="13">
        <v>26732</v>
      </c>
      <c r="W39" s="13">
        <v>18350</v>
      </c>
    </row>
    <row r="40" spans="1:23" x14ac:dyDescent="0.25">
      <c r="A40" s="13" t="s">
        <v>72</v>
      </c>
      <c r="B40" s="13">
        <v>13463</v>
      </c>
      <c r="C40" s="13">
        <v>51688</v>
      </c>
      <c r="D40" s="13">
        <v>1683</v>
      </c>
      <c r="E40" s="13">
        <v>32348</v>
      </c>
      <c r="F40" s="13">
        <v>4608</v>
      </c>
      <c r="G40" s="13">
        <v>12986</v>
      </c>
      <c r="H40" s="13">
        <v>130884</v>
      </c>
      <c r="I40" s="13">
        <v>16614</v>
      </c>
      <c r="J40" s="13">
        <v>6541</v>
      </c>
      <c r="K40" s="13">
        <v>7136</v>
      </c>
      <c r="L40" s="13">
        <v>18120</v>
      </c>
      <c r="M40" s="13">
        <v>20643</v>
      </c>
      <c r="N40" s="13">
        <v>27579</v>
      </c>
      <c r="O40" s="13">
        <v>32799</v>
      </c>
      <c r="P40" s="13">
        <v>196310</v>
      </c>
      <c r="Q40" s="13">
        <v>29776</v>
      </c>
      <c r="R40" s="13">
        <v>226157</v>
      </c>
      <c r="S40" s="13">
        <v>132070</v>
      </c>
      <c r="T40" s="13">
        <v>43653</v>
      </c>
      <c r="U40" s="13">
        <v>40965</v>
      </c>
      <c r="V40" s="13">
        <v>29121</v>
      </c>
      <c r="W40" s="13">
        <v>19537</v>
      </c>
    </row>
    <row r="41" spans="1:23" x14ac:dyDescent="0.25">
      <c r="A41" s="13" t="s">
        <v>73</v>
      </c>
      <c r="B41" s="13">
        <v>9283</v>
      </c>
      <c r="C41" s="13">
        <v>50915</v>
      </c>
      <c r="D41" s="13">
        <v>1709</v>
      </c>
      <c r="E41" s="13">
        <v>31754</v>
      </c>
      <c r="F41" s="13">
        <v>4736</v>
      </c>
      <c r="G41" s="13">
        <v>12437</v>
      </c>
      <c r="H41" s="13">
        <v>134631</v>
      </c>
      <c r="I41" s="13">
        <v>16716</v>
      </c>
      <c r="J41" s="13">
        <v>6682</v>
      </c>
      <c r="K41" s="13">
        <v>7674</v>
      </c>
      <c r="L41" s="13">
        <v>19537</v>
      </c>
      <c r="M41" s="13">
        <v>20878</v>
      </c>
      <c r="N41" s="13">
        <v>28994</v>
      </c>
      <c r="O41" s="13">
        <v>32743</v>
      </c>
      <c r="P41" s="13">
        <v>194852</v>
      </c>
      <c r="Q41" s="13">
        <v>29890</v>
      </c>
      <c r="R41" s="13">
        <v>224845</v>
      </c>
      <c r="S41" s="13">
        <v>139083</v>
      </c>
      <c r="T41" s="13">
        <v>44662</v>
      </c>
      <c r="U41" s="13">
        <v>39060</v>
      </c>
      <c r="V41" s="13">
        <v>28749</v>
      </c>
      <c r="W41" s="13">
        <v>19697</v>
      </c>
    </row>
    <row r="42" spans="1:23" x14ac:dyDescent="0.25">
      <c r="A42" s="13" t="s">
        <v>74</v>
      </c>
      <c r="B42" s="13">
        <v>15062</v>
      </c>
      <c r="C42" s="13">
        <v>45321</v>
      </c>
      <c r="D42" s="13">
        <v>1543</v>
      </c>
      <c r="E42" s="13">
        <v>27465</v>
      </c>
      <c r="F42" s="13">
        <v>4661</v>
      </c>
      <c r="G42" s="13">
        <v>11332</v>
      </c>
      <c r="H42" s="13">
        <v>128091</v>
      </c>
      <c r="I42" s="13">
        <v>15328</v>
      </c>
      <c r="J42" s="13">
        <v>6276</v>
      </c>
      <c r="K42" s="13">
        <v>7165</v>
      </c>
      <c r="L42" s="13">
        <v>17847</v>
      </c>
      <c r="M42" s="13">
        <v>20706</v>
      </c>
      <c r="N42" s="13">
        <v>26813</v>
      </c>
      <c r="O42" s="13">
        <v>32834</v>
      </c>
      <c r="P42" s="13">
        <v>188121</v>
      </c>
      <c r="Q42" s="13">
        <v>28736</v>
      </c>
      <c r="R42" s="13">
        <v>216947</v>
      </c>
      <c r="S42" s="13">
        <v>131105</v>
      </c>
      <c r="T42" s="13">
        <v>42662</v>
      </c>
      <c r="U42" s="13">
        <v>37452</v>
      </c>
      <c r="V42" s="13">
        <v>26484</v>
      </c>
      <c r="W42" s="13">
        <v>18669</v>
      </c>
    </row>
    <row r="43" spans="1:23" x14ac:dyDescent="0.25">
      <c r="A43" s="13" t="s">
        <v>75</v>
      </c>
      <c r="B43" s="13">
        <v>15174</v>
      </c>
      <c r="C43" s="13">
        <v>49907</v>
      </c>
      <c r="D43" s="13">
        <v>1764</v>
      </c>
      <c r="E43" s="13">
        <v>31094</v>
      </c>
      <c r="F43" s="13">
        <v>4698</v>
      </c>
      <c r="G43" s="13">
        <v>11808</v>
      </c>
      <c r="H43" s="13">
        <v>132518</v>
      </c>
      <c r="I43" s="13">
        <v>16544</v>
      </c>
      <c r="J43" s="13">
        <v>6671</v>
      </c>
      <c r="K43" s="13">
        <v>7450</v>
      </c>
      <c r="L43" s="13">
        <v>18042</v>
      </c>
      <c r="M43" s="13">
        <v>20885</v>
      </c>
      <c r="N43" s="13">
        <v>27967</v>
      </c>
      <c r="O43" s="13">
        <v>33408</v>
      </c>
      <c r="P43" s="13">
        <v>197625</v>
      </c>
      <c r="Q43" s="13">
        <v>30275</v>
      </c>
      <c r="R43" s="13">
        <v>228007</v>
      </c>
      <c r="S43" s="13">
        <v>133875</v>
      </c>
      <c r="T43" s="13">
        <v>43852</v>
      </c>
      <c r="U43" s="13">
        <v>40035</v>
      </c>
      <c r="V43" s="13">
        <v>29707</v>
      </c>
      <c r="W43" s="13">
        <v>19877</v>
      </c>
    </row>
    <row r="44" spans="1:23" x14ac:dyDescent="0.25">
      <c r="A44" s="13" t="s">
        <v>76</v>
      </c>
      <c r="B44" s="13">
        <v>13193</v>
      </c>
      <c r="C44" s="13">
        <v>51115</v>
      </c>
      <c r="D44" s="13">
        <v>1797</v>
      </c>
      <c r="E44" s="13">
        <v>32017</v>
      </c>
      <c r="F44" s="13">
        <v>4707</v>
      </c>
      <c r="G44" s="13">
        <v>12076</v>
      </c>
      <c r="H44" s="13">
        <v>135513</v>
      </c>
      <c r="I44" s="13">
        <v>16870</v>
      </c>
      <c r="J44" s="13">
        <v>6685</v>
      </c>
      <c r="K44" s="13">
        <v>7524</v>
      </c>
      <c r="L44" s="13">
        <v>19669</v>
      </c>
      <c r="M44" s="13">
        <v>21144</v>
      </c>
      <c r="N44" s="13">
        <v>28999</v>
      </c>
      <c r="O44" s="13">
        <v>33319</v>
      </c>
      <c r="P44" s="13">
        <v>199919</v>
      </c>
      <c r="Q44" s="13">
        <v>30877</v>
      </c>
      <c r="R44" s="13">
        <v>230941</v>
      </c>
      <c r="S44" s="13">
        <v>137862</v>
      </c>
      <c r="T44" s="13">
        <v>44402</v>
      </c>
      <c r="U44" s="13">
        <v>41320</v>
      </c>
      <c r="V44" s="13">
        <v>32297</v>
      </c>
      <c r="W44" s="13">
        <v>21046</v>
      </c>
    </row>
    <row r="45" spans="1:23" x14ac:dyDescent="0.25">
      <c r="A45" s="13" t="s">
        <v>77</v>
      </c>
      <c r="B45" s="13">
        <v>9320</v>
      </c>
      <c r="C45" s="13">
        <v>51038</v>
      </c>
      <c r="D45" s="13">
        <v>1822</v>
      </c>
      <c r="E45" s="13">
        <v>31790</v>
      </c>
      <c r="F45" s="13">
        <v>4816</v>
      </c>
      <c r="G45" s="13">
        <v>12000</v>
      </c>
      <c r="H45" s="13">
        <v>137931</v>
      </c>
      <c r="I45" s="13">
        <v>17175</v>
      </c>
      <c r="J45" s="13">
        <v>6834</v>
      </c>
      <c r="K45" s="13">
        <v>7899</v>
      </c>
      <c r="L45" s="13">
        <v>20110</v>
      </c>
      <c r="M45" s="13">
        <v>21632</v>
      </c>
      <c r="N45" s="13">
        <v>29837</v>
      </c>
      <c r="O45" s="13">
        <v>32998</v>
      </c>
      <c r="P45" s="13">
        <v>198373</v>
      </c>
      <c r="Q45" s="13">
        <v>31099</v>
      </c>
      <c r="R45" s="13">
        <v>229680</v>
      </c>
      <c r="S45" s="13">
        <v>143694</v>
      </c>
      <c r="T45" s="13">
        <v>45611</v>
      </c>
      <c r="U45" s="13">
        <v>40066</v>
      </c>
      <c r="V45" s="13">
        <v>30699</v>
      </c>
      <c r="W45" s="13">
        <v>20708</v>
      </c>
    </row>
    <row r="46" spans="1:23" x14ac:dyDescent="0.25">
      <c r="A46" s="13" t="s">
        <v>78</v>
      </c>
      <c r="B46" s="13">
        <v>15137</v>
      </c>
      <c r="C46" s="13">
        <v>46820</v>
      </c>
      <c r="D46" s="13">
        <v>1755</v>
      </c>
      <c r="E46" s="13">
        <v>28154</v>
      </c>
      <c r="F46" s="13">
        <v>4785</v>
      </c>
      <c r="G46" s="13">
        <v>11386</v>
      </c>
      <c r="H46" s="13">
        <v>133994</v>
      </c>
      <c r="I46" s="13">
        <v>16204</v>
      </c>
      <c r="J46" s="13">
        <v>6524</v>
      </c>
      <c r="K46" s="13">
        <v>7242</v>
      </c>
      <c r="L46" s="13">
        <v>19707</v>
      </c>
      <c r="M46" s="13">
        <v>21391</v>
      </c>
      <c r="N46" s="13">
        <v>27990</v>
      </c>
      <c r="O46" s="13">
        <v>33995</v>
      </c>
      <c r="P46" s="13">
        <v>195208</v>
      </c>
      <c r="Q46" s="13">
        <v>30798</v>
      </c>
      <c r="R46" s="13">
        <v>226230</v>
      </c>
      <c r="S46" s="13">
        <v>137566</v>
      </c>
      <c r="T46" s="13">
        <v>43927</v>
      </c>
      <c r="U46" s="13">
        <v>40747</v>
      </c>
      <c r="V46" s="13">
        <v>28732</v>
      </c>
      <c r="W46" s="13">
        <v>21430</v>
      </c>
    </row>
    <row r="47" spans="1:23" x14ac:dyDescent="0.25">
      <c r="A47" s="13" t="s">
        <v>79</v>
      </c>
      <c r="B47" s="13">
        <v>15123</v>
      </c>
      <c r="C47" s="13">
        <v>48981</v>
      </c>
      <c r="D47" s="13">
        <v>1789</v>
      </c>
      <c r="E47" s="13">
        <v>30184</v>
      </c>
      <c r="F47" s="13">
        <v>4824</v>
      </c>
      <c r="G47" s="13">
        <v>11399</v>
      </c>
      <c r="H47" s="13">
        <v>137676</v>
      </c>
      <c r="I47" s="13">
        <v>16896</v>
      </c>
      <c r="J47" s="13">
        <v>6723</v>
      </c>
      <c r="K47" s="13">
        <v>7341</v>
      </c>
      <c r="L47" s="13">
        <v>20364</v>
      </c>
      <c r="M47" s="13">
        <v>21839</v>
      </c>
      <c r="N47" s="13">
        <v>28890</v>
      </c>
      <c r="O47" s="13">
        <v>34597</v>
      </c>
      <c r="P47" s="13">
        <v>201210</v>
      </c>
      <c r="Q47" s="13">
        <v>31768</v>
      </c>
      <c r="R47" s="13">
        <v>233213</v>
      </c>
      <c r="S47" s="13">
        <v>141634</v>
      </c>
      <c r="T47" s="13">
        <v>44897</v>
      </c>
      <c r="U47" s="13">
        <v>41478</v>
      </c>
      <c r="V47" s="13">
        <v>29194</v>
      </c>
      <c r="W47" s="13">
        <v>22476</v>
      </c>
    </row>
    <row r="48" spans="1:23" x14ac:dyDescent="0.25">
      <c r="A48" s="13" t="s">
        <v>80</v>
      </c>
      <c r="B48" s="13">
        <v>14659</v>
      </c>
      <c r="C48" s="13">
        <v>52415</v>
      </c>
      <c r="D48" s="13">
        <v>1892</v>
      </c>
      <c r="E48" s="13">
        <v>32549</v>
      </c>
      <c r="F48" s="13">
        <v>4983</v>
      </c>
      <c r="G48" s="13">
        <v>12269</v>
      </c>
      <c r="H48" s="13">
        <v>141424</v>
      </c>
      <c r="I48" s="13">
        <v>17693</v>
      </c>
      <c r="J48" s="13">
        <v>6846</v>
      </c>
      <c r="K48" s="13">
        <v>7730</v>
      </c>
      <c r="L48" s="13">
        <v>21030</v>
      </c>
      <c r="M48" s="13">
        <v>22358</v>
      </c>
      <c r="N48" s="13">
        <v>29964</v>
      </c>
      <c r="O48" s="13">
        <v>34584</v>
      </c>
      <c r="P48" s="13">
        <v>208350</v>
      </c>
      <c r="Q48" s="13">
        <v>32743</v>
      </c>
      <c r="R48" s="13">
        <v>241316</v>
      </c>
      <c r="S48" s="13">
        <v>145156</v>
      </c>
      <c r="T48" s="13">
        <v>45542</v>
      </c>
      <c r="U48" s="13">
        <v>43698</v>
      </c>
      <c r="V48" s="13">
        <v>34770</v>
      </c>
      <c r="W48" s="13">
        <v>25320</v>
      </c>
    </row>
    <row r="49" spans="1:23" x14ac:dyDescent="0.25">
      <c r="A49" s="13" t="s">
        <v>81</v>
      </c>
      <c r="B49" s="13">
        <v>10276</v>
      </c>
      <c r="C49" s="13">
        <v>53126</v>
      </c>
      <c r="D49" s="13">
        <v>1943</v>
      </c>
      <c r="E49" s="13">
        <v>32988</v>
      </c>
      <c r="F49" s="13">
        <v>5071</v>
      </c>
      <c r="G49" s="13">
        <v>12285</v>
      </c>
      <c r="H49" s="13">
        <v>144090</v>
      </c>
      <c r="I49" s="13">
        <v>18405</v>
      </c>
      <c r="J49" s="13">
        <v>7030</v>
      </c>
      <c r="K49" s="13">
        <v>7954</v>
      </c>
      <c r="L49" s="13">
        <v>20748</v>
      </c>
      <c r="M49" s="13">
        <v>22736</v>
      </c>
      <c r="N49" s="13">
        <v>31064</v>
      </c>
      <c r="O49" s="13">
        <v>34560</v>
      </c>
      <c r="P49" s="13">
        <v>208172</v>
      </c>
      <c r="Q49" s="13">
        <v>32347</v>
      </c>
      <c r="R49" s="13">
        <v>240694</v>
      </c>
      <c r="S49" s="13">
        <v>151063</v>
      </c>
      <c r="T49" s="13">
        <v>48446</v>
      </c>
      <c r="U49" s="13">
        <v>43532</v>
      </c>
      <c r="V49" s="13">
        <v>32256</v>
      </c>
      <c r="W49" s="13">
        <v>25335</v>
      </c>
    </row>
    <row r="50" spans="1:23" x14ac:dyDescent="0.25">
      <c r="A50" s="13" t="s">
        <v>82</v>
      </c>
      <c r="B50" s="13">
        <v>15722</v>
      </c>
      <c r="C50" s="13">
        <v>48754</v>
      </c>
      <c r="D50" s="13">
        <v>1837</v>
      </c>
      <c r="E50" s="13">
        <v>29025</v>
      </c>
      <c r="F50" s="13">
        <v>5077</v>
      </c>
      <c r="G50" s="13">
        <v>12049</v>
      </c>
      <c r="H50" s="13">
        <v>141602</v>
      </c>
      <c r="I50" s="13">
        <v>17315</v>
      </c>
      <c r="J50" s="13">
        <v>6729</v>
      </c>
      <c r="K50" s="13">
        <v>7653</v>
      </c>
      <c r="L50" s="13">
        <v>21989</v>
      </c>
      <c r="M50" s="13">
        <v>22920</v>
      </c>
      <c r="N50" s="13">
        <v>29345</v>
      </c>
      <c r="O50" s="13">
        <v>35013</v>
      </c>
      <c r="P50" s="13">
        <v>205182</v>
      </c>
      <c r="Q50" s="13">
        <v>32550</v>
      </c>
      <c r="R50" s="13">
        <v>237982</v>
      </c>
      <c r="S50" s="13">
        <v>146310</v>
      </c>
      <c r="T50" s="13">
        <v>45834</v>
      </c>
      <c r="U50" s="13">
        <v>43681</v>
      </c>
      <c r="V50" s="13">
        <v>30322</v>
      </c>
      <c r="W50" s="13">
        <v>25578</v>
      </c>
    </row>
    <row r="51" spans="1:23" x14ac:dyDescent="0.25">
      <c r="A51" s="13" t="s">
        <v>83</v>
      </c>
      <c r="B51" s="13">
        <v>15214</v>
      </c>
      <c r="C51" s="13">
        <v>53266</v>
      </c>
      <c r="D51" s="13">
        <v>1897</v>
      </c>
      <c r="E51" s="13">
        <v>32752</v>
      </c>
      <c r="F51" s="13">
        <v>5224</v>
      </c>
      <c r="G51" s="13">
        <v>12796</v>
      </c>
      <c r="H51" s="13">
        <v>145925</v>
      </c>
      <c r="I51" s="13">
        <v>18518</v>
      </c>
      <c r="J51" s="13">
        <v>7050</v>
      </c>
      <c r="K51" s="13">
        <v>7846</v>
      </c>
      <c r="L51" s="13">
        <v>22831</v>
      </c>
      <c r="M51" s="13">
        <v>23365</v>
      </c>
      <c r="N51" s="13">
        <v>30027</v>
      </c>
      <c r="O51" s="13">
        <v>35420</v>
      </c>
      <c r="P51" s="13">
        <v>214078</v>
      </c>
      <c r="Q51" s="13">
        <v>34105</v>
      </c>
      <c r="R51" s="13">
        <v>248459</v>
      </c>
      <c r="S51" s="13">
        <v>150377</v>
      </c>
      <c r="T51" s="13">
        <v>47861</v>
      </c>
      <c r="U51" s="13">
        <v>46636</v>
      </c>
      <c r="V51" s="13">
        <v>32943</v>
      </c>
      <c r="W51" s="13">
        <v>26428</v>
      </c>
    </row>
    <row r="52" spans="1:23" x14ac:dyDescent="0.25">
      <c r="A52" s="13" t="s">
        <v>84</v>
      </c>
      <c r="B52" s="13">
        <v>15345</v>
      </c>
      <c r="C52" s="13">
        <v>56059</v>
      </c>
      <c r="D52" s="13">
        <v>1926</v>
      </c>
      <c r="E52" s="13">
        <v>35003</v>
      </c>
      <c r="F52" s="13">
        <v>5223</v>
      </c>
      <c r="G52" s="13">
        <v>13549</v>
      </c>
      <c r="H52" s="13">
        <v>149024</v>
      </c>
      <c r="I52" s="13">
        <v>19257</v>
      </c>
      <c r="J52" s="13">
        <v>7174</v>
      </c>
      <c r="K52" s="13">
        <v>8029</v>
      </c>
      <c r="L52" s="13">
        <v>23926</v>
      </c>
      <c r="M52" s="13">
        <v>23613</v>
      </c>
      <c r="N52" s="13">
        <v>30807</v>
      </c>
      <c r="O52" s="13">
        <v>35306</v>
      </c>
      <c r="P52" s="13">
        <v>220337</v>
      </c>
      <c r="Q52" s="13">
        <v>34884</v>
      </c>
      <c r="R52" s="13">
        <v>255482</v>
      </c>
      <c r="S52" s="13">
        <v>153564</v>
      </c>
      <c r="T52" s="13">
        <v>47761</v>
      </c>
      <c r="U52" s="13">
        <v>49916</v>
      </c>
      <c r="V52" s="13">
        <v>35179</v>
      </c>
      <c r="W52" s="13">
        <v>30227</v>
      </c>
    </row>
    <row r="53" spans="1:23" x14ac:dyDescent="0.25">
      <c r="A53" s="13" t="s">
        <v>85</v>
      </c>
      <c r="B53" s="13">
        <v>10708</v>
      </c>
      <c r="C53" s="13">
        <v>55760</v>
      </c>
      <c r="D53" s="13">
        <v>1930</v>
      </c>
      <c r="E53" s="13">
        <v>34704</v>
      </c>
      <c r="F53" s="13">
        <v>5343</v>
      </c>
      <c r="G53" s="13">
        <v>13299</v>
      </c>
      <c r="H53" s="13">
        <v>153098</v>
      </c>
      <c r="I53" s="13">
        <v>19823</v>
      </c>
      <c r="J53" s="13">
        <v>7546</v>
      </c>
      <c r="K53" s="13">
        <v>8682</v>
      </c>
      <c r="L53" s="13">
        <v>25469</v>
      </c>
      <c r="M53" s="13">
        <v>23729</v>
      </c>
      <c r="N53" s="13">
        <v>31935</v>
      </c>
      <c r="O53" s="13">
        <v>34970</v>
      </c>
      <c r="P53" s="13">
        <v>220487</v>
      </c>
      <c r="Q53" s="13">
        <v>35832</v>
      </c>
      <c r="R53" s="13">
        <v>256675</v>
      </c>
      <c r="S53" s="13">
        <v>161858</v>
      </c>
      <c r="T53" s="13">
        <v>48795</v>
      </c>
      <c r="U53" s="13">
        <v>49476</v>
      </c>
      <c r="V53" s="13">
        <v>34226</v>
      </c>
      <c r="W53" s="13">
        <v>30823</v>
      </c>
    </row>
    <row r="54" spans="1:23" x14ac:dyDescent="0.25">
      <c r="A54" s="13" t="s">
        <v>86</v>
      </c>
      <c r="B54" s="13">
        <v>16470</v>
      </c>
      <c r="C54" s="13">
        <v>52236</v>
      </c>
      <c r="D54" s="13">
        <v>1909</v>
      </c>
      <c r="E54" s="13">
        <v>31782</v>
      </c>
      <c r="F54" s="13">
        <v>5231</v>
      </c>
      <c r="G54" s="13">
        <v>12652</v>
      </c>
      <c r="H54" s="13">
        <v>149090</v>
      </c>
      <c r="I54" s="13">
        <v>18657</v>
      </c>
      <c r="J54" s="13">
        <v>7319</v>
      </c>
      <c r="K54" s="13">
        <v>8362</v>
      </c>
      <c r="L54" s="13">
        <v>25720</v>
      </c>
      <c r="M54" s="13">
        <v>23551</v>
      </c>
      <c r="N54" s="13">
        <v>30435</v>
      </c>
      <c r="O54" s="13">
        <v>34879</v>
      </c>
      <c r="P54" s="13">
        <v>217081</v>
      </c>
      <c r="Q54" s="13">
        <v>35227</v>
      </c>
      <c r="R54" s="13">
        <v>252636</v>
      </c>
      <c r="S54" s="13">
        <v>156783</v>
      </c>
      <c r="T54" s="13">
        <v>47196</v>
      </c>
      <c r="U54" s="13">
        <v>48935</v>
      </c>
      <c r="V54" s="13">
        <v>29790</v>
      </c>
      <c r="W54" s="13">
        <v>29535</v>
      </c>
    </row>
    <row r="55" spans="1:23" x14ac:dyDescent="0.25">
      <c r="A55" s="13" t="s">
        <v>87</v>
      </c>
      <c r="B55" s="13">
        <v>16897</v>
      </c>
      <c r="C55" s="13">
        <v>56056</v>
      </c>
      <c r="D55" s="13">
        <v>1995</v>
      </c>
      <c r="E55" s="13">
        <v>34866</v>
      </c>
      <c r="F55" s="13">
        <v>5272</v>
      </c>
      <c r="G55" s="13">
        <v>13283</v>
      </c>
      <c r="H55" s="13">
        <v>154362</v>
      </c>
      <c r="I55" s="13">
        <v>19894</v>
      </c>
      <c r="J55" s="13">
        <v>7802</v>
      </c>
      <c r="K55" s="13">
        <v>8623</v>
      </c>
      <c r="L55" s="13">
        <v>26452</v>
      </c>
      <c r="M55" s="13">
        <v>23721</v>
      </c>
      <c r="N55" s="13">
        <v>31676</v>
      </c>
      <c r="O55" s="13">
        <v>35603</v>
      </c>
      <c r="P55" s="13">
        <v>226787</v>
      </c>
      <c r="Q55" s="13">
        <v>37054</v>
      </c>
      <c r="R55" s="13">
        <v>264202</v>
      </c>
      <c r="S55" s="13">
        <v>160955</v>
      </c>
      <c r="T55" s="13">
        <v>48081</v>
      </c>
      <c r="U55" s="13">
        <v>52995</v>
      </c>
      <c r="V55" s="13">
        <v>34884</v>
      </c>
      <c r="W55" s="13">
        <v>32662</v>
      </c>
    </row>
    <row r="56" spans="1:23" x14ac:dyDescent="0.25">
      <c r="A56" s="13" t="s">
        <v>88</v>
      </c>
      <c r="B56" s="13">
        <v>16114</v>
      </c>
      <c r="C56" s="13">
        <v>59853</v>
      </c>
      <c r="D56" s="13">
        <v>2073</v>
      </c>
      <c r="E56" s="13">
        <v>37408</v>
      </c>
      <c r="F56" s="13">
        <v>5412</v>
      </c>
      <c r="G56" s="13">
        <v>14527</v>
      </c>
      <c r="H56" s="13">
        <v>158276</v>
      </c>
      <c r="I56" s="13">
        <v>21034</v>
      </c>
      <c r="J56" s="13">
        <v>7970</v>
      </c>
      <c r="K56" s="13">
        <v>8898</v>
      </c>
      <c r="L56" s="13">
        <v>27171</v>
      </c>
      <c r="M56" s="13">
        <v>23961</v>
      </c>
      <c r="N56" s="13">
        <v>32698</v>
      </c>
      <c r="O56" s="13">
        <v>35635</v>
      </c>
      <c r="P56" s="13">
        <v>234183</v>
      </c>
      <c r="Q56" s="13">
        <v>38728</v>
      </c>
      <c r="R56" s="13">
        <v>273317</v>
      </c>
      <c r="S56" s="13">
        <v>166399</v>
      </c>
      <c r="T56" s="13">
        <v>49640</v>
      </c>
      <c r="U56" s="13">
        <v>58878</v>
      </c>
      <c r="V56" s="13">
        <v>36353</v>
      </c>
      <c r="W56" s="13">
        <v>36713</v>
      </c>
    </row>
    <row r="57" spans="1:23" x14ac:dyDescent="0.25">
      <c r="A57" s="13" t="s">
        <v>89</v>
      </c>
      <c r="B57" s="13">
        <v>10796</v>
      </c>
      <c r="C57" s="13">
        <v>54460</v>
      </c>
      <c r="D57" s="13">
        <v>1927</v>
      </c>
      <c r="E57" s="13">
        <v>32883</v>
      </c>
      <c r="F57" s="13">
        <v>5491</v>
      </c>
      <c r="G57" s="13">
        <v>13768</v>
      </c>
      <c r="H57" s="13">
        <v>156366</v>
      </c>
      <c r="I57" s="13">
        <v>19320</v>
      </c>
      <c r="J57" s="13">
        <v>7568</v>
      </c>
      <c r="K57" s="13">
        <v>9473</v>
      </c>
      <c r="L57" s="13">
        <v>27343</v>
      </c>
      <c r="M57" s="13">
        <v>23690</v>
      </c>
      <c r="N57" s="13">
        <v>33091</v>
      </c>
      <c r="O57" s="13">
        <v>35493</v>
      </c>
      <c r="P57" s="13">
        <v>222256</v>
      </c>
      <c r="Q57" s="13">
        <v>36680</v>
      </c>
      <c r="R57" s="13">
        <v>259315</v>
      </c>
      <c r="S57" s="13">
        <v>167540</v>
      </c>
      <c r="T57" s="13">
        <v>49224</v>
      </c>
      <c r="U57" s="13">
        <v>52211</v>
      </c>
      <c r="V57" s="13">
        <v>32186</v>
      </c>
      <c r="W57" s="13">
        <v>33395</v>
      </c>
    </row>
    <row r="58" spans="1:23" x14ac:dyDescent="0.25">
      <c r="A58" s="13" t="s">
        <v>90</v>
      </c>
      <c r="B58" s="13">
        <v>16239</v>
      </c>
      <c r="C58" s="13">
        <v>46597</v>
      </c>
      <c r="D58" s="13">
        <v>1801</v>
      </c>
      <c r="E58" s="13">
        <v>26622</v>
      </c>
      <c r="F58" s="13">
        <v>5108</v>
      </c>
      <c r="G58" s="13">
        <v>12576</v>
      </c>
      <c r="H58" s="13">
        <v>150557</v>
      </c>
      <c r="I58" s="13">
        <v>17266</v>
      </c>
      <c r="J58" s="13">
        <v>6804</v>
      </c>
      <c r="K58" s="13">
        <v>8566</v>
      </c>
      <c r="L58" s="13">
        <v>27922</v>
      </c>
      <c r="M58" s="13">
        <v>23956</v>
      </c>
      <c r="N58" s="13">
        <v>31413</v>
      </c>
      <c r="O58" s="13">
        <v>35973</v>
      </c>
      <c r="P58" s="13">
        <v>212126</v>
      </c>
      <c r="Q58" s="13">
        <v>34106</v>
      </c>
      <c r="R58" s="13">
        <v>246507</v>
      </c>
      <c r="S58" s="13">
        <v>160352</v>
      </c>
      <c r="T58" s="13">
        <v>48697</v>
      </c>
      <c r="U58" s="13">
        <v>44291</v>
      </c>
      <c r="V58" s="13">
        <v>25585</v>
      </c>
      <c r="W58" s="13">
        <v>25705</v>
      </c>
    </row>
    <row r="59" spans="1:23" x14ac:dyDescent="0.25">
      <c r="A59" s="13" t="s">
        <v>91</v>
      </c>
      <c r="B59" s="13">
        <v>15965</v>
      </c>
      <c r="C59" s="13">
        <v>51588</v>
      </c>
      <c r="D59" s="13">
        <v>1903</v>
      </c>
      <c r="E59" s="13">
        <v>30156</v>
      </c>
      <c r="F59" s="13">
        <v>5341</v>
      </c>
      <c r="G59" s="13">
        <v>13925</v>
      </c>
      <c r="H59" s="13">
        <v>155422</v>
      </c>
      <c r="I59" s="13">
        <v>18773</v>
      </c>
      <c r="J59" s="13">
        <v>7130</v>
      </c>
      <c r="K59" s="13">
        <v>8713</v>
      </c>
      <c r="L59" s="13">
        <v>28500</v>
      </c>
      <c r="M59" s="13">
        <v>24232</v>
      </c>
      <c r="N59" s="13">
        <v>32195</v>
      </c>
      <c r="O59" s="13">
        <v>36676</v>
      </c>
      <c r="P59" s="13">
        <v>222190</v>
      </c>
      <c r="Q59" s="13">
        <v>35887</v>
      </c>
      <c r="R59" s="13">
        <v>258381</v>
      </c>
      <c r="S59" s="13">
        <v>167343</v>
      </c>
      <c r="T59" s="13">
        <v>49121</v>
      </c>
      <c r="U59" s="13">
        <v>48604</v>
      </c>
      <c r="V59" s="13">
        <v>31421</v>
      </c>
      <c r="W59" s="13">
        <v>28548</v>
      </c>
    </row>
    <row r="60" spans="1:23" x14ac:dyDescent="0.25">
      <c r="A60" s="13" t="s">
        <v>92</v>
      </c>
      <c r="B60" s="13">
        <v>14906</v>
      </c>
      <c r="C60" s="13">
        <v>56407</v>
      </c>
      <c r="D60" s="13">
        <v>1999</v>
      </c>
      <c r="E60" s="13">
        <v>33493</v>
      </c>
      <c r="F60" s="13">
        <v>5435</v>
      </c>
      <c r="G60" s="13">
        <v>15552</v>
      </c>
      <c r="H60" s="13">
        <v>160510</v>
      </c>
      <c r="I60" s="13">
        <v>20266</v>
      </c>
      <c r="J60" s="13">
        <v>7538</v>
      </c>
      <c r="K60" s="13">
        <v>8827</v>
      </c>
      <c r="L60" s="13">
        <v>29266</v>
      </c>
      <c r="M60" s="13">
        <v>24567</v>
      </c>
      <c r="N60" s="13">
        <v>33560</v>
      </c>
      <c r="O60" s="13">
        <v>36814</v>
      </c>
      <c r="P60" s="13">
        <v>231645</v>
      </c>
      <c r="Q60" s="13">
        <v>38104</v>
      </c>
      <c r="R60" s="13">
        <v>270139</v>
      </c>
      <c r="S60" s="13">
        <v>173837</v>
      </c>
      <c r="T60" s="13">
        <v>49793</v>
      </c>
      <c r="U60" s="13">
        <v>56608</v>
      </c>
      <c r="V60" s="13">
        <v>32922</v>
      </c>
      <c r="W60" s="13">
        <v>32466</v>
      </c>
    </row>
    <row r="61" spans="1:23" x14ac:dyDescent="0.25">
      <c r="A61" s="13" t="s">
        <v>93</v>
      </c>
      <c r="B61" s="13">
        <v>10919</v>
      </c>
      <c r="C61" s="13">
        <v>57545</v>
      </c>
      <c r="D61" s="13">
        <v>2032</v>
      </c>
      <c r="E61" s="13">
        <v>33983</v>
      </c>
      <c r="F61" s="13">
        <v>5682</v>
      </c>
      <c r="G61" s="13">
        <v>15984</v>
      </c>
      <c r="H61" s="13">
        <v>164380</v>
      </c>
      <c r="I61" s="13">
        <v>20757</v>
      </c>
      <c r="J61" s="13">
        <v>7847</v>
      </c>
      <c r="K61" s="13">
        <v>9254</v>
      </c>
      <c r="L61" s="13">
        <v>30437</v>
      </c>
      <c r="M61" s="13">
        <v>25009</v>
      </c>
      <c r="N61" s="13">
        <v>34574</v>
      </c>
      <c r="O61" s="13">
        <v>36993</v>
      </c>
      <c r="P61" s="13">
        <v>233473</v>
      </c>
      <c r="Q61" s="13">
        <v>39175</v>
      </c>
      <c r="R61" s="13">
        <v>273122</v>
      </c>
      <c r="S61" s="13">
        <v>179186</v>
      </c>
      <c r="T61" s="13">
        <v>52249</v>
      </c>
      <c r="U61" s="13">
        <v>58971</v>
      </c>
      <c r="V61" s="13">
        <v>30966</v>
      </c>
      <c r="W61" s="13">
        <v>35528</v>
      </c>
    </row>
    <row r="62" spans="1:23" x14ac:dyDescent="0.25">
      <c r="A62" s="13" t="s">
        <v>94</v>
      </c>
      <c r="B62" s="13">
        <v>17355</v>
      </c>
      <c r="C62" s="13">
        <v>53730</v>
      </c>
      <c r="D62" s="13">
        <v>2079</v>
      </c>
      <c r="E62" s="13">
        <v>30860</v>
      </c>
      <c r="F62" s="13">
        <v>5540</v>
      </c>
      <c r="G62" s="13">
        <v>15036</v>
      </c>
      <c r="H62" s="13">
        <v>159911</v>
      </c>
      <c r="I62" s="13">
        <v>20017</v>
      </c>
      <c r="J62" s="13">
        <v>7693</v>
      </c>
      <c r="K62" s="13">
        <v>8820</v>
      </c>
      <c r="L62" s="13">
        <v>30218</v>
      </c>
      <c r="M62" s="13">
        <v>25108</v>
      </c>
      <c r="N62" s="13">
        <v>32246</v>
      </c>
      <c r="O62" s="13">
        <v>36861</v>
      </c>
      <c r="P62" s="13">
        <v>230088</v>
      </c>
      <c r="Q62" s="13">
        <v>38718</v>
      </c>
      <c r="R62" s="13">
        <v>269208</v>
      </c>
      <c r="S62" s="13">
        <v>172317</v>
      </c>
      <c r="T62" s="13">
        <v>50142</v>
      </c>
      <c r="U62" s="13">
        <v>57136</v>
      </c>
      <c r="V62" s="13">
        <v>29547</v>
      </c>
      <c r="W62" s="13">
        <v>35718</v>
      </c>
    </row>
    <row r="63" spans="1:23" x14ac:dyDescent="0.25">
      <c r="A63" s="13" t="s">
        <v>95</v>
      </c>
      <c r="B63" s="13">
        <v>17571</v>
      </c>
      <c r="C63" s="13">
        <v>58292</v>
      </c>
      <c r="D63" s="13">
        <v>2201</v>
      </c>
      <c r="E63" s="13">
        <v>33797</v>
      </c>
      <c r="F63" s="13">
        <v>5731</v>
      </c>
      <c r="G63" s="13">
        <v>16432</v>
      </c>
      <c r="H63" s="13">
        <v>164788</v>
      </c>
      <c r="I63" s="13">
        <v>21037</v>
      </c>
      <c r="J63" s="13">
        <v>8077</v>
      </c>
      <c r="K63" s="13">
        <v>9148</v>
      </c>
      <c r="L63" s="13">
        <v>30758</v>
      </c>
      <c r="M63" s="13">
        <v>25535</v>
      </c>
      <c r="N63" s="13">
        <v>33273</v>
      </c>
      <c r="O63" s="13">
        <v>37576</v>
      </c>
      <c r="P63" s="13">
        <v>240022</v>
      </c>
      <c r="Q63" s="13">
        <v>39961</v>
      </c>
      <c r="R63" s="13">
        <v>280390</v>
      </c>
      <c r="S63" s="13">
        <v>176377</v>
      </c>
      <c r="T63" s="13">
        <v>51646</v>
      </c>
      <c r="U63" s="13">
        <v>59746</v>
      </c>
      <c r="V63" s="13">
        <v>33641</v>
      </c>
      <c r="W63" s="13">
        <v>38867</v>
      </c>
    </row>
    <row r="64" spans="1:23" x14ac:dyDescent="0.25">
      <c r="A64" s="13" t="s">
        <v>96</v>
      </c>
      <c r="B64" s="13">
        <v>15732</v>
      </c>
      <c r="C64" s="13">
        <v>61099</v>
      </c>
      <c r="D64" s="13">
        <v>2288</v>
      </c>
      <c r="E64" s="13">
        <v>35881</v>
      </c>
      <c r="F64" s="13">
        <v>5765</v>
      </c>
      <c r="G64" s="13">
        <v>17004</v>
      </c>
      <c r="H64" s="13">
        <v>169699</v>
      </c>
      <c r="I64" s="13">
        <v>22259</v>
      </c>
      <c r="J64" s="13">
        <v>8379</v>
      </c>
      <c r="K64" s="13">
        <v>9390</v>
      </c>
      <c r="L64" s="13">
        <v>32127</v>
      </c>
      <c r="M64" s="13">
        <v>25792</v>
      </c>
      <c r="N64" s="13">
        <v>34607</v>
      </c>
      <c r="O64" s="13">
        <v>37627</v>
      </c>
      <c r="P64" s="13">
        <v>246419</v>
      </c>
      <c r="Q64" s="13">
        <v>41933</v>
      </c>
      <c r="R64" s="13">
        <v>288798</v>
      </c>
      <c r="S64" s="13">
        <v>183015</v>
      </c>
      <c r="T64" s="13">
        <v>52201</v>
      </c>
      <c r="U64" s="13">
        <v>65246</v>
      </c>
      <c r="V64" s="13">
        <v>36717</v>
      </c>
      <c r="W64" s="13">
        <v>44565</v>
      </c>
    </row>
    <row r="65" spans="1:23" x14ac:dyDescent="0.25">
      <c r="A65" s="13" t="s">
        <v>97</v>
      </c>
      <c r="B65" s="13">
        <v>11259</v>
      </c>
      <c r="C65" s="13">
        <v>60661</v>
      </c>
      <c r="D65" s="13">
        <v>2320</v>
      </c>
      <c r="E65" s="13">
        <v>35134</v>
      </c>
      <c r="F65" s="13">
        <v>5882</v>
      </c>
      <c r="G65" s="13">
        <v>17169</v>
      </c>
      <c r="H65" s="13">
        <v>173084</v>
      </c>
      <c r="I65" s="13">
        <v>22343</v>
      </c>
      <c r="J65" s="13">
        <v>8451</v>
      </c>
      <c r="K65" s="13">
        <v>9894</v>
      </c>
      <c r="L65" s="13">
        <v>33848</v>
      </c>
      <c r="M65" s="13">
        <v>26107</v>
      </c>
      <c r="N65" s="13">
        <v>35913</v>
      </c>
      <c r="O65" s="13">
        <v>37650</v>
      </c>
      <c r="P65" s="13">
        <v>245652</v>
      </c>
      <c r="Q65" s="13">
        <v>42540</v>
      </c>
      <c r="R65" s="13">
        <v>288661</v>
      </c>
      <c r="S65" s="13">
        <v>191414</v>
      </c>
      <c r="T65" s="13">
        <v>53707</v>
      </c>
      <c r="U65" s="13">
        <v>63567</v>
      </c>
      <c r="V65" s="13">
        <v>35161</v>
      </c>
      <c r="W65" s="13">
        <v>44220</v>
      </c>
    </row>
    <row r="66" spans="1:23" x14ac:dyDescent="0.25">
      <c r="A66" s="13" t="s">
        <v>98</v>
      </c>
      <c r="B66" s="13">
        <v>18287</v>
      </c>
      <c r="C66" s="13">
        <v>56819</v>
      </c>
      <c r="D66" s="13">
        <v>2168</v>
      </c>
      <c r="E66" s="13">
        <v>32375</v>
      </c>
      <c r="F66" s="13">
        <v>5792</v>
      </c>
      <c r="G66" s="13">
        <v>16331</v>
      </c>
      <c r="H66" s="13">
        <v>167436</v>
      </c>
      <c r="I66" s="13">
        <v>20908</v>
      </c>
      <c r="J66" s="13">
        <v>8205</v>
      </c>
      <c r="K66" s="13">
        <v>9363</v>
      </c>
      <c r="L66" s="13">
        <v>32672</v>
      </c>
      <c r="M66" s="13">
        <v>26042</v>
      </c>
      <c r="N66" s="13">
        <v>34038</v>
      </c>
      <c r="O66" s="13">
        <v>37735</v>
      </c>
      <c r="P66" s="13">
        <v>241378</v>
      </c>
      <c r="Q66" s="13">
        <v>41367</v>
      </c>
      <c r="R66" s="13">
        <v>283194</v>
      </c>
      <c r="S66" s="13">
        <v>183360</v>
      </c>
      <c r="T66" s="13">
        <v>51438</v>
      </c>
      <c r="U66" s="13">
        <v>61837</v>
      </c>
      <c r="V66" s="13">
        <v>30798</v>
      </c>
      <c r="W66" s="13">
        <v>39890</v>
      </c>
    </row>
    <row r="67" spans="1:23" x14ac:dyDescent="0.25">
      <c r="A67" s="13" t="s">
        <v>99</v>
      </c>
      <c r="B67" s="13">
        <v>17698</v>
      </c>
      <c r="C67" s="13">
        <v>61278</v>
      </c>
      <c r="D67" s="13">
        <v>2280</v>
      </c>
      <c r="E67" s="13">
        <v>35279</v>
      </c>
      <c r="F67" s="13">
        <v>6078</v>
      </c>
      <c r="G67" s="13">
        <v>17637</v>
      </c>
      <c r="H67" s="13">
        <v>171955</v>
      </c>
      <c r="I67" s="13">
        <v>21917</v>
      </c>
      <c r="J67" s="13">
        <v>8453</v>
      </c>
      <c r="K67" s="13">
        <v>9801</v>
      </c>
      <c r="L67" s="13">
        <v>33123</v>
      </c>
      <c r="M67" s="13">
        <v>25941</v>
      </c>
      <c r="N67" s="13">
        <v>35301</v>
      </c>
      <c r="O67" s="13">
        <v>38391</v>
      </c>
      <c r="P67" s="13">
        <v>250374</v>
      </c>
      <c r="Q67" s="13">
        <v>42737</v>
      </c>
      <c r="R67" s="13">
        <v>293569</v>
      </c>
      <c r="S67" s="13">
        <v>188065</v>
      </c>
      <c r="T67" s="13">
        <v>53344</v>
      </c>
      <c r="U67" s="13">
        <v>64604</v>
      </c>
      <c r="V67" s="13">
        <v>35829</v>
      </c>
      <c r="W67" s="13">
        <v>44345</v>
      </c>
    </row>
    <row r="68" spans="1:23" x14ac:dyDescent="0.25">
      <c r="A68" s="13" t="s">
        <v>100</v>
      </c>
      <c r="B68" s="13">
        <v>16939</v>
      </c>
      <c r="C68" s="13">
        <v>63520</v>
      </c>
      <c r="D68" s="13">
        <v>2351</v>
      </c>
      <c r="E68" s="13">
        <v>36544</v>
      </c>
      <c r="F68" s="13">
        <v>6113</v>
      </c>
      <c r="G68" s="13">
        <v>18601</v>
      </c>
      <c r="H68" s="13">
        <v>174480</v>
      </c>
      <c r="I68" s="13">
        <v>22364</v>
      </c>
      <c r="J68" s="13">
        <v>8657</v>
      </c>
      <c r="K68" s="13">
        <v>9969</v>
      </c>
      <c r="L68" s="13">
        <v>33998</v>
      </c>
      <c r="M68" s="13">
        <v>26087</v>
      </c>
      <c r="N68" s="13">
        <v>36174</v>
      </c>
      <c r="O68" s="13">
        <v>38274</v>
      </c>
      <c r="P68" s="13">
        <v>254797</v>
      </c>
      <c r="Q68" s="13">
        <v>43742</v>
      </c>
      <c r="R68" s="13">
        <v>299014</v>
      </c>
      <c r="S68" s="13">
        <v>190260</v>
      </c>
      <c r="T68" s="13">
        <v>53123</v>
      </c>
      <c r="U68" s="13">
        <v>69004</v>
      </c>
      <c r="V68" s="13">
        <v>38349</v>
      </c>
      <c r="W68" s="13">
        <v>47203</v>
      </c>
    </row>
    <row r="69" spans="1:23" x14ac:dyDescent="0.25">
      <c r="A69" s="13" t="s">
        <v>101</v>
      </c>
      <c r="B69" s="13">
        <v>12483</v>
      </c>
      <c r="C69" s="13">
        <v>61783</v>
      </c>
      <c r="D69" s="13">
        <v>2397</v>
      </c>
      <c r="E69" s="13">
        <v>34523</v>
      </c>
      <c r="F69" s="13">
        <v>6220</v>
      </c>
      <c r="G69" s="13">
        <v>18487</v>
      </c>
      <c r="H69" s="13">
        <v>176691</v>
      </c>
      <c r="I69" s="13">
        <v>22471</v>
      </c>
      <c r="J69" s="13">
        <v>8679</v>
      </c>
      <c r="K69" s="13">
        <v>10539</v>
      </c>
      <c r="L69" s="13">
        <v>35039</v>
      </c>
      <c r="M69" s="13">
        <v>26453</v>
      </c>
      <c r="N69" s="13">
        <v>36816</v>
      </c>
      <c r="O69" s="13">
        <v>38162</v>
      </c>
      <c r="P69" s="13">
        <v>251648</v>
      </c>
      <c r="Q69" s="13">
        <v>43929</v>
      </c>
      <c r="R69" s="13">
        <v>296073</v>
      </c>
      <c r="S69" s="13">
        <v>196280</v>
      </c>
      <c r="T69" s="13">
        <v>54368</v>
      </c>
      <c r="U69" s="13">
        <v>67039</v>
      </c>
      <c r="V69" s="13">
        <v>36589</v>
      </c>
      <c r="W69" s="13">
        <v>47278</v>
      </c>
    </row>
    <row r="70" spans="1:23" x14ac:dyDescent="0.25">
      <c r="A70" s="13" t="s">
        <v>102</v>
      </c>
      <c r="B70" s="13">
        <v>16234</v>
      </c>
      <c r="C70" s="13">
        <v>58175</v>
      </c>
      <c r="D70" s="13">
        <v>2233</v>
      </c>
      <c r="E70" s="13">
        <v>31868</v>
      </c>
      <c r="F70" s="13">
        <v>6182</v>
      </c>
      <c r="G70" s="13">
        <v>17753</v>
      </c>
      <c r="H70" s="13">
        <v>171071</v>
      </c>
      <c r="I70" s="13">
        <v>21033</v>
      </c>
      <c r="J70" s="13">
        <v>8205</v>
      </c>
      <c r="K70" s="13">
        <v>9995</v>
      </c>
      <c r="L70" s="13">
        <v>33765</v>
      </c>
      <c r="M70" s="13">
        <v>26752</v>
      </c>
      <c r="N70" s="13">
        <v>35066</v>
      </c>
      <c r="O70" s="13">
        <v>38251</v>
      </c>
      <c r="P70" s="13">
        <v>244940</v>
      </c>
      <c r="Q70" s="13">
        <v>42617</v>
      </c>
      <c r="R70" s="13">
        <v>288028</v>
      </c>
      <c r="S70" s="13">
        <v>188826</v>
      </c>
      <c r="T70" s="13">
        <v>52512</v>
      </c>
      <c r="U70" s="13">
        <v>63780</v>
      </c>
      <c r="V70" s="13">
        <v>32443</v>
      </c>
      <c r="W70" s="13">
        <v>42513</v>
      </c>
    </row>
    <row r="71" spans="1:23" x14ac:dyDescent="0.25">
      <c r="A71" s="13" t="s">
        <v>103</v>
      </c>
      <c r="B71" s="13">
        <v>17669</v>
      </c>
      <c r="C71" s="13">
        <v>59324</v>
      </c>
      <c r="D71" s="13">
        <v>2225</v>
      </c>
      <c r="E71" s="13">
        <v>33185</v>
      </c>
      <c r="F71" s="13">
        <v>6022</v>
      </c>
      <c r="G71" s="13">
        <v>17962</v>
      </c>
      <c r="H71" s="13">
        <v>176093</v>
      </c>
      <c r="I71" s="13">
        <v>22133</v>
      </c>
      <c r="J71" s="13">
        <v>8468</v>
      </c>
      <c r="K71" s="13">
        <v>10267</v>
      </c>
      <c r="L71" s="13">
        <v>33801</v>
      </c>
      <c r="M71" s="13">
        <v>27434</v>
      </c>
      <c r="N71" s="13">
        <v>36173</v>
      </c>
      <c r="O71" s="13">
        <v>39124</v>
      </c>
      <c r="P71" s="13">
        <v>252256</v>
      </c>
      <c r="Q71" s="13">
        <v>43728</v>
      </c>
      <c r="R71" s="13">
        <v>296465</v>
      </c>
      <c r="S71" s="13">
        <v>192242</v>
      </c>
      <c r="T71" s="13">
        <v>54474</v>
      </c>
      <c r="U71" s="13">
        <v>65323</v>
      </c>
      <c r="V71" s="13">
        <v>35433</v>
      </c>
      <c r="W71" s="13">
        <v>45443</v>
      </c>
    </row>
    <row r="72" spans="1:23" x14ac:dyDescent="0.25">
      <c r="A72" s="13" t="s">
        <v>104</v>
      </c>
      <c r="B72" s="13">
        <v>17741</v>
      </c>
      <c r="C72" s="13">
        <v>63228</v>
      </c>
      <c r="D72" s="13">
        <v>2265</v>
      </c>
      <c r="E72" s="13">
        <v>36068</v>
      </c>
      <c r="F72" s="13">
        <v>6247</v>
      </c>
      <c r="G72" s="13">
        <v>19136</v>
      </c>
      <c r="H72" s="13">
        <v>180214</v>
      </c>
      <c r="I72" s="13">
        <v>23237</v>
      </c>
      <c r="J72" s="13">
        <v>9114</v>
      </c>
      <c r="K72" s="13">
        <v>10728</v>
      </c>
      <c r="L72" s="13">
        <v>34018</v>
      </c>
      <c r="M72" s="13">
        <v>27699</v>
      </c>
      <c r="N72" s="13">
        <v>37341</v>
      </c>
      <c r="O72" s="13">
        <v>38679</v>
      </c>
      <c r="P72" s="13">
        <v>260695</v>
      </c>
      <c r="Q72" s="13">
        <v>45252</v>
      </c>
      <c r="R72" s="13">
        <v>306446</v>
      </c>
      <c r="S72" s="13">
        <v>197728</v>
      </c>
      <c r="T72" s="13">
        <v>54153</v>
      </c>
      <c r="U72" s="13">
        <v>67979</v>
      </c>
      <c r="V72" s="13">
        <v>36981</v>
      </c>
      <c r="W72" s="13">
        <v>44639</v>
      </c>
    </row>
    <row r="73" spans="1:23" x14ac:dyDescent="0.25">
      <c r="A73" s="13" t="s">
        <v>105</v>
      </c>
      <c r="B73" s="13">
        <v>11747</v>
      </c>
      <c r="C73" s="13">
        <v>60913</v>
      </c>
      <c r="D73" s="13">
        <v>2294</v>
      </c>
      <c r="E73" s="13">
        <v>34300</v>
      </c>
      <c r="F73" s="13">
        <v>5917</v>
      </c>
      <c r="G73" s="13">
        <v>18466</v>
      </c>
      <c r="H73" s="13">
        <v>183231</v>
      </c>
      <c r="I73" s="13">
        <v>23330</v>
      </c>
      <c r="J73" s="13">
        <v>8902</v>
      </c>
      <c r="K73" s="13">
        <v>11457</v>
      </c>
      <c r="L73" s="13">
        <v>35337</v>
      </c>
      <c r="M73" s="13">
        <v>27956</v>
      </c>
      <c r="N73" s="13">
        <v>38879</v>
      </c>
      <c r="O73" s="13">
        <v>38559</v>
      </c>
      <c r="P73" s="13">
        <v>256396</v>
      </c>
      <c r="Q73" s="13">
        <v>46492</v>
      </c>
      <c r="R73" s="13">
        <v>303424</v>
      </c>
      <c r="S73" s="13">
        <v>205695</v>
      </c>
      <c r="T73" s="13">
        <v>55968</v>
      </c>
      <c r="U73" s="13">
        <v>67447</v>
      </c>
      <c r="V73" s="13">
        <v>37710</v>
      </c>
      <c r="W73" s="13">
        <v>48142</v>
      </c>
    </row>
    <row r="74" spans="1:23" x14ac:dyDescent="0.25">
      <c r="A74" s="13" t="s">
        <v>106</v>
      </c>
      <c r="B74" s="13">
        <v>19726</v>
      </c>
      <c r="C74" s="13">
        <v>57345</v>
      </c>
      <c r="D74" s="13">
        <v>2045</v>
      </c>
      <c r="E74" s="13">
        <v>31873</v>
      </c>
      <c r="F74" s="13">
        <v>5999</v>
      </c>
      <c r="G74" s="13">
        <v>17972</v>
      </c>
      <c r="H74" s="13">
        <v>175832</v>
      </c>
      <c r="I74" s="13">
        <v>21804</v>
      </c>
      <c r="J74" s="13">
        <v>8265</v>
      </c>
      <c r="K74" s="13">
        <v>10523</v>
      </c>
      <c r="L74" s="13">
        <v>33949</v>
      </c>
      <c r="M74" s="13">
        <v>28681</v>
      </c>
      <c r="N74" s="13">
        <v>35724</v>
      </c>
      <c r="O74" s="13">
        <v>38853</v>
      </c>
      <c r="P74" s="13">
        <v>251470</v>
      </c>
      <c r="Q74" s="13">
        <v>43904</v>
      </c>
      <c r="R74" s="13">
        <v>295866</v>
      </c>
      <c r="S74" s="13">
        <v>196075</v>
      </c>
      <c r="T74" s="13">
        <v>52447</v>
      </c>
      <c r="U74" s="13">
        <v>65664</v>
      </c>
      <c r="V74" s="13">
        <v>30834</v>
      </c>
      <c r="W74" s="13">
        <v>45413</v>
      </c>
    </row>
    <row r="75" spans="1:23" x14ac:dyDescent="0.25">
      <c r="A75" s="13" t="s">
        <v>107</v>
      </c>
      <c r="B75" s="13">
        <v>19464</v>
      </c>
      <c r="C75" s="13">
        <v>61964</v>
      </c>
      <c r="D75" s="13">
        <v>2149</v>
      </c>
      <c r="E75" s="13">
        <v>35162</v>
      </c>
      <c r="F75" s="13">
        <v>6152</v>
      </c>
      <c r="G75" s="13">
        <v>19387</v>
      </c>
      <c r="H75" s="13">
        <v>181544</v>
      </c>
      <c r="I75" s="13">
        <v>23030</v>
      </c>
      <c r="J75" s="13">
        <v>8989</v>
      </c>
      <c r="K75" s="13">
        <v>10850</v>
      </c>
      <c r="L75" s="13">
        <v>35026</v>
      </c>
      <c r="M75" s="13">
        <v>28763</v>
      </c>
      <c r="N75" s="13">
        <v>36722</v>
      </c>
      <c r="O75" s="13">
        <v>39655</v>
      </c>
      <c r="P75" s="13">
        <v>261943</v>
      </c>
      <c r="Q75" s="13">
        <v>45933</v>
      </c>
      <c r="R75" s="13">
        <v>308389</v>
      </c>
      <c r="S75" s="13">
        <v>200152</v>
      </c>
      <c r="T75" s="13">
        <v>55113</v>
      </c>
      <c r="U75" s="13">
        <v>70868</v>
      </c>
      <c r="V75" s="13">
        <v>37514</v>
      </c>
      <c r="W75" s="13">
        <v>48451</v>
      </c>
    </row>
    <row r="76" spans="1:23" x14ac:dyDescent="0.25">
      <c r="A76" s="13" t="s">
        <v>108</v>
      </c>
      <c r="B76" s="13">
        <v>17265</v>
      </c>
      <c r="C76" s="13">
        <v>65039</v>
      </c>
      <c r="D76" s="13">
        <v>2248</v>
      </c>
      <c r="E76" s="13">
        <v>37331</v>
      </c>
      <c r="F76" s="13">
        <v>6238</v>
      </c>
      <c r="G76" s="13">
        <v>20194</v>
      </c>
      <c r="H76" s="13">
        <v>185153</v>
      </c>
      <c r="I76" s="13">
        <v>23908</v>
      </c>
      <c r="J76" s="13">
        <v>9269</v>
      </c>
      <c r="K76" s="13">
        <v>10846</v>
      </c>
      <c r="L76" s="13">
        <v>35087</v>
      </c>
      <c r="M76" s="13">
        <v>28862</v>
      </c>
      <c r="N76" s="13">
        <v>38048</v>
      </c>
      <c r="O76" s="13">
        <v>39895</v>
      </c>
      <c r="P76" s="13">
        <v>267136</v>
      </c>
      <c r="Q76" s="13">
        <v>47239</v>
      </c>
      <c r="R76" s="13">
        <v>314900</v>
      </c>
      <c r="S76" s="13">
        <v>204598</v>
      </c>
      <c r="T76" s="13">
        <v>55496</v>
      </c>
      <c r="U76" s="13">
        <v>72975</v>
      </c>
      <c r="V76" s="13">
        <v>37901</v>
      </c>
      <c r="W76" s="13">
        <v>49650</v>
      </c>
    </row>
    <row r="77" spans="1:23" x14ac:dyDescent="0.25">
      <c r="A77" s="13" t="s">
        <v>109</v>
      </c>
      <c r="B77" s="13">
        <v>12236</v>
      </c>
      <c r="C77" s="13">
        <v>62527</v>
      </c>
      <c r="D77" s="13">
        <v>2288</v>
      </c>
      <c r="E77" s="13">
        <v>35136</v>
      </c>
      <c r="F77" s="13">
        <v>6370</v>
      </c>
      <c r="G77" s="13">
        <v>19061</v>
      </c>
      <c r="H77" s="13">
        <v>187648</v>
      </c>
      <c r="I77" s="13">
        <v>24065</v>
      </c>
      <c r="J77" s="13">
        <v>9077</v>
      </c>
      <c r="K77" s="13">
        <v>11930</v>
      </c>
      <c r="L77" s="13">
        <v>35328</v>
      </c>
      <c r="M77" s="13">
        <v>29160</v>
      </c>
      <c r="N77" s="13">
        <v>39329</v>
      </c>
      <c r="O77" s="13">
        <v>39629</v>
      </c>
      <c r="P77" s="13">
        <v>262907</v>
      </c>
      <c r="Q77" s="13">
        <v>47670</v>
      </c>
      <c r="R77" s="13">
        <v>311097</v>
      </c>
      <c r="S77" s="13">
        <v>210895</v>
      </c>
      <c r="T77" s="13">
        <v>57330</v>
      </c>
      <c r="U77" s="13">
        <v>70437</v>
      </c>
      <c r="V77" s="13">
        <v>38927</v>
      </c>
      <c r="W77" s="13">
        <v>49277</v>
      </c>
    </row>
    <row r="78" spans="1:23" x14ac:dyDescent="0.25">
      <c r="A78" s="13" t="s">
        <v>110</v>
      </c>
      <c r="B78" s="13">
        <v>21086</v>
      </c>
      <c r="C78" s="13">
        <v>59574</v>
      </c>
      <c r="D78" s="13">
        <v>2176</v>
      </c>
      <c r="E78" s="13">
        <v>32066</v>
      </c>
      <c r="F78" s="13">
        <v>6314</v>
      </c>
      <c r="G78" s="13">
        <v>19443</v>
      </c>
      <c r="H78" s="13">
        <v>180768</v>
      </c>
      <c r="I78" s="13">
        <v>22754</v>
      </c>
      <c r="J78" s="13">
        <v>8680</v>
      </c>
      <c r="K78" s="13">
        <v>11228</v>
      </c>
      <c r="L78" s="13">
        <v>34481</v>
      </c>
      <c r="M78" s="13">
        <v>29128</v>
      </c>
      <c r="N78" s="13">
        <v>37107</v>
      </c>
      <c r="O78" s="13">
        <v>38948</v>
      </c>
      <c r="P78" s="13">
        <v>259973</v>
      </c>
      <c r="Q78" s="13">
        <v>45635</v>
      </c>
      <c r="R78" s="13">
        <v>306130</v>
      </c>
      <c r="S78" s="13">
        <v>203075</v>
      </c>
      <c r="T78" s="13">
        <v>53515</v>
      </c>
      <c r="U78" s="13">
        <v>68397</v>
      </c>
      <c r="V78" s="13">
        <v>31577</v>
      </c>
      <c r="W78" s="13">
        <v>45383</v>
      </c>
    </row>
    <row r="79" spans="1:23" x14ac:dyDescent="0.25">
      <c r="A79" s="13" t="s">
        <v>111</v>
      </c>
      <c r="B79" s="13">
        <v>19500</v>
      </c>
      <c r="C79" s="13">
        <v>59772</v>
      </c>
      <c r="D79" s="13">
        <v>2317</v>
      </c>
      <c r="E79" s="13">
        <v>32457</v>
      </c>
      <c r="F79" s="13">
        <v>5937</v>
      </c>
      <c r="G79" s="13">
        <v>18832</v>
      </c>
      <c r="H79" s="13">
        <v>182746</v>
      </c>
      <c r="I79" s="13">
        <v>22676</v>
      </c>
      <c r="J79" s="13">
        <v>8815</v>
      </c>
      <c r="K79" s="13">
        <v>11445</v>
      </c>
      <c r="L79" s="13">
        <v>34421</v>
      </c>
      <c r="M79" s="13">
        <v>28934</v>
      </c>
      <c r="N79" s="13">
        <v>37898</v>
      </c>
      <c r="O79" s="13">
        <v>39871</v>
      </c>
      <c r="P79" s="13">
        <v>260886</v>
      </c>
      <c r="Q79" s="13">
        <v>45632</v>
      </c>
      <c r="R79" s="13">
        <v>307046</v>
      </c>
      <c r="S79" s="13">
        <v>203224</v>
      </c>
      <c r="T79" s="13">
        <v>55795</v>
      </c>
      <c r="U79" s="13">
        <v>66335</v>
      </c>
      <c r="V79" s="13">
        <v>37153</v>
      </c>
      <c r="W79" s="13">
        <v>46409</v>
      </c>
    </row>
    <row r="80" spans="1:23" x14ac:dyDescent="0.25">
      <c r="A80" s="13" t="s">
        <v>112</v>
      </c>
      <c r="B80" s="13">
        <v>17447</v>
      </c>
      <c r="C80" s="13">
        <v>62729</v>
      </c>
      <c r="D80" s="13">
        <v>2486</v>
      </c>
      <c r="E80" s="13">
        <v>35424</v>
      </c>
      <c r="F80" s="13">
        <v>5867</v>
      </c>
      <c r="G80" s="13">
        <v>18376</v>
      </c>
      <c r="H80" s="13">
        <v>185876</v>
      </c>
      <c r="I80" s="13">
        <v>23760</v>
      </c>
      <c r="J80" s="13">
        <v>9391</v>
      </c>
      <c r="K80" s="13">
        <v>11549</v>
      </c>
      <c r="L80" s="13">
        <v>34413</v>
      </c>
      <c r="M80" s="13">
        <v>28914</v>
      </c>
      <c r="N80" s="13">
        <v>38494</v>
      </c>
      <c r="O80" s="13">
        <v>39833</v>
      </c>
      <c r="P80" s="13">
        <v>265471</v>
      </c>
      <c r="Q80" s="13">
        <v>46893</v>
      </c>
      <c r="R80" s="13">
        <v>312889</v>
      </c>
      <c r="S80" s="13">
        <v>206858</v>
      </c>
      <c r="T80" s="13">
        <v>56071</v>
      </c>
      <c r="U80" s="13">
        <v>67540</v>
      </c>
      <c r="V80" s="13">
        <v>39448</v>
      </c>
      <c r="W80" s="13">
        <v>49971</v>
      </c>
    </row>
    <row r="81" spans="1:23" x14ac:dyDescent="0.25">
      <c r="A81" s="13" t="s">
        <v>113</v>
      </c>
      <c r="B81" s="13">
        <v>12575</v>
      </c>
      <c r="C81" s="13">
        <v>61077</v>
      </c>
      <c r="D81" s="13">
        <v>2541</v>
      </c>
      <c r="E81" s="13">
        <v>33016</v>
      </c>
      <c r="F81" s="13">
        <v>6159</v>
      </c>
      <c r="G81" s="13">
        <v>18322</v>
      </c>
      <c r="H81" s="13">
        <v>187983</v>
      </c>
      <c r="I81" s="13">
        <v>24132</v>
      </c>
      <c r="J81" s="13">
        <v>9246</v>
      </c>
      <c r="K81" s="13">
        <v>12250</v>
      </c>
      <c r="L81" s="13">
        <v>35289</v>
      </c>
      <c r="M81" s="13">
        <v>29338</v>
      </c>
      <c r="N81" s="13">
        <v>39119</v>
      </c>
      <c r="O81" s="13">
        <v>39535</v>
      </c>
      <c r="P81" s="13">
        <v>261936</v>
      </c>
      <c r="Q81" s="13">
        <v>47982</v>
      </c>
      <c r="R81" s="13">
        <v>310387</v>
      </c>
      <c r="S81" s="13">
        <v>216830</v>
      </c>
      <c r="T81" s="13">
        <v>56796</v>
      </c>
      <c r="U81" s="13">
        <v>65847</v>
      </c>
      <c r="V81" s="13">
        <v>34720</v>
      </c>
      <c r="W81" s="13">
        <v>46648</v>
      </c>
    </row>
    <row r="82" spans="1:23" x14ac:dyDescent="0.25">
      <c r="A82" s="13" t="s">
        <v>114</v>
      </c>
      <c r="B82" s="13">
        <v>22591</v>
      </c>
      <c r="C82" s="13">
        <v>57106</v>
      </c>
      <c r="D82" s="13">
        <v>2457</v>
      </c>
      <c r="E82" s="13">
        <v>30067</v>
      </c>
      <c r="F82" s="13">
        <v>5997</v>
      </c>
      <c r="G82" s="13">
        <v>17557</v>
      </c>
      <c r="H82" s="13">
        <v>178583</v>
      </c>
      <c r="I82" s="13">
        <v>21838</v>
      </c>
      <c r="J82" s="13">
        <v>8483</v>
      </c>
      <c r="K82" s="13">
        <v>11556</v>
      </c>
      <c r="L82" s="13">
        <v>34219</v>
      </c>
      <c r="M82" s="13">
        <v>29086</v>
      </c>
      <c r="N82" s="13">
        <v>36394</v>
      </c>
      <c r="O82" s="13">
        <v>39128</v>
      </c>
      <c r="P82" s="13">
        <v>256146</v>
      </c>
      <c r="Q82" s="13">
        <v>44452</v>
      </c>
      <c r="R82" s="13">
        <v>301174</v>
      </c>
      <c r="S82" s="13">
        <v>201798</v>
      </c>
      <c r="T82" s="13">
        <v>53312</v>
      </c>
      <c r="U82" s="13">
        <v>61943</v>
      </c>
      <c r="V82" s="13">
        <v>32882</v>
      </c>
      <c r="W82" s="13">
        <v>42971</v>
      </c>
    </row>
    <row r="83" spans="1:23" x14ac:dyDescent="0.25">
      <c r="A83" s="13" t="s">
        <v>115</v>
      </c>
      <c r="B83" s="13">
        <v>20376</v>
      </c>
      <c r="C83" s="13">
        <v>56924</v>
      </c>
      <c r="D83" s="13">
        <v>2518</v>
      </c>
      <c r="E83" s="13">
        <v>30377</v>
      </c>
      <c r="F83" s="13">
        <v>5890</v>
      </c>
      <c r="G83" s="13">
        <v>16811</v>
      </c>
      <c r="H83" s="13">
        <v>178695</v>
      </c>
      <c r="I83" s="13">
        <v>21407</v>
      </c>
      <c r="J83" s="13">
        <v>8535</v>
      </c>
      <c r="K83" s="13">
        <v>11351</v>
      </c>
      <c r="L83" s="13">
        <v>34032</v>
      </c>
      <c r="M83" s="13">
        <v>28826</v>
      </c>
      <c r="N83" s="13">
        <v>36777</v>
      </c>
      <c r="O83" s="13">
        <v>39780</v>
      </c>
      <c r="P83" s="13">
        <v>254421</v>
      </c>
      <c r="Q83" s="13">
        <v>43600</v>
      </c>
      <c r="R83" s="13">
        <v>298633</v>
      </c>
      <c r="S83" s="13">
        <v>198799</v>
      </c>
      <c r="T83" s="13">
        <v>54886</v>
      </c>
      <c r="U83" s="13">
        <v>58206</v>
      </c>
      <c r="V83" s="13">
        <v>40424</v>
      </c>
      <c r="W83" s="13">
        <v>41258</v>
      </c>
    </row>
    <row r="84" spans="1:23" x14ac:dyDescent="0.25">
      <c r="A84" s="13" t="s">
        <v>116</v>
      </c>
      <c r="B84" s="13">
        <v>17409</v>
      </c>
      <c r="C84" s="13">
        <v>59122</v>
      </c>
      <c r="D84" s="13">
        <v>2612</v>
      </c>
      <c r="E84" s="13">
        <v>31940</v>
      </c>
      <c r="F84" s="13">
        <v>6031</v>
      </c>
      <c r="G84" s="13">
        <v>17129</v>
      </c>
      <c r="H84" s="13">
        <v>179563</v>
      </c>
      <c r="I84" s="13">
        <v>21760</v>
      </c>
      <c r="J84" s="13">
        <v>8931</v>
      </c>
      <c r="K84" s="13">
        <v>11312</v>
      </c>
      <c r="L84" s="13">
        <v>33910</v>
      </c>
      <c r="M84" s="13">
        <v>28843</v>
      </c>
      <c r="N84" s="13">
        <v>36504</v>
      </c>
      <c r="O84" s="13">
        <v>39977</v>
      </c>
      <c r="P84" s="13">
        <v>255339</v>
      </c>
      <c r="Q84" s="13">
        <v>43585</v>
      </c>
      <c r="R84" s="13">
        <v>299551</v>
      </c>
      <c r="S84" s="13">
        <v>198758</v>
      </c>
      <c r="T84" s="13">
        <v>55073</v>
      </c>
      <c r="U84" s="13">
        <v>57462</v>
      </c>
      <c r="V84" s="13">
        <v>40290</v>
      </c>
      <c r="W84" s="13">
        <v>40059</v>
      </c>
    </row>
    <row r="85" spans="1:23" x14ac:dyDescent="0.25">
      <c r="A85" s="13" t="s">
        <v>117</v>
      </c>
      <c r="B85" s="13">
        <v>12572</v>
      </c>
      <c r="C85" s="13">
        <v>55991</v>
      </c>
      <c r="D85" s="13">
        <v>2477</v>
      </c>
      <c r="E85" s="13">
        <v>29299</v>
      </c>
      <c r="F85" s="13">
        <v>6264</v>
      </c>
      <c r="G85" s="13">
        <v>16726</v>
      </c>
      <c r="H85" s="13">
        <v>180374</v>
      </c>
      <c r="I85" s="13">
        <v>21502</v>
      </c>
      <c r="J85" s="13">
        <v>8620</v>
      </c>
      <c r="K85" s="13">
        <v>11815</v>
      </c>
      <c r="L85" s="13">
        <v>34768</v>
      </c>
      <c r="M85" s="13">
        <v>29116</v>
      </c>
      <c r="N85" s="13">
        <v>37267</v>
      </c>
      <c r="O85" s="13">
        <v>39686</v>
      </c>
      <c r="P85" s="13">
        <v>249338</v>
      </c>
      <c r="Q85" s="13">
        <v>43361</v>
      </c>
      <c r="R85" s="13">
        <v>293252</v>
      </c>
      <c r="S85" s="13">
        <v>203935</v>
      </c>
      <c r="T85" s="13">
        <v>55715</v>
      </c>
      <c r="U85" s="13">
        <v>53115</v>
      </c>
      <c r="V85" s="13">
        <v>39046</v>
      </c>
      <c r="W85" s="13">
        <v>37386</v>
      </c>
    </row>
    <row r="86" spans="1:23" x14ac:dyDescent="0.25">
      <c r="A86" s="13" t="s">
        <v>118</v>
      </c>
      <c r="B86" s="13">
        <v>20865</v>
      </c>
      <c r="C86" s="13">
        <v>52862</v>
      </c>
      <c r="D86" s="13">
        <v>2279</v>
      </c>
      <c r="E86" s="13">
        <v>27216</v>
      </c>
      <c r="F86" s="13">
        <v>6376</v>
      </c>
      <c r="G86" s="13">
        <v>15932</v>
      </c>
      <c r="H86" s="13">
        <v>172842</v>
      </c>
      <c r="I86" s="13">
        <v>19566</v>
      </c>
      <c r="J86" s="13">
        <v>7970</v>
      </c>
      <c r="K86" s="13">
        <v>11087</v>
      </c>
      <c r="L86" s="13">
        <v>33429</v>
      </c>
      <c r="M86" s="13">
        <v>29067</v>
      </c>
      <c r="N86" s="13">
        <v>35500</v>
      </c>
      <c r="O86" s="13">
        <v>39276</v>
      </c>
      <c r="P86" s="13">
        <v>244608</v>
      </c>
      <c r="Q86" s="13">
        <v>40437</v>
      </c>
      <c r="R86" s="13">
        <v>285693</v>
      </c>
      <c r="S86" s="13">
        <v>190463</v>
      </c>
      <c r="T86" s="13">
        <v>53236</v>
      </c>
      <c r="U86" s="13">
        <v>50336</v>
      </c>
      <c r="V86" s="13">
        <v>36873</v>
      </c>
      <c r="W86" s="13">
        <v>33649</v>
      </c>
    </row>
    <row r="87" spans="1:23" x14ac:dyDescent="0.25">
      <c r="A87" s="13" t="s">
        <v>119</v>
      </c>
      <c r="B87" s="13">
        <v>19295</v>
      </c>
      <c r="C87" s="13">
        <v>54704</v>
      </c>
      <c r="D87" s="13">
        <v>2418</v>
      </c>
      <c r="E87" s="13">
        <v>29023</v>
      </c>
      <c r="F87" s="13">
        <v>6500</v>
      </c>
      <c r="G87" s="13">
        <v>15425</v>
      </c>
      <c r="H87" s="13">
        <v>174852</v>
      </c>
      <c r="I87" s="13">
        <v>19879</v>
      </c>
      <c r="J87" s="13">
        <v>8173</v>
      </c>
      <c r="K87" s="13">
        <v>11129</v>
      </c>
      <c r="L87" s="13">
        <v>32966</v>
      </c>
      <c r="M87" s="13">
        <v>28954</v>
      </c>
      <c r="N87" s="13">
        <v>36079</v>
      </c>
      <c r="O87" s="13">
        <v>40113</v>
      </c>
      <c r="P87" s="13">
        <v>247408</v>
      </c>
      <c r="Q87" s="13">
        <v>40956</v>
      </c>
      <c r="R87" s="13">
        <v>289017</v>
      </c>
      <c r="S87" s="13">
        <v>189887</v>
      </c>
      <c r="T87" s="13">
        <v>55178</v>
      </c>
      <c r="U87" s="13">
        <v>51973</v>
      </c>
      <c r="V87" s="13">
        <v>41485</v>
      </c>
      <c r="W87" s="13">
        <v>36864</v>
      </c>
    </row>
    <row r="88" spans="1:23" x14ac:dyDescent="0.25">
      <c r="A88" s="13" t="s">
        <v>120</v>
      </c>
      <c r="B88" s="13">
        <v>16640</v>
      </c>
      <c r="C88" s="13">
        <v>57090</v>
      </c>
      <c r="D88" s="13">
        <v>2625</v>
      </c>
      <c r="E88" s="13">
        <v>31047</v>
      </c>
      <c r="F88" s="13">
        <v>6378</v>
      </c>
      <c r="G88" s="13">
        <v>15414</v>
      </c>
      <c r="H88" s="13">
        <v>176645</v>
      </c>
      <c r="I88" s="13">
        <v>20654</v>
      </c>
      <c r="J88" s="13">
        <v>8386</v>
      </c>
      <c r="K88" s="13">
        <v>11328</v>
      </c>
      <c r="L88" s="13">
        <v>32504</v>
      </c>
      <c r="M88" s="13">
        <v>28846</v>
      </c>
      <c r="N88" s="13">
        <v>36503</v>
      </c>
      <c r="O88" s="13">
        <v>40140</v>
      </c>
      <c r="P88" s="13">
        <v>249772</v>
      </c>
      <c r="Q88" s="13">
        <v>41788</v>
      </c>
      <c r="R88" s="13">
        <v>292200</v>
      </c>
      <c r="S88" s="13">
        <v>193066</v>
      </c>
      <c r="T88" s="13">
        <v>55051</v>
      </c>
      <c r="U88" s="13">
        <v>51376</v>
      </c>
      <c r="V88" s="13">
        <v>39883</v>
      </c>
      <c r="W88" s="13">
        <v>37277</v>
      </c>
    </row>
    <row r="89" spans="1:23" x14ac:dyDescent="0.25">
      <c r="A89" s="13" t="s">
        <v>121</v>
      </c>
      <c r="B89" s="13">
        <v>12338</v>
      </c>
      <c r="C89" s="13">
        <v>54023</v>
      </c>
      <c r="D89" s="13">
        <v>2618</v>
      </c>
      <c r="E89" s="13">
        <v>28596</v>
      </c>
      <c r="F89" s="13">
        <v>6494</v>
      </c>
      <c r="G89" s="13">
        <v>14640</v>
      </c>
      <c r="H89" s="13">
        <v>176945</v>
      </c>
      <c r="I89" s="13">
        <v>20675</v>
      </c>
      <c r="J89" s="13">
        <v>8109</v>
      </c>
      <c r="K89" s="13">
        <v>11552</v>
      </c>
      <c r="L89" s="13">
        <v>33352</v>
      </c>
      <c r="M89" s="13">
        <v>29198</v>
      </c>
      <c r="N89" s="13">
        <v>36902</v>
      </c>
      <c r="O89" s="13">
        <v>39448</v>
      </c>
      <c r="P89" s="13">
        <v>244013</v>
      </c>
      <c r="Q89" s="13">
        <v>42049</v>
      </c>
      <c r="R89" s="13">
        <v>286632</v>
      </c>
      <c r="S89" s="13">
        <v>199051</v>
      </c>
      <c r="T89" s="13">
        <v>55982</v>
      </c>
      <c r="U89" s="13">
        <v>49054</v>
      </c>
      <c r="V89" s="13">
        <v>35718</v>
      </c>
      <c r="W89" s="13">
        <v>37163</v>
      </c>
    </row>
    <row r="90" spans="1:23" x14ac:dyDescent="0.25">
      <c r="A90" s="13" t="s">
        <v>122</v>
      </c>
      <c r="B90" s="13">
        <v>25121</v>
      </c>
      <c r="C90" s="13">
        <v>51843</v>
      </c>
      <c r="D90" s="13">
        <v>2491</v>
      </c>
      <c r="E90" s="13">
        <v>27238</v>
      </c>
      <c r="F90" s="13">
        <v>6642</v>
      </c>
      <c r="G90" s="13">
        <v>14026</v>
      </c>
      <c r="H90" s="13">
        <v>170741</v>
      </c>
      <c r="I90" s="13">
        <v>19218</v>
      </c>
      <c r="J90" s="13">
        <v>7848</v>
      </c>
      <c r="K90" s="13">
        <v>11206</v>
      </c>
      <c r="L90" s="13">
        <v>32086</v>
      </c>
      <c r="M90" s="13">
        <v>28935</v>
      </c>
      <c r="N90" s="13">
        <v>35042</v>
      </c>
      <c r="O90" s="13">
        <v>39155</v>
      </c>
      <c r="P90" s="13">
        <v>245360</v>
      </c>
      <c r="Q90" s="13">
        <v>40504</v>
      </c>
      <c r="R90" s="13">
        <v>286523</v>
      </c>
      <c r="S90" s="13">
        <v>189446</v>
      </c>
      <c r="T90" s="13">
        <v>52399</v>
      </c>
      <c r="U90" s="13">
        <v>47670</v>
      </c>
      <c r="V90" s="13">
        <v>37438</v>
      </c>
      <c r="W90" s="13">
        <v>37474</v>
      </c>
    </row>
    <row r="91" spans="1:23" x14ac:dyDescent="0.25">
      <c r="A91" s="13" t="s">
        <v>123</v>
      </c>
      <c r="B91" s="13">
        <v>22401</v>
      </c>
      <c r="C91" s="13">
        <v>53458</v>
      </c>
      <c r="D91" s="13">
        <v>2587</v>
      </c>
      <c r="E91" s="13">
        <v>29056</v>
      </c>
      <c r="F91" s="13">
        <v>6454</v>
      </c>
      <c r="G91" s="13">
        <v>13669</v>
      </c>
      <c r="H91" s="13">
        <v>175362</v>
      </c>
      <c r="I91" s="13">
        <v>20138</v>
      </c>
      <c r="J91" s="13">
        <v>8125</v>
      </c>
      <c r="K91" s="13">
        <v>11167</v>
      </c>
      <c r="L91" s="13">
        <v>32468</v>
      </c>
      <c r="M91" s="13">
        <v>29265</v>
      </c>
      <c r="N91" s="13">
        <v>36320</v>
      </c>
      <c r="O91" s="13">
        <v>40031</v>
      </c>
      <c r="P91" s="13">
        <v>249461</v>
      </c>
      <c r="Q91" s="13">
        <v>41183</v>
      </c>
      <c r="R91" s="13">
        <v>291313</v>
      </c>
      <c r="S91" s="13">
        <v>192844</v>
      </c>
      <c r="T91" s="13">
        <v>54671</v>
      </c>
      <c r="U91" s="13">
        <v>47999</v>
      </c>
      <c r="V91" s="13">
        <v>42341</v>
      </c>
      <c r="W91" s="13">
        <v>36409</v>
      </c>
    </row>
    <row r="92" spans="1:23" x14ac:dyDescent="0.25">
      <c r="A92" s="13" t="s">
        <v>124</v>
      </c>
      <c r="B92" s="13">
        <v>18374</v>
      </c>
      <c r="C92" s="13">
        <v>56881</v>
      </c>
      <c r="D92" s="13">
        <v>2701</v>
      </c>
      <c r="E92" s="13">
        <v>31899</v>
      </c>
      <c r="F92" s="13">
        <v>6376</v>
      </c>
      <c r="G92" s="13">
        <v>13942</v>
      </c>
      <c r="H92" s="13">
        <v>179269</v>
      </c>
      <c r="I92" s="13">
        <v>21563</v>
      </c>
      <c r="J92" s="13">
        <v>8561</v>
      </c>
      <c r="K92" s="13">
        <v>11296</v>
      </c>
      <c r="L92" s="13">
        <v>32326</v>
      </c>
      <c r="M92" s="13">
        <v>29533</v>
      </c>
      <c r="N92" s="13">
        <v>37008</v>
      </c>
      <c r="O92" s="13">
        <v>40164</v>
      </c>
      <c r="P92" s="13">
        <v>253505</v>
      </c>
      <c r="Q92" s="13">
        <v>42862</v>
      </c>
      <c r="R92" s="13">
        <v>296992</v>
      </c>
      <c r="S92" s="13">
        <v>199077</v>
      </c>
      <c r="T92" s="13">
        <v>54625</v>
      </c>
      <c r="U92" s="13">
        <v>50890</v>
      </c>
      <c r="V92" s="13">
        <v>42842</v>
      </c>
      <c r="W92" s="13">
        <v>40066</v>
      </c>
    </row>
    <row r="93" spans="1:23" x14ac:dyDescent="0.25">
      <c r="A93" s="13" t="s">
        <v>125</v>
      </c>
      <c r="B93" s="13">
        <v>13025</v>
      </c>
      <c r="C93" s="13">
        <v>55402</v>
      </c>
      <c r="D93" s="13">
        <v>2651</v>
      </c>
      <c r="E93" s="13">
        <v>30365</v>
      </c>
      <c r="F93" s="13">
        <v>6513</v>
      </c>
      <c r="G93" s="13">
        <v>14096</v>
      </c>
      <c r="H93" s="13">
        <v>181280</v>
      </c>
      <c r="I93" s="13">
        <v>21725</v>
      </c>
      <c r="J93" s="13">
        <v>8423</v>
      </c>
      <c r="K93" s="13">
        <v>12058</v>
      </c>
      <c r="L93" s="13">
        <v>33856</v>
      </c>
      <c r="M93" s="13">
        <v>29873</v>
      </c>
      <c r="N93" s="13">
        <v>37599</v>
      </c>
      <c r="O93" s="13">
        <v>39758</v>
      </c>
      <c r="P93" s="13">
        <v>249839</v>
      </c>
      <c r="Q93" s="13">
        <v>43591</v>
      </c>
      <c r="R93" s="13">
        <v>293973</v>
      </c>
      <c r="S93" s="13">
        <v>206379</v>
      </c>
      <c r="T93" s="13">
        <v>56280</v>
      </c>
      <c r="U93" s="13">
        <v>50995</v>
      </c>
      <c r="V93" s="13">
        <v>38896</v>
      </c>
      <c r="W93" s="13">
        <v>40739</v>
      </c>
    </row>
    <row r="94" spans="1:23" x14ac:dyDescent="0.25">
      <c r="A94" s="13" t="s">
        <v>126</v>
      </c>
      <c r="B94" s="13">
        <v>24443</v>
      </c>
      <c r="C94" s="13">
        <v>52528</v>
      </c>
      <c r="D94" s="13">
        <v>2469</v>
      </c>
      <c r="E94" s="13">
        <v>28351</v>
      </c>
      <c r="F94" s="13">
        <v>6764</v>
      </c>
      <c r="G94" s="13">
        <v>13248</v>
      </c>
      <c r="H94" s="13">
        <v>175308</v>
      </c>
      <c r="I94" s="13">
        <v>20368</v>
      </c>
      <c r="J94" s="13">
        <v>8081</v>
      </c>
      <c r="K94" s="13">
        <v>11152</v>
      </c>
      <c r="L94" s="13">
        <v>32395</v>
      </c>
      <c r="M94" s="13">
        <v>29787</v>
      </c>
      <c r="N94" s="13">
        <v>36214</v>
      </c>
      <c r="O94" s="13">
        <v>39464</v>
      </c>
      <c r="P94" s="13">
        <v>249508</v>
      </c>
      <c r="Q94" s="13">
        <v>41740</v>
      </c>
      <c r="R94" s="13">
        <v>291882</v>
      </c>
      <c r="S94" s="13">
        <v>196324</v>
      </c>
      <c r="T94" s="13">
        <v>52911</v>
      </c>
      <c r="U94" s="13">
        <v>49273</v>
      </c>
      <c r="V94" s="13">
        <v>39328</v>
      </c>
      <c r="W94" s="13">
        <v>40245</v>
      </c>
    </row>
    <row r="95" spans="1:23" x14ac:dyDescent="0.25">
      <c r="A95" s="13" t="s">
        <v>127</v>
      </c>
      <c r="B95" s="13">
        <v>22572</v>
      </c>
      <c r="C95" s="13">
        <v>54083</v>
      </c>
      <c r="D95" s="13">
        <v>2620</v>
      </c>
      <c r="E95" s="13">
        <v>29616</v>
      </c>
      <c r="F95" s="13">
        <v>6720</v>
      </c>
      <c r="G95" s="13">
        <v>13241</v>
      </c>
      <c r="H95" s="13">
        <v>178839</v>
      </c>
      <c r="I95" s="13">
        <v>20633</v>
      </c>
      <c r="J95" s="13">
        <v>8229</v>
      </c>
      <c r="K95" s="13">
        <v>11438</v>
      </c>
      <c r="L95" s="13">
        <v>32916</v>
      </c>
      <c r="M95" s="13">
        <v>30236</v>
      </c>
      <c r="N95" s="13">
        <v>37404</v>
      </c>
      <c r="O95" s="13">
        <v>40127</v>
      </c>
      <c r="P95" s="13">
        <v>253418</v>
      </c>
      <c r="Q95" s="13">
        <v>41858</v>
      </c>
      <c r="R95" s="13">
        <v>295940</v>
      </c>
      <c r="S95" s="13">
        <v>196917</v>
      </c>
      <c r="T95" s="13">
        <v>55338</v>
      </c>
      <c r="U95" s="13">
        <v>49900</v>
      </c>
      <c r="V95" s="13">
        <v>41298</v>
      </c>
      <c r="W95" s="13">
        <v>38465</v>
      </c>
    </row>
    <row r="96" spans="1:23" x14ac:dyDescent="0.25">
      <c r="A96" s="13" t="s">
        <v>128</v>
      </c>
      <c r="B96" s="13">
        <v>19261</v>
      </c>
      <c r="C96" s="13">
        <v>57456</v>
      </c>
      <c r="D96" s="13">
        <v>2703</v>
      </c>
      <c r="E96" s="13">
        <v>32385</v>
      </c>
      <c r="F96" s="13">
        <v>6527</v>
      </c>
      <c r="G96" s="13">
        <v>13814</v>
      </c>
      <c r="H96" s="13">
        <v>182991</v>
      </c>
      <c r="I96" s="13">
        <v>21959</v>
      </c>
      <c r="J96" s="13">
        <v>8804</v>
      </c>
      <c r="K96" s="13">
        <v>11567</v>
      </c>
      <c r="L96" s="13">
        <v>32957</v>
      </c>
      <c r="M96" s="13">
        <v>30573</v>
      </c>
      <c r="N96" s="13">
        <v>38313</v>
      </c>
      <c r="O96" s="13">
        <v>40088</v>
      </c>
      <c r="P96" s="13">
        <v>258762</v>
      </c>
      <c r="Q96" s="13">
        <v>43702</v>
      </c>
      <c r="R96" s="13">
        <v>303107</v>
      </c>
      <c r="S96" s="13">
        <v>202956</v>
      </c>
      <c r="T96" s="13">
        <v>55493</v>
      </c>
      <c r="U96" s="13">
        <v>55581</v>
      </c>
      <c r="V96" s="13">
        <v>43902</v>
      </c>
      <c r="W96" s="13">
        <v>45342</v>
      </c>
    </row>
    <row r="97" spans="1:23" x14ac:dyDescent="0.25">
      <c r="A97" s="13" t="s">
        <v>129</v>
      </c>
      <c r="B97" s="13">
        <v>13677</v>
      </c>
      <c r="C97" s="13">
        <v>55076</v>
      </c>
      <c r="D97" s="13">
        <v>2678</v>
      </c>
      <c r="E97" s="13">
        <v>29857</v>
      </c>
      <c r="F97" s="13">
        <v>6926</v>
      </c>
      <c r="G97" s="13">
        <v>13763</v>
      </c>
      <c r="H97" s="13">
        <v>184264</v>
      </c>
      <c r="I97" s="13">
        <v>21859</v>
      </c>
      <c r="J97" s="13">
        <v>8550</v>
      </c>
      <c r="K97" s="13">
        <v>12405</v>
      </c>
      <c r="L97" s="13">
        <v>33777</v>
      </c>
      <c r="M97" s="13">
        <v>30909</v>
      </c>
      <c r="N97" s="13">
        <v>39138</v>
      </c>
      <c r="O97" s="13">
        <v>39585</v>
      </c>
      <c r="P97" s="13">
        <v>254006</v>
      </c>
      <c r="Q97" s="13">
        <v>44126</v>
      </c>
      <c r="R97" s="13">
        <v>298720</v>
      </c>
      <c r="S97" s="13">
        <v>210185</v>
      </c>
      <c r="T97" s="13">
        <v>55950</v>
      </c>
      <c r="U97" s="13">
        <v>53136</v>
      </c>
      <c r="V97" s="13">
        <v>43536</v>
      </c>
      <c r="W97" s="13">
        <v>42614</v>
      </c>
    </row>
    <row r="98" spans="1:23" x14ac:dyDescent="0.25">
      <c r="A98" s="13" t="s">
        <v>130</v>
      </c>
      <c r="B98" s="13">
        <v>24620</v>
      </c>
      <c r="C98" s="13">
        <v>51742</v>
      </c>
      <c r="D98" s="13">
        <v>2226</v>
      </c>
      <c r="E98" s="13">
        <v>27961</v>
      </c>
      <c r="F98" s="13">
        <v>7106</v>
      </c>
      <c r="G98" s="13">
        <v>13126</v>
      </c>
      <c r="H98" s="13">
        <v>178435</v>
      </c>
      <c r="I98" s="13">
        <v>20491</v>
      </c>
      <c r="J98" s="13">
        <v>8151</v>
      </c>
      <c r="K98" s="13">
        <v>11685</v>
      </c>
      <c r="L98" s="13">
        <v>32748</v>
      </c>
      <c r="M98" s="13">
        <v>30719</v>
      </c>
      <c r="N98" s="13">
        <v>37624</v>
      </c>
      <c r="O98" s="13">
        <v>39362</v>
      </c>
      <c r="P98" s="13">
        <v>251903</v>
      </c>
      <c r="Q98" s="13">
        <v>42398</v>
      </c>
      <c r="R98" s="13">
        <v>294930</v>
      </c>
      <c r="S98" s="13">
        <v>201195</v>
      </c>
      <c r="T98" s="13">
        <v>52774</v>
      </c>
      <c r="U98" s="13">
        <v>50705</v>
      </c>
      <c r="V98" s="13">
        <v>38480</v>
      </c>
      <c r="W98" s="13">
        <v>39157</v>
      </c>
    </row>
    <row r="99" spans="1:23" x14ac:dyDescent="0.25">
      <c r="A99" s="13" t="s">
        <v>131</v>
      </c>
      <c r="B99" s="13">
        <v>22786</v>
      </c>
      <c r="C99" s="13">
        <v>53875</v>
      </c>
      <c r="D99" s="13">
        <v>2166</v>
      </c>
      <c r="E99" s="13">
        <v>29994</v>
      </c>
      <c r="F99" s="13">
        <v>6910</v>
      </c>
      <c r="G99" s="13">
        <v>13678</v>
      </c>
      <c r="H99" s="13">
        <v>181419</v>
      </c>
      <c r="I99" s="13">
        <v>21003</v>
      </c>
      <c r="J99" s="13">
        <v>8253</v>
      </c>
      <c r="K99" s="13">
        <v>11877</v>
      </c>
      <c r="L99" s="13">
        <v>32554</v>
      </c>
      <c r="M99" s="13">
        <v>31134</v>
      </c>
      <c r="N99" s="13">
        <v>38588</v>
      </c>
      <c r="O99" s="13">
        <v>39899</v>
      </c>
      <c r="P99" s="13">
        <v>255930</v>
      </c>
      <c r="Q99" s="13">
        <v>43201</v>
      </c>
      <c r="R99" s="13">
        <v>299768</v>
      </c>
      <c r="S99" s="13">
        <v>202072</v>
      </c>
      <c r="T99" s="13">
        <v>55138</v>
      </c>
      <c r="U99" s="13">
        <v>53565</v>
      </c>
      <c r="V99" s="13">
        <v>41525</v>
      </c>
      <c r="W99" s="13">
        <v>40376</v>
      </c>
    </row>
    <row r="100" spans="1:23" x14ac:dyDescent="0.25">
      <c r="A100" s="13" t="s">
        <v>132</v>
      </c>
      <c r="B100" s="13">
        <v>19422</v>
      </c>
      <c r="C100" s="13">
        <v>57046</v>
      </c>
      <c r="D100" s="13">
        <v>2549</v>
      </c>
      <c r="E100" s="13">
        <v>31763</v>
      </c>
      <c r="F100" s="13">
        <v>6701</v>
      </c>
      <c r="G100" s="13">
        <v>14474</v>
      </c>
      <c r="H100" s="13">
        <v>185156</v>
      </c>
      <c r="I100" s="13">
        <v>22438</v>
      </c>
      <c r="J100" s="13">
        <v>8717</v>
      </c>
      <c r="K100" s="13">
        <v>12103</v>
      </c>
      <c r="L100" s="13">
        <v>33366</v>
      </c>
      <c r="M100" s="13">
        <v>31252</v>
      </c>
      <c r="N100" s="13">
        <v>38984</v>
      </c>
      <c r="O100" s="13">
        <v>39720</v>
      </c>
      <c r="P100" s="13">
        <v>260780</v>
      </c>
      <c r="Q100" s="13">
        <v>45029</v>
      </c>
      <c r="R100" s="13">
        <v>306442</v>
      </c>
      <c r="S100" s="13">
        <v>208221</v>
      </c>
      <c r="T100" s="13">
        <v>54839</v>
      </c>
      <c r="U100" s="13">
        <v>58285</v>
      </c>
      <c r="V100" s="13">
        <v>42359</v>
      </c>
      <c r="W100" s="13">
        <v>46428</v>
      </c>
    </row>
    <row r="101" spans="1:23" x14ac:dyDescent="0.25">
      <c r="A101" s="13" t="s">
        <v>133</v>
      </c>
      <c r="B101" s="13">
        <v>13457</v>
      </c>
      <c r="C101" s="13">
        <v>55013</v>
      </c>
      <c r="D101" s="13">
        <v>2571</v>
      </c>
      <c r="E101" s="13">
        <v>29980</v>
      </c>
      <c r="F101" s="13">
        <v>6914</v>
      </c>
      <c r="G101" s="13">
        <v>13823</v>
      </c>
      <c r="H101" s="13">
        <v>187300</v>
      </c>
      <c r="I101" s="13">
        <v>22272</v>
      </c>
      <c r="J101" s="13">
        <v>8563</v>
      </c>
      <c r="K101" s="13">
        <v>12974</v>
      </c>
      <c r="L101" s="13">
        <v>34799</v>
      </c>
      <c r="M101" s="13">
        <v>31357</v>
      </c>
      <c r="N101" s="13">
        <v>40047</v>
      </c>
      <c r="O101" s="13">
        <v>39606</v>
      </c>
      <c r="P101" s="13">
        <v>257023</v>
      </c>
      <c r="Q101" s="13">
        <v>45401</v>
      </c>
      <c r="R101" s="13">
        <v>303032</v>
      </c>
      <c r="S101" s="13">
        <v>215822</v>
      </c>
      <c r="T101" s="13">
        <v>55871</v>
      </c>
      <c r="U101" s="13">
        <v>53705</v>
      </c>
      <c r="V101" s="13">
        <v>41395</v>
      </c>
      <c r="W101" s="13">
        <v>42927</v>
      </c>
    </row>
    <row r="102" spans="1:23" x14ac:dyDescent="0.25">
      <c r="A102" s="13" t="s">
        <v>134</v>
      </c>
      <c r="B102" s="13">
        <v>26107</v>
      </c>
      <c r="C102" s="13">
        <v>51223</v>
      </c>
      <c r="D102" s="13">
        <v>2326</v>
      </c>
      <c r="E102" s="13">
        <v>27579</v>
      </c>
      <c r="F102" s="13">
        <v>6855</v>
      </c>
      <c r="G102" s="13">
        <v>12884</v>
      </c>
      <c r="H102" s="13">
        <v>177848</v>
      </c>
      <c r="I102" s="13">
        <v>20584</v>
      </c>
      <c r="J102" s="13">
        <v>8119</v>
      </c>
      <c r="K102" s="13">
        <v>11998</v>
      </c>
      <c r="L102" s="13">
        <v>33161</v>
      </c>
      <c r="M102" s="13">
        <v>31412</v>
      </c>
      <c r="N102" s="13">
        <v>36254</v>
      </c>
      <c r="O102" s="13">
        <v>39269</v>
      </c>
      <c r="P102" s="13">
        <v>251526</v>
      </c>
      <c r="Q102" s="13">
        <v>42385</v>
      </c>
      <c r="R102" s="13">
        <v>294560</v>
      </c>
      <c r="S102" s="13">
        <v>200174</v>
      </c>
      <c r="T102" s="13">
        <v>52427</v>
      </c>
      <c r="U102" s="13">
        <v>54355</v>
      </c>
      <c r="V102" s="13">
        <v>37454</v>
      </c>
      <c r="W102" s="13">
        <v>41413</v>
      </c>
    </row>
    <row r="103" spans="1:23" x14ac:dyDescent="0.25">
      <c r="A103" s="13" t="s">
        <v>135</v>
      </c>
      <c r="B103" s="13">
        <v>23825</v>
      </c>
      <c r="C103" s="13">
        <v>46753</v>
      </c>
      <c r="D103" s="13">
        <v>2319</v>
      </c>
      <c r="E103" s="13">
        <v>23766</v>
      </c>
      <c r="F103" s="13">
        <v>6933</v>
      </c>
      <c r="G103" s="13">
        <v>11877</v>
      </c>
      <c r="H103" s="13">
        <v>162514</v>
      </c>
      <c r="I103" s="13">
        <v>17931</v>
      </c>
      <c r="J103" s="13">
        <v>6633</v>
      </c>
      <c r="K103" s="13">
        <v>11568</v>
      </c>
      <c r="L103" s="13">
        <v>34611</v>
      </c>
      <c r="M103" s="13">
        <v>31702</v>
      </c>
      <c r="N103" s="13">
        <v>30339</v>
      </c>
      <c r="O103" s="13">
        <v>36334</v>
      </c>
      <c r="P103" s="13">
        <v>229764</v>
      </c>
      <c r="Q103" s="13">
        <v>37164</v>
      </c>
      <c r="R103" s="13">
        <v>267590</v>
      </c>
      <c r="S103" s="13">
        <v>177523</v>
      </c>
      <c r="T103" s="13">
        <v>50397</v>
      </c>
      <c r="U103" s="13">
        <v>46083</v>
      </c>
      <c r="V103" s="13">
        <v>41738</v>
      </c>
      <c r="W103" s="13">
        <v>34584</v>
      </c>
    </row>
    <row r="104" spans="1:23" x14ac:dyDescent="0.25">
      <c r="A104" s="13" t="s">
        <v>136</v>
      </c>
      <c r="B104" s="13">
        <v>19731</v>
      </c>
      <c r="C104" s="13">
        <v>56779</v>
      </c>
      <c r="D104" s="13">
        <v>2587</v>
      </c>
      <c r="E104" s="13">
        <v>31724</v>
      </c>
      <c r="F104" s="13">
        <v>7018</v>
      </c>
      <c r="G104" s="13">
        <v>13500</v>
      </c>
      <c r="H104" s="13">
        <v>176317</v>
      </c>
      <c r="I104" s="13">
        <v>22138</v>
      </c>
      <c r="J104" s="13">
        <v>7803</v>
      </c>
      <c r="K104" s="13">
        <v>12026</v>
      </c>
      <c r="L104" s="13">
        <v>35464</v>
      </c>
      <c r="M104" s="13">
        <v>32120</v>
      </c>
      <c r="N104" s="13">
        <v>33367</v>
      </c>
      <c r="O104" s="13">
        <v>37530</v>
      </c>
      <c r="P104" s="13">
        <v>251680</v>
      </c>
      <c r="Q104" s="13">
        <v>42771</v>
      </c>
      <c r="R104" s="13">
        <v>295084</v>
      </c>
      <c r="S104" s="13">
        <v>195473</v>
      </c>
      <c r="T104" s="13">
        <v>51903</v>
      </c>
      <c r="U104" s="13">
        <v>53898</v>
      </c>
      <c r="V104" s="13">
        <v>41922</v>
      </c>
      <c r="W104" s="13">
        <v>34825</v>
      </c>
    </row>
    <row r="105" spans="1:23" x14ac:dyDescent="0.25">
      <c r="A105" s="13" t="s">
        <v>137</v>
      </c>
      <c r="B105" s="13">
        <v>13636</v>
      </c>
      <c r="C105" s="13">
        <v>55518</v>
      </c>
      <c r="D105" s="13">
        <v>2407</v>
      </c>
      <c r="E105" s="13">
        <v>31413</v>
      </c>
      <c r="F105" s="13">
        <v>6740</v>
      </c>
      <c r="G105" s="13">
        <v>13356</v>
      </c>
      <c r="H105" s="13">
        <v>183814</v>
      </c>
      <c r="I105" s="13">
        <v>22873</v>
      </c>
      <c r="J105" s="13">
        <v>8313</v>
      </c>
      <c r="K105" s="13">
        <v>13445</v>
      </c>
      <c r="L105" s="13">
        <v>36197</v>
      </c>
      <c r="M105" s="13">
        <v>32514</v>
      </c>
      <c r="N105" s="13">
        <v>36130</v>
      </c>
      <c r="O105" s="13">
        <v>38259</v>
      </c>
      <c r="P105" s="13">
        <v>254276</v>
      </c>
      <c r="Q105" s="13">
        <v>45413</v>
      </c>
      <c r="R105" s="13">
        <v>300231</v>
      </c>
      <c r="S105" s="13">
        <v>209092</v>
      </c>
      <c r="T105" s="13">
        <v>54053</v>
      </c>
      <c r="U105" s="13">
        <v>60798</v>
      </c>
      <c r="V105" s="13">
        <v>39627</v>
      </c>
      <c r="W105" s="13">
        <v>41445</v>
      </c>
    </row>
    <row r="106" spans="1:23" x14ac:dyDescent="0.25">
      <c r="A106" s="13" t="s">
        <v>138</v>
      </c>
      <c r="B106" s="13">
        <v>27810</v>
      </c>
      <c r="C106" s="13">
        <v>52890</v>
      </c>
      <c r="D106" s="13">
        <v>2257</v>
      </c>
      <c r="E106" s="13">
        <v>29130</v>
      </c>
      <c r="F106" s="13">
        <v>6989</v>
      </c>
      <c r="G106" s="13">
        <v>13187</v>
      </c>
      <c r="H106" s="13">
        <v>176665</v>
      </c>
      <c r="I106" s="13">
        <v>21518</v>
      </c>
      <c r="J106" s="13">
        <v>8160</v>
      </c>
      <c r="K106" s="13">
        <v>12625</v>
      </c>
      <c r="L106" s="13">
        <v>34770</v>
      </c>
      <c r="M106" s="13">
        <v>32585</v>
      </c>
      <c r="N106" s="13">
        <v>33576</v>
      </c>
      <c r="O106" s="13">
        <v>37633</v>
      </c>
      <c r="P106" s="13">
        <v>254347</v>
      </c>
      <c r="Q106" s="13">
        <v>43372</v>
      </c>
      <c r="R106" s="13">
        <v>298350</v>
      </c>
      <c r="S106" s="13">
        <v>196742</v>
      </c>
      <c r="T106" s="13">
        <v>50399</v>
      </c>
      <c r="U106" s="13">
        <v>64015</v>
      </c>
      <c r="V106" s="13">
        <v>37845</v>
      </c>
      <c r="W106" s="13">
        <v>44508</v>
      </c>
    </row>
    <row r="107" spans="1:23" x14ac:dyDescent="0.25">
      <c r="A107" s="13" t="s">
        <v>139</v>
      </c>
      <c r="B107" s="13">
        <v>23838</v>
      </c>
      <c r="C107" s="13">
        <v>54498</v>
      </c>
      <c r="D107" s="13">
        <v>2479</v>
      </c>
      <c r="E107" s="13">
        <v>29778</v>
      </c>
      <c r="F107" s="13">
        <v>7039</v>
      </c>
      <c r="G107" s="13">
        <v>13475</v>
      </c>
      <c r="H107" s="13">
        <v>180405</v>
      </c>
      <c r="I107" s="13">
        <v>21654</v>
      </c>
      <c r="J107" s="13">
        <v>8314</v>
      </c>
      <c r="K107" s="13">
        <v>13345</v>
      </c>
      <c r="L107" s="13">
        <v>34561</v>
      </c>
      <c r="M107" s="13">
        <v>32670</v>
      </c>
      <c r="N107" s="13">
        <v>35366</v>
      </c>
      <c r="O107" s="13">
        <v>38349</v>
      </c>
      <c r="P107" s="13">
        <v>256515</v>
      </c>
      <c r="Q107" s="13">
        <v>43323</v>
      </c>
      <c r="R107" s="13">
        <v>300500</v>
      </c>
      <c r="S107" s="13">
        <v>196250</v>
      </c>
      <c r="T107" s="13">
        <v>53310</v>
      </c>
      <c r="U107" s="13">
        <v>61330</v>
      </c>
      <c r="V107" s="13">
        <v>47683</v>
      </c>
      <c r="W107" s="13">
        <v>41611</v>
      </c>
    </row>
    <row r="108" spans="1:23" x14ac:dyDescent="0.25">
      <c r="A108" s="13" t="s">
        <v>140</v>
      </c>
      <c r="B108" s="13">
        <v>17963</v>
      </c>
      <c r="C108" s="13">
        <v>57494</v>
      </c>
      <c r="D108" s="13">
        <v>2678</v>
      </c>
      <c r="E108" s="13">
        <v>31515</v>
      </c>
      <c r="F108" s="13">
        <v>6693</v>
      </c>
      <c r="G108" s="13">
        <v>14970</v>
      </c>
      <c r="H108" s="13">
        <v>186512</v>
      </c>
      <c r="I108" s="13">
        <v>22768</v>
      </c>
      <c r="J108" s="13">
        <v>8823</v>
      </c>
      <c r="K108" s="13">
        <v>13800</v>
      </c>
      <c r="L108" s="13">
        <v>35000</v>
      </c>
      <c r="M108" s="13">
        <v>32682</v>
      </c>
      <c r="N108" s="13">
        <v>37863</v>
      </c>
      <c r="O108" s="13">
        <v>38604</v>
      </c>
      <c r="P108" s="13">
        <v>260903</v>
      </c>
      <c r="Q108" s="13">
        <v>45405</v>
      </c>
      <c r="R108" s="13">
        <v>306899</v>
      </c>
      <c r="S108" s="13">
        <v>203749</v>
      </c>
      <c r="T108" s="13">
        <v>53699</v>
      </c>
      <c r="U108" s="13">
        <v>64006</v>
      </c>
      <c r="V108" s="13">
        <v>43590</v>
      </c>
      <c r="W108" s="13">
        <v>41986</v>
      </c>
    </row>
    <row r="109" spans="1:23" x14ac:dyDescent="0.25">
      <c r="A109" s="13" t="s">
        <v>141</v>
      </c>
      <c r="B109" s="13">
        <v>13524</v>
      </c>
      <c r="C109" s="13">
        <v>54808</v>
      </c>
      <c r="D109" s="13">
        <v>2515</v>
      </c>
      <c r="E109" s="13">
        <v>29239</v>
      </c>
      <c r="F109" s="13">
        <v>6788</v>
      </c>
      <c r="G109" s="13">
        <v>14988</v>
      </c>
      <c r="H109" s="13">
        <v>189963</v>
      </c>
      <c r="I109" s="13">
        <v>22219</v>
      </c>
      <c r="J109" s="13">
        <v>9088</v>
      </c>
      <c r="K109" s="13">
        <v>15301</v>
      </c>
      <c r="L109" s="13">
        <v>36063</v>
      </c>
      <c r="M109" s="13">
        <v>32570</v>
      </c>
      <c r="N109" s="13">
        <v>39640</v>
      </c>
      <c r="O109" s="13">
        <v>39007</v>
      </c>
      <c r="P109" s="13">
        <v>258265</v>
      </c>
      <c r="Q109" s="13">
        <v>46422</v>
      </c>
      <c r="R109" s="13">
        <v>305184</v>
      </c>
      <c r="S109" s="13">
        <v>213511</v>
      </c>
      <c r="T109" s="13">
        <v>55555</v>
      </c>
      <c r="U109" s="13">
        <v>62843</v>
      </c>
      <c r="V109" s="13">
        <v>40928</v>
      </c>
      <c r="W109" s="13">
        <v>42973</v>
      </c>
    </row>
    <row r="110" spans="1:23" x14ac:dyDescent="0.25">
      <c r="A110" s="18" t="s">
        <v>142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</row>
  </sheetData>
  <mergeCells count="6">
    <mergeCell ref="A110:W110"/>
    <mergeCell ref="A1:W1"/>
    <mergeCell ref="A2:W2"/>
    <mergeCell ref="A3:W3"/>
    <mergeCell ref="A4:A5"/>
    <mergeCell ref="B4:W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B0344-BC46-4424-BA27-A67B8B6A8CBE}">
  <sheetPr codeName="Planilha3"/>
  <dimension ref="A1:V110"/>
  <sheetViews>
    <sheetView workbookViewId="0">
      <selection sqref="A1:V1"/>
    </sheetView>
  </sheetViews>
  <sheetFormatPr defaultRowHeight="15" x14ac:dyDescent="0.25"/>
  <cols>
    <col min="1" max="1" width="16.140625" style="13" bestFit="1" customWidth="1"/>
    <col min="2" max="16384" width="9.140625" style="13"/>
  </cols>
  <sheetData>
    <row r="1" spans="1:22" x14ac:dyDescent="0.25">
      <c r="A1" s="18" t="s">
        <v>143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</row>
    <row r="2" spans="1:22" x14ac:dyDescent="0.25">
      <c r="A2" s="18" t="s">
        <v>144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</row>
    <row r="3" spans="1:22" x14ac:dyDescent="0.25">
      <c r="A3" s="18" t="s">
        <v>12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</row>
    <row r="4" spans="1:22" x14ac:dyDescent="0.25">
      <c r="A4" s="18" t="s">
        <v>14</v>
      </c>
      <c r="B4" s="18" t="s">
        <v>15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</row>
    <row r="5" spans="1:22" x14ac:dyDescent="0.25">
      <c r="A5" s="18"/>
      <c r="B5" s="13" t="s">
        <v>16</v>
      </c>
      <c r="C5" s="13" t="s">
        <v>17</v>
      </c>
      <c r="D5" s="13" t="s">
        <v>18</v>
      </c>
      <c r="E5" s="13" t="s">
        <v>19</v>
      </c>
      <c r="F5" s="13" t="s">
        <v>20</v>
      </c>
      <c r="G5" s="13" t="s">
        <v>21</v>
      </c>
      <c r="H5" s="13" t="s">
        <v>22</v>
      </c>
      <c r="I5" s="13" t="s">
        <v>23</v>
      </c>
      <c r="J5" s="13" t="s">
        <v>24</v>
      </c>
      <c r="K5" s="13" t="s">
        <v>25</v>
      </c>
      <c r="L5" s="13" t="s">
        <v>26</v>
      </c>
      <c r="M5" s="13" t="s">
        <v>27</v>
      </c>
      <c r="N5" s="13" t="s">
        <v>28</v>
      </c>
      <c r="O5" s="13" t="s">
        <v>29</v>
      </c>
      <c r="P5" s="13" t="s">
        <v>30</v>
      </c>
      <c r="Q5" s="13" t="s">
        <v>32</v>
      </c>
      <c r="R5" s="13" t="s">
        <v>33</v>
      </c>
      <c r="S5" s="13" t="s">
        <v>34</v>
      </c>
      <c r="T5" s="13" t="s">
        <v>35</v>
      </c>
      <c r="U5" s="13" t="s">
        <v>36</v>
      </c>
      <c r="V5" s="13" t="s">
        <v>37</v>
      </c>
    </row>
    <row r="6" spans="1:22" x14ac:dyDescent="0.25">
      <c r="A6" s="13" t="s">
        <v>38</v>
      </c>
      <c r="B6" s="13">
        <v>8434</v>
      </c>
      <c r="C6" s="13">
        <v>41666</v>
      </c>
      <c r="D6" s="13">
        <v>1147</v>
      </c>
      <c r="E6" s="13">
        <v>25474</v>
      </c>
      <c r="F6" s="13">
        <v>3786</v>
      </c>
      <c r="G6" s="13">
        <v>11041</v>
      </c>
      <c r="H6" s="13">
        <v>103204</v>
      </c>
      <c r="I6" s="13">
        <v>13918</v>
      </c>
      <c r="J6" s="13">
        <v>5537</v>
      </c>
      <c r="K6" s="13">
        <v>3801</v>
      </c>
      <c r="L6" s="13">
        <v>16564</v>
      </c>
      <c r="M6" s="13">
        <v>15362</v>
      </c>
      <c r="N6" s="13">
        <v>22997</v>
      </c>
      <c r="O6" s="13">
        <v>26090</v>
      </c>
      <c r="P6" s="13">
        <v>152567</v>
      </c>
      <c r="Q6" s="13">
        <v>175710</v>
      </c>
      <c r="R6" s="13">
        <v>110244</v>
      </c>
      <c r="S6" s="13">
        <v>36626</v>
      </c>
      <c r="T6" s="13">
        <v>34636</v>
      </c>
      <c r="U6" s="13">
        <v>13272</v>
      </c>
      <c r="V6" s="13">
        <v>15275</v>
      </c>
    </row>
    <row r="7" spans="1:22" x14ac:dyDescent="0.25">
      <c r="A7" s="13" t="s">
        <v>39</v>
      </c>
      <c r="B7" s="13">
        <v>8543</v>
      </c>
      <c r="C7" s="13">
        <v>40183</v>
      </c>
      <c r="D7" s="13">
        <v>1147</v>
      </c>
      <c r="E7" s="13">
        <v>24177</v>
      </c>
      <c r="F7" s="13">
        <v>3833</v>
      </c>
      <c r="G7" s="13">
        <v>10936</v>
      </c>
      <c r="H7" s="13">
        <v>104807</v>
      </c>
      <c r="I7" s="13">
        <v>13937</v>
      </c>
      <c r="J7" s="13">
        <v>5418</v>
      </c>
      <c r="K7" s="13">
        <v>3887</v>
      </c>
      <c r="L7" s="13">
        <v>16607</v>
      </c>
      <c r="M7" s="13">
        <v>15460</v>
      </c>
      <c r="N7" s="13">
        <v>23083</v>
      </c>
      <c r="O7" s="13">
        <v>26610</v>
      </c>
      <c r="P7" s="13">
        <v>153572</v>
      </c>
      <c r="Q7" s="13">
        <v>177259</v>
      </c>
      <c r="R7" s="13">
        <v>113482</v>
      </c>
      <c r="S7" s="13">
        <v>37219</v>
      </c>
      <c r="T7" s="13">
        <v>35385</v>
      </c>
      <c r="U7" s="13">
        <v>12763</v>
      </c>
      <c r="V7" s="13">
        <v>16672</v>
      </c>
    </row>
    <row r="8" spans="1:22" x14ac:dyDescent="0.25">
      <c r="A8" s="13" t="s">
        <v>40</v>
      </c>
      <c r="B8" s="13">
        <v>9006</v>
      </c>
      <c r="C8" s="13">
        <v>43756</v>
      </c>
      <c r="D8" s="13">
        <v>1087</v>
      </c>
      <c r="E8" s="13">
        <v>27885</v>
      </c>
      <c r="F8" s="13">
        <v>3853</v>
      </c>
      <c r="G8" s="13">
        <v>11023</v>
      </c>
      <c r="H8" s="13">
        <v>106569</v>
      </c>
      <c r="I8" s="13">
        <v>14310</v>
      </c>
      <c r="J8" s="13">
        <v>5592</v>
      </c>
      <c r="K8" s="13">
        <v>4047</v>
      </c>
      <c r="L8" s="13">
        <v>16606</v>
      </c>
      <c r="M8" s="13">
        <v>15600</v>
      </c>
      <c r="N8" s="13">
        <v>23156</v>
      </c>
      <c r="O8" s="13">
        <v>26751</v>
      </c>
      <c r="P8" s="13">
        <v>159426</v>
      </c>
      <c r="Q8" s="13">
        <v>184212</v>
      </c>
      <c r="R8" s="13">
        <v>116582</v>
      </c>
      <c r="S8" s="13">
        <v>38513</v>
      </c>
      <c r="T8" s="13">
        <v>36668</v>
      </c>
      <c r="U8" s="13">
        <v>12680</v>
      </c>
      <c r="V8" s="13">
        <v>17897</v>
      </c>
    </row>
    <row r="9" spans="1:22" x14ac:dyDescent="0.25">
      <c r="A9" s="13" t="s">
        <v>41</v>
      </c>
      <c r="B9" s="13">
        <v>11104</v>
      </c>
      <c r="C9" s="13">
        <v>41096</v>
      </c>
      <c r="D9" s="13">
        <v>1140</v>
      </c>
      <c r="E9" s="13">
        <v>25211</v>
      </c>
      <c r="F9" s="13">
        <v>3933</v>
      </c>
      <c r="G9" s="13">
        <v>11007</v>
      </c>
      <c r="H9" s="13">
        <v>104217</v>
      </c>
      <c r="I9" s="13">
        <v>14531</v>
      </c>
      <c r="J9" s="13">
        <v>5382</v>
      </c>
      <c r="K9" s="13">
        <v>3949</v>
      </c>
      <c r="L9" s="13">
        <v>15183</v>
      </c>
      <c r="M9" s="13">
        <v>15218</v>
      </c>
      <c r="N9" s="13">
        <v>23030</v>
      </c>
      <c r="O9" s="13">
        <v>26596</v>
      </c>
      <c r="P9" s="13">
        <v>155611</v>
      </c>
      <c r="Q9" s="13">
        <v>182320</v>
      </c>
      <c r="R9" s="13">
        <v>122730</v>
      </c>
      <c r="S9" s="13">
        <v>32696</v>
      </c>
      <c r="T9" s="13">
        <v>38226</v>
      </c>
      <c r="U9" s="13">
        <v>13284</v>
      </c>
      <c r="V9" s="13">
        <v>19850</v>
      </c>
    </row>
    <row r="10" spans="1:22" x14ac:dyDescent="0.25">
      <c r="A10" s="13" t="s">
        <v>42</v>
      </c>
      <c r="B10" s="13">
        <v>9020</v>
      </c>
      <c r="C10" s="13">
        <v>43231</v>
      </c>
      <c r="D10" s="13">
        <v>1154</v>
      </c>
      <c r="E10" s="13">
        <v>26103</v>
      </c>
      <c r="F10" s="13">
        <v>4003</v>
      </c>
      <c r="G10" s="13">
        <v>11391</v>
      </c>
      <c r="H10" s="13">
        <v>106636</v>
      </c>
      <c r="I10" s="13">
        <v>14540</v>
      </c>
      <c r="J10" s="13">
        <v>5638</v>
      </c>
      <c r="K10" s="13">
        <v>4021</v>
      </c>
      <c r="L10" s="13">
        <v>16824</v>
      </c>
      <c r="M10" s="13">
        <v>15567</v>
      </c>
      <c r="N10" s="13">
        <v>23474</v>
      </c>
      <c r="O10" s="13">
        <v>26589</v>
      </c>
      <c r="P10" s="13">
        <v>158330</v>
      </c>
      <c r="Q10" s="13">
        <v>184101</v>
      </c>
      <c r="R10" s="13">
        <v>120252</v>
      </c>
      <c r="S10" s="13">
        <v>37059</v>
      </c>
      <c r="T10" s="13">
        <v>38660</v>
      </c>
      <c r="U10" s="13">
        <v>13935</v>
      </c>
      <c r="V10" s="13">
        <v>19812</v>
      </c>
    </row>
    <row r="11" spans="1:22" x14ac:dyDescent="0.25">
      <c r="A11" s="13" t="s">
        <v>43</v>
      </c>
      <c r="B11" s="13">
        <v>8878</v>
      </c>
      <c r="C11" s="13">
        <v>43076</v>
      </c>
      <c r="D11" s="13">
        <v>1171</v>
      </c>
      <c r="E11" s="13">
        <v>26434</v>
      </c>
      <c r="F11" s="13">
        <v>4030</v>
      </c>
      <c r="G11" s="13">
        <v>11678</v>
      </c>
      <c r="H11" s="13">
        <v>106892</v>
      </c>
      <c r="I11" s="13">
        <v>14668</v>
      </c>
      <c r="J11" s="13">
        <v>5816</v>
      </c>
      <c r="K11" s="13">
        <v>4116</v>
      </c>
      <c r="L11" s="13">
        <v>16775</v>
      </c>
      <c r="M11" s="13">
        <v>15682</v>
      </c>
      <c r="N11" s="13">
        <v>23606</v>
      </c>
      <c r="O11" s="13">
        <v>26454</v>
      </c>
      <c r="P11" s="13">
        <v>159404</v>
      </c>
      <c r="Q11" s="13">
        <v>185375</v>
      </c>
      <c r="R11" s="13">
        <v>120273</v>
      </c>
      <c r="S11" s="13">
        <v>36911</v>
      </c>
      <c r="T11" s="13">
        <v>39002</v>
      </c>
      <c r="U11" s="13">
        <v>14801</v>
      </c>
      <c r="V11" s="13">
        <v>20626</v>
      </c>
    </row>
    <row r="12" spans="1:22" x14ac:dyDescent="0.25">
      <c r="A12" s="13" t="s">
        <v>44</v>
      </c>
      <c r="B12" s="13">
        <v>9170</v>
      </c>
      <c r="C12" s="13">
        <v>43922</v>
      </c>
      <c r="D12" s="13">
        <v>1208</v>
      </c>
      <c r="E12" s="13">
        <v>26554</v>
      </c>
      <c r="F12" s="13">
        <v>4115</v>
      </c>
      <c r="G12" s="13">
        <v>12020</v>
      </c>
      <c r="H12" s="13">
        <v>107960</v>
      </c>
      <c r="I12" s="13">
        <v>14825</v>
      </c>
      <c r="J12" s="13">
        <v>5854</v>
      </c>
      <c r="K12" s="13">
        <v>4151</v>
      </c>
      <c r="L12" s="13">
        <v>16786</v>
      </c>
      <c r="M12" s="13">
        <v>15846</v>
      </c>
      <c r="N12" s="13">
        <v>23777</v>
      </c>
      <c r="O12" s="13">
        <v>26509</v>
      </c>
      <c r="P12" s="13">
        <v>160982</v>
      </c>
      <c r="Q12" s="13">
        <v>187662</v>
      </c>
      <c r="R12" s="13">
        <v>119036</v>
      </c>
      <c r="S12" s="13">
        <v>36334</v>
      </c>
      <c r="T12" s="13">
        <v>39861</v>
      </c>
      <c r="U12" s="13">
        <v>15181</v>
      </c>
      <c r="V12" s="13">
        <v>20753</v>
      </c>
    </row>
    <row r="13" spans="1:22" x14ac:dyDescent="0.25">
      <c r="A13" s="13" t="s">
        <v>45</v>
      </c>
      <c r="B13" s="13">
        <v>9943</v>
      </c>
      <c r="C13" s="13">
        <v>43768</v>
      </c>
      <c r="D13" s="13">
        <v>1207</v>
      </c>
      <c r="E13" s="13">
        <v>26206</v>
      </c>
      <c r="F13" s="13">
        <v>4169</v>
      </c>
      <c r="G13" s="13">
        <v>12239</v>
      </c>
      <c r="H13" s="13">
        <v>109064</v>
      </c>
      <c r="I13" s="13">
        <v>14880</v>
      </c>
      <c r="J13" s="13">
        <v>5965</v>
      </c>
      <c r="K13" s="13">
        <v>4257</v>
      </c>
      <c r="L13" s="13">
        <v>16747</v>
      </c>
      <c r="M13" s="13">
        <v>16087</v>
      </c>
      <c r="N13" s="13">
        <v>24249</v>
      </c>
      <c r="O13" s="13">
        <v>26761</v>
      </c>
      <c r="P13" s="13">
        <v>162474</v>
      </c>
      <c r="Q13" s="13">
        <v>189116</v>
      </c>
      <c r="R13" s="13">
        <v>119211</v>
      </c>
      <c r="S13" s="13">
        <v>36570</v>
      </c>
      <c r="T13" s="13">
        <v>39595</v>
      </c>
      <c r="U13" s="13">
        <v>14533</v>
      </c>
      <c r="V13" s="13">
        <v>19506</v>
      </c>
    </row>
    <row r="14" spans="1:22" x14ac:dyDescent="0.25">
      <c r="A14" s="13" t="s">
        <v>46</v>
      </c>
      <c r="B14" s="13">
        <v>8866</v>
      </c>
      <c r="C14" s="13">
        <v>42753</v>
      </c>
      <c r="D14" s="13">
        <v>1224</v>
      </c>
      <c r="E14" s="13">
        <v>25100</v>
      </c>
      <c r="F14" s="13">
        <v>4154</v>
      </c>
      <c r="G14" s="13">
        <v>12082</v>
      </c>
      <c r="H14" s="13">
        <v>107866</v>
      </c>
      <c r="I14" s="13">
        <v>14560</v>
      </c>
      <c r="J14" s="13">
        <v>5729</v>
      </c>
      <c r="K14" s="13">
        <v>4201</v>
      </c>
      <c r="L14" s="13">
        <v>16490</v>
      </c>
      <c r="M14" s="13">
        <v>16021</v>
      </c>
      <c r="N14" s="13">
        <v>23721</v>
      </c>
      <c r="O14" s="13">
        <v>26998</v>
      </c>
      <c r="P14" s="13">
        <v>159730</v>
      </c>
      <c r="Q14" s="13">
        <v>185481</v>
      </c>
      <c r="R14" s="13">
        <v>119627</v>
      </c>
      <c r="S14" s="13">
        <v>37469</v>
      </c>
      <c r="T14" s="13">
        <v>39731</v>
      </c>
      <c r="U14" s="13">
        <v>15314</v>
      </c>
      <c r="V14" s="13">
        <v>21292</v>
      </c>
    </row>
    <row r="15" spans="1:22" x14ac:dyDescent="0.25">
      <c r="A15" s="13" t="s">
        <v>47</v>
      </c>
      <c r="B15" s="13">
        <v>9968</v>
      </c>
      <c r="C15" s="13">
        <v>43383</v>
      </c>
      <c r="D15" s="13">
        <v>1249</v>
      </c>
      <c r="E15" s="13">
        <v>25496</v>
      </c>
      <c r="F15" s="13">
        <v>4124</v>
      </c>
      <c r="G15" s="13">
        <v>12233</v>
      </c>
      <c r="H15" s="13">
        <v>109113</v>
      </c>
      <c r="I15" s="13">
        <v>14729</v>
      </c>
      <c r="J15" s="13">
        <v>5961</v>
      </c>
      <c r="K15" s="13">
        <v>4157</v>
      </c>
      <c r="L15" s="13">
        <v>16539</v>
      </c>
      <c r="M15" s="13">
        <v>16172</v>
      </c>
      <c r="N15" s="13">
        <v>24090</v>
      </c>
      <c r="O15" s="13">
        <v>27218</v>
      </c>
      <c r="P15" s="13">
        <v>162387</v>
      </c>
      <c r="Q15" s="13">
        <v>188456</v>
      </c>
      <c r="R15" s="13">
        <v>118939</v>
      </c>
      <c r="S15" s="13">
        <v>37718</v>
      </c>
      <c r="T15" s="13">
        <v>40069</v>
      </c>
      <c r="U15" s="13">
        <v>15747</v>
      </c>
      <c r="V15" s="13">
        <v>20134</v>
      </c>
    </row>
    <row r="16" spans="1:22" x14ac:dyDescent="0.25">
      <c r="A16" s="13" t="s">
        <v>48</v>
      </c>
      <c r="B16" s="13">
        <v>9710</v>
      </c>
      <c r="C16" s="13">
        <v>42780</v>
      </c>
      <c r="D16" s="13">
        <v>1229</v>
      </c>
      <c r="E16" s="13">
        <v>25243</v>
      </c>
      <c r="F16" s="13">
        <v>4135</v>
      </c>
      <c r="G16" s="13">
        <v>12051</v>
      </c>
      <c r="H16" s="13">
        <v>109952</v>
      </c>
      <c r="I16" s="13">
        <v>14573</v>
      </c>
      <c r="J16" s="13">
        <v>5994</v>
      </c>
      <c r="K16" s="13">
        <v>4645</v>
      </c>
      <c r="L16" s="13">
        <v>16551</v>
      </c>
      <c r="M16" s="13">
        <v>16239</v>
      </c>
      <c r="N16" s="13">
        <v>24172</v>
      </c>
      <c r="O16" s="13">
        <v>27448</v>
      </c>
      <c r="P16" s="13">
        <v>162416</v>
      </c>
      <c r="Q16" s="13">
        <v>188588</v>
      </c>
      <c r="R16" s="13">
        <v>119182</v>
      </c>
      <c r="S16" s="13">
        <v>38373</v>
      </c>
      <c r="T16" s="13">
        <v>39446</v>
      </c>
      <c r="U16" s="13">
        <v>15097</v>
      </c>
      <c r="V16" s="13">
        <v>20329</v>
      </c>
    </row>
    <row r="17" spans="1:22" x14ac:dyDescent="0.25">
      <c r="A17" s="13" t="s">
        <v>49</v>
      </c>
      <c r="B17" s="13">
        <v>9500</v>
      </c>
      <c r="C17" s="13">
        <v>41447</v>
      </c>
      <c r="D17" s="13">
        <v>1216</v>
      </c>
      <c r="E17" s="13">
        <v>24343</v>
      </c>
      <c r="F17" s="13">
        <v>4107</v>
      </c>
      <c r="G17" s="13">
        <v>11756</v>
      </c>
      <c r="H17" s="13">
        <v>109781</v>
      </c>
      <c r="I17" s="13">
        <v>13991</v>
      </c>
      <c r="J17" s="13">
        <v>5756</v>
      </c>
      <c r="K17" s="13">
        <v>4842</v>
      </c>
      <c r="L17" s="13">
        <v>16562</v>
      </c>
      <c r="M17" s="13">
        <v>16370</v>
      </c>
      <c r="N17" s="13">
        <v>24185</v>
      </c>
      <c r="O17" s="13">
        <v>27718</v>
      </c>
      <c r="P17" s="13">
        <v>160730</v>
      </c>
      <c r="Q17" s="13">
        <v>186353</v>
      </c>
      <c r="R17" s="13">
        <v>117630</v>
      </c>
      <c r="S17" s="13">
        <v>38063</v>
      </c>
      <c r="T17" s="13">
        <v>37654</v>
      </c>
      <c r="U17" s="13">
        <v>15080</v>
      </c>
      <c r="V17" s="13">
        <v>19177</v>
      </c>
    </row>
    <row r="18" spans="1:22" x14ac:dyDescent="0.25">
      <c r="A18" s="13" t="s">
        <v>50</v>
      </c>
      <c r="B18" s="13">
        <v>9911</v>
      </c>
      <c r="C18" s="13">
        <v>41280</v>
      </c>
      <c r="D18" s="13">
        <v>1210</v>
      </c>
      <c r="E18" s="13">
        <v>24147</v>
      </c>
      <c r="F18" s="13">
        <v>4067</v>
      </c>
      <c r="G18" s="13">
        <v>11365</v>
      </c>
      <c r="H18" s="13">
        <v>110833</v>
      </c>
      <c r="I18" s="13">
        <v>14090</v>
      </c>
      <c r="J18" s="13">
        <v>5611</v>
      </c>
      <c r="K18" s="13">
        <v>4985</v>
      </c>
      <c r="L18" s="13">
        <v>16573</v>
      </c>
      <c r="M18" s="13">
        <v>16627</v>
      </c>
      <c r="N18" s="13">
        <v>24104</v>
      </c>
      <c r="O18" s="13">
        <v>28081</v>
      </c>
      <c r="P18" s="13">
        <v>162241</v>
      </c>
      <c r="Q18" s="13">
        <v>186953</v>
      </c>
      <c r="R18" s="13">
        <v>118434</v>
      </c>
      <c r="S18" s="13">
        <v>37666</v>
      </c>
      <c r="T18" s="13">
        <v>36372</v>
      </c>
      <c r="U18" s="13">
        <v>15467</v>
      </c>
      <c r="V18" s="13">
        <v>17328</v>
      </c>
    </row>
    <row r="19" spans="1:22" x14ac:dyDescent="0.25">
      <c r="A19" s="13" t="s">
        <v>51</v>
      </c>
      <c r="B19" s="13">
        <v>10079</v>
      </c>
      <c r="C19" s="13">
        <v>41179</v>
      </c>
      <c r="D19" s="13">
        <v>1154</v>
      </c>
      <c r="E19" s="13">
        <v>24474</v>
      </c>
      <c r="F19" s="13">
        <v>4173</v>
      </c>
      <c r="G19" s="13">
        <v>11427</v>
      </c>
      <c r="H19" s="13">
        <v>110890</v>
      </c>
      <c r="I19" s="13">
        <v>14153</v>
      </c>
      <c r="J19" s="13">
        <v>5459</v>
      </c>
      <c r="K19" s="13">
        <v>5080</v>
      </c>
      <c r="L19" s="13">
        <v>16607</v>
      </c>
      <c r="M19" s="13">
        <v>16600</v>
      </c>
      <c r="N19" s="13">
        <v>24180</v>
      </c>
      <c r="O19" s="13">
        <v>28189</v>
      </c>
      <c r="P19" s="13">
        <v>162423</v>
      </c>
      <c r="Q19" s="13">
        <v>187412</v>
      </c>
      <c r="R19" s="13">
        <v>118168</v>
      </c>
      <c r="S19" s="13">
        <v>38077</v>
      </c>
      <c r="T19" s="13">
        <v>35870</v>
      </c>
      <c r="U19" s="13">
        <v>15831</v>
      </c>
      <c r="V19" s="13">
        <v>17113</v>
      </c>
    </row>
    <row r="20" spans="1:22" x14ac:dyDescent="0.25">
      <c r="A20" s="13" t="s">
        <v>52</v>
      </c>
      <c r="B20" s="13">
        <v>10130</v>
      </c>
      <c r="C20" s="13">
        <v>41321</v>
      </c>
      <c r="D20" s="13">
        <v>1154</v>
      </c>
      <c r="E20" s="13">
        <v>24454</v>
      </c>
      <c r="F20" s="13">
        <v>4179</v>
      </c>
      <c r="G20" s="13">
        <v>11439</v>
      </c>
      <c r="H20" s="13">
        <v>110977</v>
      </c>
      <c r="I20" s="13">
        <v>14037</v>
      </c>
      <c r="J20" s="13">
        <v>5588</v>
      </c>
      <c r="K20" s="13">
        <v>4957</v>
      </c>
      <c r="L20" s="13">
        <v>16590</v>
      </c>
      <c r="M20" s="13">
        <v>16571</v>
      </c>
      <c r="N20" s="13">
        <v>24371</v>
      </c>
      <c r="O20" s="13">
        <v>28286</v>
      </c>
      <c r="P20" s="13">
        <v>162440</v>
      </c>
      <c r="Q20" s="13">
        <v>187719</v>
      </c>
      <c r="R20" s="13">
        <v>119173</v>
      </c>
      <c r="S20" s="13">
        <v>38869</v>
      </c>
      <c r="T20" s="13">
        <v>35046</v>
      </c>
      <c r="U20" s="13">
        <v>15507</v>
      </c>
      <c r="V20" s="13">
        <v>16516</v>
      </c>
    </row>
    <row r="21" spans="1:22" x14ac:dyDescent="0.25">
      <c r="A21" s="13" t="s">
        <v>53</v>
      </c>
      <c r="B21" s="13">
        <v>10518</v>
      </c>
      <c r="C21" s="13">
        <v>42120</v>
      </c>
      <c r="D21" s="13">
        <v>1185</v>
      </c>
      <c r="E21" s="13">
        <v>25222</v>
      </c>
      <c r="F21" s="13">
        <v>4191</v>
      </c>
      <c r="G21" s="13">
        <v>11530</v>
      </c>
      <c r="H21" s="13">
        <v>112030</v>
      </c>
      <c r="I21" s="13">
        <v>14263</v>
      </c>
      <c r="J21" s="13">
        <v>5848</v>
      </c>
      <c r="K21" s="13">
        <v>5163</v>
      </c>
      <c r="L21" s="13">
        <v>16563</v>
      </c>
      <c r="M21" s="13">
        <v>16512</v>
      </c>
      <c r="N21" s="13">
        <v>24661</v>
      </c>
      <c r="O21" s="13">
        <v>28417</v>
      </c>
      <c r="P21" s="13">
        <v>164429</v>
      </c>
      <c r="Q21" s="13">
        <v>190353</v>
      </c>
      <c r="R21" s="13">
        <v>121282</v>
      </c>
      <c r="S21" s="13">
        <v>39568</v>
      </c>
      <c r="T21" s="13">
        <v>35734</v>
      </c>
      <c r="U21" s="13">
        <v>17904</v>
      </c>
      <c r="V21" s="13">
        <v>17674</v>
      </c>
    </row>
    <row r="22" spans="1:22" x14ac:dyDescent="0.25">
      <c r="A22" s="13" t="s">
        <v>54</v>
      </c>
      <c r="B22" s="13">
        <v>10458</v>
      </c>
      <c r="C22" s="13">
        <v>42672</v>
      </c>
      <c r="D22" s="13">
        <v>1203</v>
      </c>
      <c r="E22" s="13">
        <v>25584</v>
      </c>
      <c r="F22" s="13">
        <v>4303</v>
      </c>
      <c r="G22" s="13">
        <v>11457</v>
      </c>
      <c r="H22" s="13">
        <v>112956</v>
      </c>
      <c r="I22" s="13">
        <v>14566</v>
      </c>
      <c r="J22" s="13">
        <v>5926</v>
      </c>
      <c r="K22" s="13">
        <v>5489</v>
      </c>
      <c r="L22" s="13">
        <v>16922</v>
      </c>
      <c r="M22" s="13">
        <v>16731</v>
      </c>
      <c r="N22" s="13">
        <v>24966</v>
      </c>
      <c r="O22" s="13">
        <v>28148</v>
      </c>
      <c r="P22" s="13">
        <v>165955</v>
      </c>
      <c r="Q22" s="13">
        <v>192361</v>
      </c>
      <c r="R22" s="13">
        <v>120530</v>
      </c>
      <c r="S22" s="13">
        <v>38921</v>
      </c>
      <c r="T22" s="13">
        <v>35954</v>
      </c>
      <c r="U22" s="13">
        <v>17841</v>
      </c>
      <c r="V22" s="13">
        <v>17525</v>
      </c>
    </row>
    <row r="23" spans="1:22" x14ac:dyDescent="0.25">
      <c r="A23" s="13" t="s">
        <v>55</v>
      </c>
      <c r="B23" s="13">
        <v>10417</v>
      </c>
      <c r="C23" s="13">
        <v>43168</v>
      </c>
      <c r="D23" s="13">
        <v>1226</v>
      </c>
      <c r="E23" s="13">
        <v>25880</v>
      </c>
      <c r="F23" s="13">
        <v>4315</v>
      </c>
      <c r="G23" s="13">
        <v>11581</v>
      </c>
      <c r="H23" s="13">
        <v>114510</v>
      </c>
      <c r="I23" s="13">
        <v>14406</v>
      </c>
      <c r="J23" s="13">
        <v>5982</v>
      </c>
      <c r="K23" s="13">
        <v>5818</v>
      </c>
      <c r="L23" s="13">
        <v>16923</v>
      </c>
      <c r="M23" s="13">
        <v>17012</v>
      </c>
      <c r="N23" s="13">
        <v>25056</v>
      </c>
      <c r="O23" s="13">
        <v>28559</v>
      </c>
      <c r="P23" s="13">
        <v>167941</v>
      </c>
      <c r="Q23" s="13">
        <v>195053</v>
      </c>
      <c r="R23" s="13">
        <v>123127</v>
      </c>
      <c r="S23" s="13">
        <v>38553</v>
      </c>
      <c r="T23" s="13">
        <v>37578</v>
      </c>
      <c r="U23" s="13">
        <v>17977</v>
      </c>
      <c r="V23" s="13">
        <v>18320</v>
      </c>
    </row>
    <row r="24" spans="1:22" x14ac:dyDescent="0.25">
      <c r="A24" s="13" t="s">
        <v>56</v>
      </c>
      <c r="B24" s="13">
        <v>10321</v>
      </c>
      <c r="C24" s="13">
        <v>43315</v>
      </c>
      <c r="D24" s="13">
        <v>1285</v>
      </c>
      <c r="E24" s="13">
        <v>25921</v>
      </c>
      <c r="F24" s="13">
        <v>4292</v>
      </c>
      <c r="G24" s="13">
        <v>11691</v>
      </c>
      <c r="H24" s="13">
        <v>116003</v>
      </c>
      <c r="I24" s="13">
        <v>14785</v>
      </c>
      <c r="J24" s="13">
        <v>5940</v>
      </c>
      <c r="K24" s="13">
        <v>6095</v>
      </c>
      <c r="L24" s="13">
        <v>16934</v>
      </c>
      <c r="M24" s="13">
        <v>17388</v>
      </c>
      <c r="N24" s="13">
        <v>25188</v>
      </c>
      <c r="O24" s="13">
        <v>28815</v>
      </c>
      <c r="P24" s="13">
        <v>169986</v>
      </c>
      <c r="Q24" s="13">
        <v>197370</v>
      </c>
      <c r="R24" s="13">
        <v>125025</v>
      </c>
      <c r="S24" s="13">
        <v>38033</v>
      </c>
      <c r="T24" s="13">
        <v>37484</v>
      </c>
      <c r="U24" s="13">
        <v>19546</v>
      </c>
      <c r="V24" s="13">
        <v>19930</v>
      </c>
    </row>
    <row r="25" spans="1:22" x14ac:dyDescent="0.25">
      <c r="A25" s="13" t="s">
        <v>57</v>
      </c>
      <c r="B25" s="13">
        <v>10383</v>
      </c>
      <c r="C25" s="13">
        <v>44011</v>
      </c>
      <c r="D25" s="13">
        <v>1406</v>
      </c>
      <c r="E25" s="13">
        <v>26495</v>
      </c>
      <c r="F25" s="13">
        <v>4388</v>
      </c>
      <c r="G25" s="13">
        <v>11659</v>
      </c>
      <c r="H25" s="13">
        <v>117327</v>
      </c>
      <c r="I25" s="13">
        <v>15289</v>
      </c>
      <c r="J25" s="13">
        <v>5956</v>
      </c>
      <c r="K25" s="13">
        <v>6058</v>
      </c>
      <c r="L25" s="13">
        <v>17007</v>
      </c>
      <c r="M25" s="13">
        <v>17845</v>
      </c>
      <c r="N25" s="13">
        <v>25160</v>
      </c>
      <c r="O25" s="13">
        <v>29144</v>
      </c>
      <c r="P25" s="13">
        <v>172243</v>
      </c>
      <c r="Q25" s="13">
        <v>199797</v>
      </c>
      <c r="R25" s="13">
        <v>126223</v>
      </c>
      <c r="S25" s="13">
        <v>38430</v>
      </c>
      <c r="T25" s="13">
        <v>38797</v>
      </c>
      <c r="U25" s="13">
        <v>19125</v>
      </c>
      <c r="V25" s="13">
        <v>20607</v>
      </c>
    </row>
    <row r="26" spans="1:22" x14ac:dyDescent="0.25">
      <c r="A26" s="13" t="s">
        <v>58</v>
      </c>
      <c r="B26" s="13">
        <v>10708</v>
      </c>
      <c r="C26" s="13">
        <v>44294</v>
      </c>
      <c r="D26" s="13">
        <v>1312</v>
      </c>
      <c r="E26" s="13">
        <v>26715</v>
      </c>
      <c r="F26" s="13">
        <v>4349</v>
      </c>
      <c r="G26" s="13">
        <v>11822</v>
      </c>
      <c r="H26" s="13">
        <v>116828</v>
      </c>
      <c r="I26" s="13">
        <v>15260</v>
      </c>
      <c r="J26" s="13">
        <v>5930</v>
      </c>
      <c r="K26" s="13">
        <v>6140</v>
      </c>
      <c r="L26" s="13">
        <v>16931</v>
      </c>
      <c r="M26" s="13">
        <v>17531</v>
      </c>
      <c r="N26" s="13">
        <v>24776</v>
      </c>
      <c r="O26" s="13">
        <v>29307</v>
      </c>
      <c r="P26" s="13">
        <v>172159</v>
      </c>
      <c r="Q26" s="13">
        <v>200537</v>
      </c>
      <c r="R26" s="13">
        <v>126633</v>
      </c>
      <c r="S26" s="13">
        <v>39311</v>
      </c>
      <c r="T26" s="13">
        <v>39450</v>
      </c>
      <c r="U26" s="13">
        <v>19643</v>
      </c>
      <c r="V26" s="13">
        <v>21412</v>
      </c>
    </row>
    <row r="27" spans="1:22" x14ac:dyDescent="0.25">
      <c r="A27" s="13" t="s">
        <v>59</v>
      </c>
      <c r="B27" s="13">
        <v>10729</v>
      </c>
      <c r="C27" s="13">
        <v>43489</v>
      </c>
      <c r="D27" s="13">
        <v>1327</v>
      </c>
      <c r="E27" s="13">
        <v>26211</v>
      </c>
      <c r="F27" s="13">
        <v>4222</v>
      </c>
      <c r="G27" s="13">
        <v>11607</v>
      </c>
      <c r="H27" s="13">
        <v>118034</v>
      </c>
      <c r="I27" s="13">
        <v>15149</v>
      </c>
      <c r="J27" s="13">
        <v>5943</v>
      </c>
      <c r="K27" s="13">
        <v>6248</v>
      </c>
      <c r="L27" s="13">
        <v>17039</v>
      </c>
      <c r="M27" s="13">
        <v>17744</v>
      </c>
      <c r="N27" s="13">
        <v>25294</v>
      </c>
      <c r="O27" s="13">
        <v>29640</v>
      </c>
      <c r="P27" s="13">
        <v>172053</v>
      </c>
      <c r="Q27" s="13">
        <v>199529</v>
      </c>
      <c r="R27" s="13">
        <v>126916</v>
      </c>
      <c r="S27" s="13">
        <v>39385</v>
      </c>
      <c r="T27" s="13">
        <v>38591</v>
      </c>
      <c r="U27" s="13">
        <v>20633</v>
      </c>
      <c r="V27" s="13">
        <v>20636</v>
      </c>
    </row>
    <row r="28" spans="1:22" x14ac:dyDescent="0.25">
      <c r="A28" s="13" t="s">
        <v>60</v>
      </c>
      <c r="B28" s="13">
        <v>10972</v>
      </c>
      <c r="C28" s="13">
        <v>42107</v>
      </c>
      <c r="D28" s="13">
        <v>1351</v>
      </c>
      <c r="E28" s="13">
        <v>25802</v>
      </c>
      <c r="F28" s="13">
        <v>3703</v>
      </c>
      <c r="G28" s="13">
        <v>11150</v>
      </c>
      <c r="H28" s="13">
        <v>118124</v>
      </c>
      <c r="I28" s="13">
        <v>15009</v>
      </c>
      <c r="J28" s="13">
        <v>5951</v>
      </c>
      <c r="K28" s="13">
        <v>6300</v>
      </c>
      <c r="L28" s="13">
        <v>17174</v>
      </c>
      <c r="M28" s="13">
        <v>17862</v>
      </c>
      <c r="N28" s="13">
        <v>25047</v>
      </c>
      <c r="O28" s="13">
        <v>29936</v>
      </c>
      <c r="P28" s="13">
        <v>171498</v>
      </c>
      <c r="Q28" s="13">
        <v>198510</v>
      </c>
      <c r="R28" s="13">
        <v>122894</v>
      </c>
      <c r="S28" s="13">
        <v>39402</v>
      </c>
      <c r="T28" s="13">
        <v>37942</v>
      </c>
      <c r="U28" s="13">
        <v>20103</v>
      </c>
      <c r="V28" s="13">
        <v>18957</v>
      </c>
    </row>
    <row r="29" spans="1:22" x14ac:dyDescent="0.25">
      <c r="A29" s="13" t="s">
        <v>61</v>
      </c>
      <c r="B29" s="13">
        <v>11542</v>
      </c>
      <c r="C29" s="13">
        <v>42107</v>
      </c>
      <c r="D29" s="13">
        <v>1413</v>
      </c>
      <c r="E29" s="13">
        <v>25874</v>
      </c>
      <c r="F29" s="13">
        <v>3691</v>
      </c>
      <c r="G29" s="13">
        <v>11079</v>
      </c>
      <c r="H29" s="13">
        <v>118405</v>
      </c>
      <c r="I29" s="13">
        <v>14777</v>
      </c>
      <c r="J29" s="13">
        <v>6036</v>
      </c>
      <c r="K29" s="13">
        <v>6364</v>
      </c>
      <c r="L29" s="13">
        <v>17443</v>
      </c>
      <c r="M29" s="13">
        <v>18021</v>
      </c>
      <c r="N29" s="13">
        <v>25011</v>
      </c>
      <c r="O29" s="13">
        <v>30051</v>
      </c>
      <c r="P29" s="13">
        <v>171716</v>
      </c>
      <c r="Q29" s="13">
        <v>197954</v>
      </c>
      <c r="R29" s="13">
        <v>123854</v>
      </c>
      <c r="S29" s="13">
        <v>39855</v>
      </c>
      <c r="T29" s="13">
        <v>35789</v>
      </c>
      <c r="U29" s="13">
        <v>19548</v>
      </c>
      <c r="V29" s="13">
        <v>17802</v>
      </c>
    </row>
    <row r="30" spans="1:22" x14ac:dyDescent="0.25">
      <c r="A30" s="13" t="s">
        <v>62</v>
      </c>
      <c r="B30" s="13">
        <v>11208</v>
      </c>
      <c r="C30" s="13">
        <v>43848</v>
      </c>
      <c r="D30" s="13">
        <v>1522</v>
      </c>
      <c r="E30" s="13">
        <v>26219</v>
      </c>
      <c r="F30" s="13">
        <v>3927</v>
      </c>
      <c r="G30" s="13">
        <v>11507</v>
      </c>
      <c r="H30" s="13">
        <v>120669</v>
      </c>
      <c r="I30" s="13">
        <v>14551</v>
      </c>
      <c r="J30" s="13">
        <v>6207</v>
      </c>
      <c r="K30" s="13">
        <v>6588</v>
      </c>
      <c r="L30" s="13">
        <v>17610</v>
      </c>
      <c r="M30" s="13">
        <v>18076</v>
      </c>
      <c r="N30" s="13">
        <v>25947</v>
      </c>
      <c r="O30" s="13">
        <v>30333</v>
      </c>
      <c r="P30" s="13">
        <v>175500</v>
      </c>
      <c r="Q30" s="13">
        <v>202493</v>
      </c>
      <c r="R30" s="13">
        <v>126828</v>
      </c>
      <c r="S30" s="13">
        <v>40955</v>
      </c>
      <c r="T30" s="13">
        <v>36404</v>
      </c>
      <c r="U30" s="13">
        <v>20043</v>
      </c>
      <c r="V30" s="13">
        <v>17612</v>
      </c>
    </row>
    <row r="31" spans="1:22" x14ac:dyDescent="0.25">
      <c r="A31" s="13" t="s">
        <v>63</v>
      </c>
      <c r="B31" s="13">
        <v>11474</v>
      </c>
      <c r="C31" s="13">
        <v>44182</v>
      </c>
      <c r="D31" s="13">
        <v>1570</v>
      </c>
      <c r="E31" s="13">
        <v>26496</v>
      </c>
      <c r="F31" s="13">
        <v>4235</v>
      </c>
      <c r="G31" s="13">
        <v>11988</v>
      </c>
      <c r="H31" s="13">
        <v>120510</v>
      </c>
      <c r="I31" s="13">
        <v>14713</v>
      </c>
      <c r="J31" s="13">
        <v>6139</v>
      </c>
      <c r="K31" s="13">
        <v>6512</v>
      </c>
      <c r="L31" s="13">
        <v>17646</v>
      </c>
      <c r="M31" s="13">
        <v>18326</v>
      </c>
      <c r="N31" s="13">
        <v>26067</v>
      </c>
      <c r="O31" s="13">
        <v>30464</v>
      </c>
      <c r="P31" s="13">
        <v>176662</v>
      </c>
      <c r="Q31" s="13">
        <v>203674</v>
      </c>
      <c r="R31" s="13">
        <v>127806</v>
      </c>
      <c r="S31" s="13">
        <v>40970</v>
      </c>
      <c r="T31" s="13">
        <v>37003</v>
      </c>
      <c r="U31" s="13">
        <v>18424</v>
      </c>
      <c r="V31" s="13">
        <v>17184</v>
      </c>
    </row>
    <row r="32" spans="1:22" x14ac:dyDescent="0.25">
      <c r="A32" s="13" t="s">
        <v>64</v>
      </c>
      <c r="B32" s="13">
        <v>12280</v>
      </c>
      <c r="C32" s="13">
        <v>44574</v>
      </c>
      <c r="D32" s="13">
        <v>1564</v>
      </c>
      <c r="E32" s="13">
        <v>26525</v>
      </c>
      <c r="F32" s="13">
        <v>4194</v>
      </c>
      <c r="G32" s="13">
        <v>11954</v>
      </c>
      <c r="H32" s="13">
        <v>122105</v>
      </c>
      <c r="I32" s="13">
        <v>14848</v>
      </c>
      <c r="J32" s="13">
        <v>6275</v>
      </c>
      <c r="K32" s="13">
        <v>6692</v>
      </c>
      <c r="L32" s="13">
        <v>17955</v>
      </c>
      <c r="M32" s="13">
        <v>18568</v>
      </c>
      <c r="N32" s="13">
        <v>26148</v>
      </c>
      <c r="O32" s="13">
        <v>30583</v>
      </c>
      <c r="P32" s="13">
        <v>178763</v>
      </c>
      <c r="Q32" s="13">
        <v>206167</v>
      </c>
      <c r="R32" s="13">
        <v>126348</v>
      </c>
      <c r="S32" s="13">
        <v>41054</v>
      </c>
      <c r="T32" s="13">
        <v>37687</v>
      </c>
      <c r="U32" s="13">
        <v>23282</v>
      </c>
      <c r="V32" s="13">
        <v>17028</v>
      </c>
    </row>
    <row r="33" spans="1:22" x14ac:dyDescent="0.25">
      <c r="A33" s="13" t="s">
        <v>65</v>
      </c>
      <c r="B33" s="13">
        <v>12629</v>
      </c>
      <c r="C33" s="13">
        <v>45921</v>
      </c>
      <c r="D33" s="13">
        <v>1573</v>
      </c>
      <c r="E33" s="13">
        <v>27554</v>
      </c>
      <c r="F33" s="13">
        <v>4285</v>
      </c>
      <c r="G33" s="13">
        <v>12338</v>
      </c>
      <c r="H33" s="13">
        <v>122835</v>
      </c>
      <c r="I33" s="13">
        <v>14637</v>
      </c>
      <c r="J33" s="13">
        <v>6185</v>
      </c>
      <c r="K33" s="13">
        <v>6823</v>
      </c>
      <c r="L33" s="13">
        <v>18029</v>
      </c>
      <c r="M33" s="13">
        <v>18927</v>
      </c>
      <c r="N33" s="13">
        <v>26435</v>
      </c>
      <c r="O33" s="13">
        <v>30775</v>
      </c>
      <c r="P33" s="13">
        <v>180947</v>
      </c>
      <c r="Q33" s="13">
        <v>208251</v>
      </c>
      <c r="R33" s="13">
        <v>125824</v>
      </c>
      <c r="S33" s="13">
        <v>40998</v>
      </c>
      <c r="T33" s="13">
        <v>38423</v>
      </c>
      <c r="U33" s="13">
        <v>23416</v>
      </c>
      <c r="V33" s="13">
        <v>16313</v>
      </c>
    </row>
    <row r="34" spans="1:22" x14ac:dyDescent="0.25">
      <c r="A34" s="13" t="s">
        <v>66</v>
      </c>
      <c r="B34" s="13">
        <v>12921</v>
      </c>
      <c r="C34" s="13">
        <v>43535</v>
      </c>
      <c r="D34" s="13">
        <v>1543</v>
      </c>
      <c r="E34" s="13">
        <v>25665</v>
      </c>
      <c r="F34" s="13">
        <v>4339</v>
      </c>
      <c r="G34" s="13">
        <v>11412</v>
      </c>
      <c r="H34" s="13">
        <v>122472</v>
      </c>
      <c r="I34" s="13">
        <v>14562</v>
      </c>
      <c r="J34" s="13">
        <v>5810</v>
      </c>
      <c r="K34" s="13">
        <v>6799</v>
      </c>
      <c r="L34" s="13">
        <v>17151</v>
      </c>
      <c r="M34" s="13">
        <v>19334</v>
      </c>
      <c r="N34" s="13">
        <v>26575</v>
      </c>
      <c r="O34" s="13">
        <v>30982</v>
      </c>
      <c r="P34" s="13">
        <v>179736</v>
      </c>
      <c r="Q34" s="13">
        <v>207382</v>
      </c>
      <c r="R34" s="13">
        <v>126739</v>
      </c>
      <c r="S34" s="13">
        <v>40661</v>
      </c>
      <c r="T34" s="13">
        <v>37340</v>
      </c>
      <c r="U34" s="13">
        <v>22846</v>
      </c>
      <c r="V34" s="13">
        <v>16619</v>
      </c>
    </row>
    <row r="35" spans="1:22" x14ac:dyDescent="0.25">
      <c r="A35" s="13" t="s">
        <v>67</v>
      </c>
      <c r="B35" s="13">
        <v>12916</v>
      </c>
      <c r="C35" s="13">
        <v>43868</v>
      </c>
      <c r="D35" s="13">
        <v>1555</v>
      </c>
      <c r="E35" s="13">
        <v>27147</v>
      </c>
      <c r="F35" s="13">
        <v>4232</v>
      </c>
      <c r="G35" s="13">
        <v>10554</v>
      </c>
      <c r="H35" s="13">
        <v>121691</v>
      </c>
      <c r="I35" s="13">
        <v>14454</v>
      </c>
      <c r="J35" s="13">
        <v>6000</v>
      </c>
      <c r="K35" s="13">
        <v>6831</v>
      </c>
      <c r="L35" s="13">
        <v>16851</v>
      </c>
      <c r="M35" s="13">
        <v>19269</v>
      </c>
      <c r="N35" s="13">
        <v>25927</v>
      </c>
      <c r="O35" s="13">
        <v>31380</v>
      </c>
      <c r="P35" s="13">
        <v>178423</v>
      </c>
      <c r="Q35" s="13">
        <v>205561</v>
      </c>
      <c r="R35" s="13">
        <v>125210</v>
      </c>
      <c r="S35" s="13">
        <v>41063</v>
      </c>
      <c r="T35" s="13">
        <v>34808</v>
      </c>
      <c r="U35" s="13">
        <v>23516</v>
      </c>
      <c r="V35" s="13">
        <v>16495</v>
      </c>
    </row>
    <row r="36" spans="1:22" x14ac:dyDescent="0.25">
      <c r="A36" s="13" t="s">
        <v>68</v>
      </c>
      <c r="B36" s="13">
        <v>12544</v>
      </c>
      <c r="C36" s="13">
        <v>45380</v>
      </c>
      <c r="D36" s="13">
        <v>1605</v>
      </c>
      <c r="E36" s="13">
        <v>28642</v>
      </c>
      <c r="F36" s="13">
        <v>4321</v>
      </c>
      <c r="G36" s="13">
        <v>10506</v>
      </c>
      <c r="H36" s="13">
        <v>122798</v>
      </c>
      <c r="I36" s="13">
        <v>14432</v>
      </c>
      <c r="J36" s="13">
        <v>6176</v>
      </c>
      <c r="K36" s="13">
        <v>6812</v>
      </c>
      <c r="L36" s="13">
        <v>17338</v>
      </c>
      <c r="M36" s="13">
        <v>19032</v>
      </c>
      <c r="N36" s="13">
        <v>26122</v>
      </c>
      <c r="O36" s="13">
        <v>31665</v>
      </c>
      <c r="P36" s="13">
        <v>180506</v>
      </c>
      <c r="Q36" s="13">
        <v>207520</v>
      </c>
      <c r="R36" s="13">
        <v>125492</v>
      </c>
      <c r="S36" s="13">
        <v>41874</v>
      </c>
      <c r="T36" s="13">
        <v>34987</v>
      </c>
      <c r="U36" s="13">
        <v>23727</v>
      </c>
      <c r="V36" s="13">
        <v>16423</v>
      </c>
    </row>
    <row r="37" spans="1:22" x14ac:dyDescent="0.25">
      <c r="A37" s="13" t="s">
        <v>69</v>
      </c>
      <c r="B37" s="13">
        <v>12760</v>
      </c>
      <c r="C37" s="13">
        <v>45918</v>
      </c>
      <c r="D37" s="13">
        <v>1805</v>
      </c>
      <c r="E37" s="13">
        <v>28171</v>
      </c>
      <c r="F37" s="13">
        <v>4365</v>
      </c>
      <c r="G37" s="13">
        <v>11081</v>
      </c>
      <c r="H37" s="13">
        <v>124074</v>
      </c>
      <c r="I37" s="13">
        <v>15070</v>
      </c>
      <c r="J37" s="13">
        <v>6268</v>
      </c>
      <c r="K37" s="13">
        <v>6786</v>
      </c>
      <c r="L37" s="13">
        <v>17712</v>
      </c>
      <c r="M37" s="13">
        <v>19126</v>
      </c>
      <c r="N37" s="13">
        <v>25957</v>
      </c>
      <c r="O37" s="13">
        <v>32058</v>
      </c>
      <c r="P37" s="13">
        <v>182084</v>
      </c>
      <c r="Q37" s="13">
        <v>209668</v>
      </c>
      <c r="R37" s="13">
        <v>126550</v>
      </c>
      <c r="S37" s="13">
        <v>42962</v>
      </c>
      <c r="T37" s="13">
        <v>36479</v>
      </c>
      <c r="U37" s="13">
        <v>24555</v>
      </c>
      <c r="V37" s="13">
        <v>18140</v>
      </c>
    </row>
    <row r="38" spans="1:22" x14ac:dyDescent="0.25">
      <c r="A38" s="13" t="s">
        <v>70</v>
      </c>
      <c r="B38" s="13">
        <v>12911</v>
      </c>
      <c r="C38" s="13">
        <v>46669</v>
      </c>
      <c r="D38" s="13">
        <v>1578</v>
      </c>
      <c r="E38" s="13">
        <v>29028</v>
      </c>
      <c r="F38" s="13">
        <v>4372</v>
      </c>
      <c r="G38" s="13">
        <v>11509</v>
      </c>
      <c r="H38" s="13">
        <v>124912</v>
      </c>
      <c r="I38" s="13">
        <v>15659</v>
      </c>
      <c r="J38" s="13">
        <v>6308</v>
      </c>
      <c r="K38" s="13">
        <v>6814</v>
      </c>
      <c r="L38" s="13">
        <v>17249</v>
      </c>
      <c r="M38" s="13">
        <v>19492</v>
      </c>
      <c r="N38" s="13">
        <v>25929</v>
      </c>
      <c r="O38" s="13">
        <v>32917</v>
      </c>
      <c r="P38" s="13">
        <v>184695</v>
      </c>
      <c r="Q38" s="13">
        <v>212636</v>
      </c>
      <c r="R38" s="13">
        <v>126423</v>
      </c>
      <c r="S38" s="13">
        <v>42163</v>
      </c>
      <c r="T38" s="13">
        <v>37757</v>
      </c>
      <c r="U38" s="13">
        <v>25979</v>
      </c>
      <c r="V38" s="13">
        <v>17887</v>
      </c>
    </row>
    <row r="39" spans="1:22" x14ac:dyDescent="0.25">
      <c r="A39" s="13" t="s">
        <v>71</v>
      </c>
      <c r="B39" s="13">
        <v>13134</v>
      </c>
      <c r="C39" s="13">
        <v>47797</v>
      </c>
      <c r="D39" s="13">
        <v>1610</v>
      </c>
      <c r="E39" s="13">
        <v>29333</v>
      </c>
      <c r="F39" s="13">
        <v>4620</v>
      </c>
      <c r="G39" s="13">
        <v>11972</v>
      </c>
      <c r="H39" s="13">
        <v>128270</v>
      </c>
      <c r="I39" s="13">
        <v>15831</v>
      </c>
      <c r="J39" s="13">
        <v>6369</v>
      </c>
      <c r="K39" s="13">
        <v>7011</v>
      </c>
      <c r="L39" s="13">
        <v>18769</v>
      </c>
      <c r="M39" s="13">
        <v>20060</v>
      </c>
      <c r="N39" s="13">
        <v>26916</v>
      </c>
      <c r="O39" s="13">
        <v>32333</v>
      </c>
      <c r="P39" s="13">
        <v>189408</v>
      </c>
      <c r="Q39" s="13">
        <v>218442</v>
      </c>
      <c r="R39" s="13">
        <v>129122</v>
      </c>
      <c r="S39" s="13">
        <v>43695</v>
      </c>
      <c r="T39" s="13">
        <v>39062</v>
      </c>
      <c r="U39" s="13">
        <v>26694</v>
      </c>
      <c r="V39" s="13">
        <v>18573</v>
      </c>
    </row>
    <row r="40" spans="1:22" x14ac:dyDescent="0.25">
      <c r="A40" s="13" t="s">
        <v>72</v>
      </c>
      <c r="B40" s="13">
        <v>13133</v>
      </c>
      <c r="C40" s="13">
        <v>49532</v>
      </c>
      <c r="D40" s="13">
        <v>1635</v>
      </c>
      <c r="E40" s="13">
        <v>30550</v>
      </c>
      <c r="F40" s="13">
        <v>4620</v>
      </c>
      <c r="G40" s="13">
        <v>12513</v>
      </c>
      <c r="H40" s="13">
        <v>129335</v>
      </c>
      <c r="I40" s="13">
        <v>16210</v>
      </c>
      <c r="J40" s="13">
        <v>6394</v>
      </c>
      <c r="K40" s="13">
        <v>7161</v>
      </c>
      <c r="L40" s="13">
        <v>17410</v>
      </c>
      <c r="M40" s="13">
        <v>20635</v>
      </c>
      <c r="N40" s="13">
        <v>27254</v>
      </c>
      <c r="O40" s="13">
        <v>32694</v>
      </c>
      <c r="P40" s="13">
        <v>191803</v>
      </c>
      <c r="Q40" s="13">
        <v>221187</v>
      </c>
      <c r="R40" s="13">
        <v>131670</v>
      </c>
      <c r="S40" s="13">
        <v>43672</v>
      </c>
      <c r="T40" s="13">
        <v>39811</v>
      </c>
      <c r="U40" s="13">
        <v>27127</v>
      </c>
      <c r="V40" s="13">
        <v>18560</v>
      </c>
    </row>
    <row r="41" spans="1:22" x14ac:dyDescent="0.25">
      <c r="A41" s="13" t="s">
        <v>73</v>
      </c>
      <c r="B41" s="13">
        <v>12979</v>
      </c>
      <c r="C41" s="13">
        <v>49455</v>
      </c>
      <c r="D41" s="13">
        <v>1662</v>
      </c>
      <c r="E41" s="13">
        <v>30718</v>
      </c>
      <c r="F41" s="13">
        <v>4683</v>
      </c>
      <c r="G41" s="13">
        <v>12177</v>
      </c>
      <c r="H41" s="13">
        <v>131595</v>
      </c>
      <c r="I41" s="13">
        <v>16207</v>
      </c>
      <c r="J41" s="13">
        <v>6504</v>
      </c>
      <c r="K41" s="13">
        <v>7329</v>
      </c>
      <c r="L41" s="13">
        <v>18352</v>
      </c>
      <c r="M41" s="13">
        <v>20788</v>
      </c>
      <c r="N41" s="13">
        <v>27913</v>
      </c>
      <c r="O41" s="13">
        <v>32944</v>
      </c>
      <c r="P41" s="13">
        <v>193265</v>
      </c>
      <c r="Q41" s="13">
        <v>222885</v>
      </c>
      <c r="R41" s="13">
        <v>134907</v>
      </c>
      <c r="S41" s="13">
        <v>43487</v>
      </c>
      <c r="T41" s="13">
        <v>39048</v>
      </c>
      <c r="U41" s="13">
        <v>27862</v>
      </c>
      <c r="V41" s="13">
        <v>19276</v>
      </c>
    </row>
    <row r="42" spans="1:22" x14ac:dyDescent="0.25">
      <c r="A42" s="13" t="s">
        <v>74</v>
      </c>
      <c r="B42" s="13">
        <v>13307</v>
      </c>
      <c r="C42" s="13">
        <v>48998</v>
      </c>
      <c r="D42" s="13">
        <v>1631</v>
      </c>
      <c r="E42" s="13">
        <v>30247</v>
      </c>
      <c r="F42" s="13">
        <v>4681</v>
      </c>
      <c r="G42" s="13">
        <v>11785</v>
      </c>
      <c r="H42" s="13">
        <v>132225</v>
      </c>
      <c r="I42" s="13">
        <v>16163</v>
      </c>
      <c r="J42" s="13">
        <v>6625</v>
      </c>
      <c r="K42" s="13">
        <v>7410</v>
      </c>
      <c r="L42" s="13">
        <v>18631</v>
      </c>
      <c r="M42" s="13">
        <v>20793</v>
      </c>
      <c r="N42" s="13">
        <v>27920</v>
      </c>
      <c r="O42" s="13">
        <v>33075</v>
      </c>
      <c r="P42" s="13">
        <v>194681</v>
      </c>
      <c r="Q42" s="13">
        <v>224528</v>
      </c>
      <c r="R42" s="13">
        <v>134622</v>
      </c>
      <c r="S42" s="13">
        <v>43727</v>
      </c>
      <c r="T42" s="13">
        <v>38631</v>
      </c>
      <c r="U42" s="13">
        <v>29287</v>
      </c>
      <c r="V42" s="13">
        <v>19793</v>
      </c>
    </row>
    <row r="43" spans="1:22" x14ac:dyDescent="0.25">
      <c r="A43" s="13" t="s">
        <v>75</v>
      </c>
      <c r="B43" s="13">
        <v>13482</v>
      </c>
      <c r="C43" s="13">
        <v>49893</v>
      </c>
      <c r="D43" s="13">
        <v>1765</v>
      </c>
      <c r="E43" s="13">
        <v>31172</v>
      </c>
      <c r="F43" s="13">
        <v>4724</v>
      </c>
      <c r="G43" s="13">
        <v>12071</v>
      </c>
      <c r="H43" s="13">
        <v>133127</v>
      </c>
      <c r="I43" s="13">
        <v>16602</v>
      </c>
      <c r="J43" s="13">
        <v>6622</v>
      </c>
      <c r="K43" s="13">
        <v>7553</v>
      </c>
      <c r="L43" s="13">
        <v>18864</v>
      </c>
      <c r="M43" s="13">
        <v>20910</v>
      </c>
      <c r="N43" s="13">
        <v>28333</v>
      </c>
      <c r="O43" s="13">
        <v>33140</v>
      </c>
      <c r="P43" s="13">
        <v>197468</v>
      </c>
      <c r="Q43" s="13">
        <v>227675</v>
      </c>
      <c r="R43" s="13">
        <v>135303</v>
      </c>
      <c r="S43" s="13">
        <v>43957</v>
      </c>
      <c r="T43" s="13">
        <v>40094</v>
      </c>
      <c r="U43" s="13">
        <v>29718</v>
      </c>
      <c r="V43" s="13">
        <v>20212</v>
      </c>
    </row>
    <row r="44" spans="1:22" x14ac:dyDescent="0.25">
      <c r="A44" s="13" t="s">
        <v>76</v>
      </c>
      <c r="B44" s="13">
        <v>12846</v>
      </c>
      <c r="C44" s="13">
        <v>48922</v>
      </c>
      <c r="D44" s="13">
        <v>1747</v>
      </c>
      <c r="E44" s="13">
        <v>30237</v>
      </c>
      <c r="F44" s="13">
        <v>4712</v>
      </c>
      <c r="G44" s="13">
        <v>11604</v>
      </c>
      <c r="H44" s="13">
        <v>134026</v>
      </c>
      <c r="I44" s="13">
        <v>16496</v>
      </c>
      <c r="J44" s="13">
        <v>6577</v>
      </c>
      <c r="K44" s="13">
        <v>7553</v>
      </c>
      <c r="L44" s="13">
        <v>19200</v>
      </c>
      <c r="M44" s="13">
        <v>21110</v>
      </c>
      <c r="N44" s="13">
        <v>28644</v>
      </c>
      <c r="O44" s="13">
        <v>33214</v>
      </c>
      <c r="P44" s="13">
        <v>195422</v>
      </c>
      <c r="Q44" s="13">
        <v>225903</v>
      </c>
      <c r="R44" s="13">
        <v>137418</v>
      </c>
      <c r="S44" s="13">
        <v>44416</v>
      </c>
      <c r="T44" s="13">
        <v>39983</v>
      </c>
      <c r="U44" s="13">
        <v>30062</v>
      </c>
      <c r="V44" s="13">
        <v>19919</v>
      </c>
    </row>
    <row r="45" spans="1:22" x14ac:dyDescent="0.25">
      <c r="A45" s="13" t="s">
        <v>77</v>
      </c>
      <c r="B45" s="13">
        <v>12960</v>
      </c>
      <c r="C45" s="13">
        <v>49554</v>
      </c>
      <c r="D45" s="13">
        <v>1780</v>
      </c>
      <c r="E45" s="13">
        <v>30680</v>
      </c>
      <c r="F45" s="13">
        <v>4753</v>
      </c>
      <c r="G45" s="13">
        <v>11756</v>
      </c>
      <c r="H45" s="13">
        <v>135269</v>
      </c>
      <c r="I45" s="13">
        <v>16639</v>
      </c>
      <c r="J45" s="13">
        <v>6664</v>
      </c>
      <c r="K45" s="13">
        <v>7536</v>
      </c>
      <c r="L45" s="13">
        <v>19263</v>
      </c>
      <c r="M45" s="13">
        <v>21546</v>
      </c>
      <c r="N45" s="13">
        <v>28813</v>
      </c>
      <c r="O45" s="13">
        <v>33286</v>
      </c>
      <c r="P45" s="13">
        <v>197490</v>
      </c>
      <c r="Q45" s="13">
        <v>228750</v>
      </c>
      <c r="R45" s="13">
        <v>139406</v>
      </c>
      <c r="S45" s="13">
        <v>44402</v>
      </c>
      <c r="T45" s="13">
        <v>39977</v>
      </c>
      <c r="U45" s="13">
        <v>30791</v>
      </c>
      <c r="V45" s="13">
        <v>20672</v>
      </c>
    </row>
    <row r="46" spans="1:22" x14ac:dyDescent="0.25">
      <c r="A46" s="13" t="s">
        <v>78</v>
      </c>
      <c r="B46" s="13">
        <v>13399</v>
      </c>
      <c r="C46" s="13">
        <v>50042</v>
      </c>
      <c r="D46" s="13">
        <v>1823</v>
      </c>
      <c r="E46" s="13">
        <v>30941</v>
      </c>
      <c r="F46" s="13">
        <v>4824</v>
      </c>
      <c r="G46" s="13">
        <v>11889</v>
      </c>
      <c r="H46" s="13">
        <v>137654</v>
      </c>
      <c r="I46" s="13">
        <v>17076</v>
      </c>
      <c r="J46" s="13">
        <v>6790</v>
      </c>
      <c r="K46" s="13">
        <v>7486</v>
      </c>
      <c r="L46" s="13">
        <v>20233</v>
      </c>
      <c r="M46" s="13">
        <v>21494</v>
      </c>
      <c r="N46" s="13">
        <v>29080</v>
      </c>
      <c r="O46" s="13">
        <v>34139</v>
      </c>
      <c r="P46" s="13">
        <v>201266</v>
      </c>
      <c r="Q46" s="13">
        <v>232662</v>
      </c>
      <c r="R46" s="13">
        <v>141307</v>
      </c>
      <c r="S46" s="13">
        <v>45009</v>
      </c>
      <c r="T46" s="13">
        <v>42067</v>
      </c>
      <c r="U46" s="13">
        <v>30866</v>
      </c>
      <c r="V46" s="13">
        <v>22284</v>
      </c>
    </row>
    <row r="47" spans="1:22" x14ac:dyDescent="0.25">
      <c r="A47" s="13" t="s">
        <v>79</v>
      </c>
      <c r="B47" s="13">
        <v>13554</v>
      </c>
      <c r="C47" s="13">
        <v>49430</v>
      </c>
      <c r="D47" s="13">
        <v>1810</v>
      </c>
      <c r="E47" s="13">
        <v>30284</v>
      </c>
      <c r="F47" s="13">
        <v>4848</v>
      </c>
      <c r="G47" s="13">
        <v>11619</v>
      </c>
      <c r="H47" s="13">
        <v>138431</v>
      </c>
      <c r="I47" s="13">
        <v>16973</v>
      </c>
      <c r="J47" s="13">
        <v>6728</v>
      </c>
      <c r="K47" s="13">
        <v>7447</v>
      </c>
      <c r="L47" s="13">
        <v>20891</v>
      </c>
      <c r="M47" s="13">
        <v>21864</v>
      </c>
      <c r="N47" s="13">
        <v>29254</v>
      </c>
      <c r="O47" s="13">
        <v>34337</v>
      </c>
      <c r="P47" s="13">
        <v>200958</v>
      </c>
      <c r="Q47" s="13">
        <v>233224</v>
      </c>
      <c r="R47" s="13">
        <v>143106</v>
      </c>
      <c r="S47" s="13">
        <v>45025</v>
      </c>
      <c r="T47" s="13">
        <v>41812</v>
      </c>
      <c r="U47" s="13">
        <v>29142</v>
      </c>
      <c r="V47" s="13">
        <v>22952</v>
      </c>
    </row>
    <row r="48" spans="1:22" x14ac:dyDescent="0.25">
      <c r="A48" s="13" t="s">
        <v>80</v>
      </c>
      <c r="B48" s="13">
        <v>14139</v>
      </c>
      <c r="C48" s="13">
        <v>50239</v>
      </c>
      <c r="D48" s="13">
        <v>1841</v>
      </c>
      <c r="E48" s="13">
        <v>30813</v>
      </c>
      <c r="F48" s="13">
        <v>4982</v>
      </c>
      <c r="G48" s="13">
        <v>11773</v>
      </c>
      <c r="H48" s="13">
        <v>140126</v>
      </c>
      <c r="I48" s="13">
        <v>17279</v>
      </c>
      <c r="J48" s="13">
        <v>6743</v>
      </c>
      <c r="K48" s="13">
        <v>7762</v>
      </c>
      <c r="L48" s="13">
        <v>20806</v>
      </c>
      <c r="M48" s="13">
        <v>22313</v>
      </c>
      <c r="N48" s="13">
        <v>29664</v>
      </c>
      <c r="O48" s="13">
        <v>34566</v>
      </c>
      <c r="P48" s="13">
        <v>204400</v>
      </c>
      <c r="Q48" s="13">
        <v>237037</v>
      </c>
      <c r="R48" s="13">
        <v>144587</v>
      </c>
      <c r="S48" s="13">
        <v>45551</v>
      </c>
      <c r="T48" s="13">
        <v>42062</v>
      </c>
      <c r="U48" s="13">
        <v>33257</v>
      </c>
      <c r="V48" s="13">
        <v>24387</v>
      </c>
    </row>
    <row r="49" spans="1:22" x14ac:dyDescent="0.25">
      <c r="A49" s="13" t="s">
        <v>81</v>
      </c>
      <c r="B49" s="13">
        <v>14212</v>
      </c>
      <c r="C49" s="13">
        <v>51678</v>
      </c>
      <c r="D49" s="13">
        <v>1908</v>
      </c>
      <c r="E49" s="13">
        <v>31853</v>
      </c>
      <c r="F49" s="13">
        <v>4998</v>
      </c>
      <c r="G49" s="13">
        <v>12043</v>
      </c>
      <c r="H49" s="13">
        <v>141570</v>
      </c>
      <c r="I49" s="13">
        <v>17831</v>
      </c>
      <c r="J49" s="13">
        <v>6866</v>
      </c>
      <c r="K49" s="13">
        <v>7592</v>
      </c>
      <c r="L49" s="13">
        <v>20131</v>
      </c>
      <c r="M49" s="13">
        <v>22649</v>
      </c>
      <c r="N49" s="13">
        <v>30031</v>
      </c>
      <c r="O49" s="13">
        <v>34854</v>
      </c>
      <c r="P49" s="13">
        <v>207358</v>
      </c>
      <c r="Q49" s="13">
        <v>239848</v>
      </c>
      <c r="R49" s="13">
        <v>146669</v>
      </c>
      <c r="S49" s="13">
        <v>47220</v>
      </c>
      <c r="T49" s="13">
        <v>43350</v>
      </c>
      <c r="U49" s="13">
        <v>32347</v>
      </c>
      <c r="V49" s="13">
        <v>25225</v>
      </c>
    </row>
    <row r="50" spans="1:22" x14ac:dyDescent="0.25">
      <c r="A50" s="13" t="s">
        <v>82</v>
      </c>
      <c r="B50" s="13">
        <v>13984</v>
      </c>
      <c r="C50" s="13">
        <v>51933</v>
      </c>
      <c r="D50" s="13">
        <v>1903</v>
      </c>
      <c r="E50" s="13">
        <v>31744</v>
      </c>
      <c r="F50" s="13">
        <v>5135</v>
      </c>
      <c r="G50" s="13">
        <v>12639</v>
      </c>
      <c r="H50" s="13">
        <v>145315</v>
      </c>
      <c r="I50" s="13">
        <v>18262</v>
      </c>
      <c r="J50" s="13">
        <v>6992</v>
      </c>
      <c r="K50" s="13">
        <v>7900</v>
      </c>
      <c r="L50" s="13">
        <v>22312</v>
      </c>
      <c r="M50" s="13">
        <v>23031</v>
      </c>
      <c r="N50" s="13">
        <v>30483</v>
      </c>
      <c r="O50" s="13">
        <v>35153</v>
      </c>
      <c r="P50" s="13">
        <v>211381</v>
      </c>
      <c r="Q50" s="13">
        <v>244629</v>
      </c>
      <c r="R50" s="13">
        <v>150332</v>
      </c>
      <c r="S50" s="13">
        <v>46899</v>
      </c>
      <c r="T50" s="13">
        <v>45365</v>
      </c>
      <c r="U50" s="13">
        <v>32961</v>
      </c>
      <c r="V50" s="13">
        <v>26694</v>
      </c>
    </row>
    <row r="51" spans="1:22" x14ac:dyDescent="0.25">
      <c r="A51" s="13" t="s">
        <v>83</v>
      </c>
      <c r="B51" s="13">
        <v>13696</v>
      </c>
      <c r="C51" s="13">
        <v>53709</v>
      </c>
      <c r="D51" s="13">
        <v>1915</v>
      </c>
      <c r="E51" s="13">
        <v>32900</v>
      </c>
      <c r="F51" s="13">
        <v>5246</v>
      </c>
      <c r="G51" s="13">
        <v>12987</v>
      </c>
      <c r="H51" s="13">
        <v>146614</v>
      </c>
      <c r="I51" s="13">
        <v>18622</v>
      </c>
      <c r="J51" s="13">
        <v>7064</v>
      </c>
      <c r="K51" s="13">
        <v>7967</v>
      </c>
      <c r="L51" s="13">
        <v>23193</v>
      </c>
      <c r="M51" s="13">
        <v>23385</v>
      </c>
      <c r="N51" s="13">
        <v>30389</v>
      </c>
      <c r="O51" s="13">
        <v>35169</v>
      </c>
      <c r="P51" s="13">
        <v>213767</v>
      </c>
      <c r="Q51" s="13">
        <v>248430</v>
      </c>
      <c r="R51" s="13">
        <v>151883</v>
      </c>
      <c r="S51" s="13">
        <v>48028</v>
      </c>
      <c r="T51" s="13">
        <v>47117</v>
      </c>
      <c r="U51" s="13">
        <v>32630</v>
      </c>
      <c r="V51" s="13">
        <v>27091</v>
      </c>
    </row>
    <row r="52" spans="1:22" x14ac:dyDescent="0.25">
      <c r="A52" s="13" t="s">
        <v>84</v>
      </c>
      <c r="B52" s="13">
        <v>14729</v>
      </c>
      <c r="C52" s="13">
        <v>53882</v>
      </c>
      <c r="D52" s="13">
        <v>1875</v>
      </c>
      <c r="E52" s="13">
        <v>33290</v>
      </c>
      <c r="F52" s="13">
        <v>5217</v>
      </c>
      <c r="G52" s="13">
        <v>12993</v>
      </c>
      <c r="H52" s="13">
        <v>147651</v>
      </c>
      <c r="I52" s="13">
        <v>18757</v>
      </c>
      <c r="J52" s="13">
        <v>7051</v>
      </c>
      <c r="K52" s="13">
        <v>8059</v>
      </c>
      <c r="L52" s="13">
        <v>23857</v>
      </c>
      <c r="M52" s="13">
        <v>23570</v>
      </c>
      <c r="N52" s="13">
        <v>30488</v>
      </c>
      <c r="O52" s="13">
        <v>35289</v>
      </c>
      <c r="P52" s="13">
        <v>216265</v>
      </c>
      <c r="Q52" s="13">
        <v>250999</v>
      </c>
      <c r="R52" s="13">
        <v>152843</v>
      </c>
      <c r="S52" s="13">
        <v>47771</v>
      </c>
      <c r="T52" s="13">
        <v>47804</v>
      </c>
      <c r="U52" s="13">
        <v>33407</v>
      </c>
      <c r="V52" s="13">
        <v>28984</v>
      </c>
    </row>
    <row r="53" spans="1:22" x14ac:dyDescent="0.25">
      <c r="A53" s="13" t="s">
        <v>85</v>
      </c>
      <c r="B53" s="13">
        <v>14733</v>
      </c>
      <c r="C53" s="13">
        <v>54350</v>
      </c>
      <c r="D53" s="13">
        <v>1902</v>
      </c>
      <c r="E53" s="13">
        <v>33578</v>
      </c>
      <c r="F53" s="13">
        <v>5261</v>
      </c>
      <c r="G53" s="13">
        <v>13042</v>
      </c>
      <c r="H53" s="13">
        <v>150427</v>
      </c>
      <c r="I53" s="13">
        <v>19233</v>
      </c>
      <c r="J53" s="13">
        <v>7386</v>
      </c>
      <c r="K53" s="13">
        <v>8293</v>
      </c>
      <c r="L53" s="13">
        <v>24949</v>
      </c>
      <c r="M53" s="13">
        <v>23644</v>
      </c>
      <c r="N53" s="13">
        <v>30823</v>
      </c>
      <c r="O53" s="13">
        <v>35166</v>
      </c>
      <c r="P53" s="13">
        <v>219054</v>
      </c>
      <c r="Q53" s="13">
        <v>254878</v>
      </c>
      <c r="R53" s="13">
        <v>157282</v>
      </c>
      <c r="S53" s="13">
        <v>47527</v>
      </c>
      <c r="T53" s="13">
        <v>49138</v>
      </c>
      <c r="U53" s="13">
        <v>33374</v>
      </c>
      <c r="V53" s="13">
        <v>29964</v>
      </c>
    </row>
    <row r="54" spans="1:22" x14ac:dyDescent="0.25">
      <c r="A54" s="13" t="s">
        <v>86</v>
      </c>
      <c r="B54" s="13">
        <v>14714</v>
      </c>
      <c r="C54" s="13">
        <v>55767</v>
      </c>
      <c r="D54" s="13">
        <v>2007</v>
      </c>
      <c r="E54" s="13">
        <v>34451</v>
      </c>
      <c r="F54" s="13">
        <v>5305</v>
      </c>
      <c r="G54" s="13">
        <v>13332</v>
      </c>
      <c r="H54" s="13">
        <v>151692</v>
      </c>
      <c r="I54" s="13">
        <v>19659</v>
      </c>
      <c r="J54" s="13">
        <v>7645</v>
      </c>
      <c r="K54" s="13">
        <v>8533</v>
      </c>
      <c r="L54" s="13">
        <v>25950</v>
      </c>
      <c r="M54" s="13">
        <v>23653</v>
      </c>
      <c r="N54" s="13">
        <v>31300</v>
      </c>
      <c r="O54" s="13">
        <v>34696</v>
      </c>
      <c r="P54" s="13">
        <v>221452</v>
      </c>
      <c r="Q54" s="13">
        <v>257754</v>
      </c>
      <c r="R54" s="13">
        <v>159355</v>
      </c>
      <c r="S54" s="13">
        <v>48299</v>
      </c>
      <c r="T54" s="13">
        <v>51261</v>
      </c>
      <c r="U54" s="13">
        <v>33146</v>
      </c>
      <c r="V54" s="13">
        <v>31083</v>
      </c>
    </row>
    <row r="55" spans="1:22" x14ac:dyDescent="0.25">
      <c r="A55" s="13" t="s">
        <v>87</v>
      </c>
      <c r="B55" s="13">
        <v>15192</v>
      </c>
      <c r="C55" s="13">
        <v>56090</v>
      </c>
      <c r="D55" s="13">
        <v>1976</v>
      </c>
      <c r="E55" s="13">
        <v>35024</v>
      </c>
      <c r="F55" s="13">
        <v>5287</v>
      </c>
      <c r="G55" s="13">
        <v>13415</v>
      </c>
      <c r="H55" s="13">
        <v>154695</v>
      </c>
      <c r="I55" s="13">
        <v>20068</v>
      </c>
      <c r="J55" s="13">
        <v>7777</v>
      </c>
      <c r="K55" s="13">
        <v>8753</v>
      </c>
      <c r="L55" s="13">
        <v>26758</v>
      </c>
      <c r="M55" s="13">
        <v>23738</v>
      </c>
      <c r="N55" s="13">
        <v>32061</v>
      </c>
      <c r="O55" s="13">
        <v>35362</v>
      </c>
      <c r="P55" s="13">
        <v>226458</v>
      </c>
      <c r="Q55" s="13">
        <v>263793</v>
      </c>
      <c r="R55" s="13">
        <v>162514</v>
      </c>
      <c r="S55" s="13">
        <v>48238</v>
      </c>
      <c r="T55" s="13">
        <v>53489</v>
      </c>
      <c r="U55" s="13">
        <v>34272</v>
      </c>
      <c r="V55" s="13">
        <v>33512</v>
      </c>
    </row>
    <row r="56" spans="1:22" x14ac:dyDescent="0.25">
      <c r="A56" s="13" t="s">
        <v>88</v>
      </c>
      <c r="B56" s="13">
        <v>15482</v>
      </c>
      <c r="C56" s="13">
        <v>57665</v>
      </c>
      <c r="D56" s="13">
        <v>2021</v>
      </c>
      <c r="E56" s="13">
        <v>35676</v>
      </c>
      <c r="F56" s="13">
        <v>5406</v>
      </c>
      <c r="G56" s="13">
        <v>13948</v>
      </c>
      <c r="H56" s="13">
        <v>156607</v>
      </c>
      <c r="I56" s="13">
        <v>20399</v>
      </c>
      <c r="J56" s="13">
        <v>7815</v>
      </c>
      <c r="K56" s="13">
        <v>8927</v>
      </c>
      <c r="L56" s="13">
        <v>27175</v>
      </c>
      <c r="M56" s="13">
        <v>23935</v>
      </c>
      <c r="N56" s="13">
        <v>32252</v>
      </c>
      <c r="O56" s="13">
        <v>35535</v>
      </c>
      <c r="P56" s="13">
        <v>229262</v>
      </c>
      <c r="Q56" s="13">
        <v>267610</v>
      </c>
      <c r="R56" s="13">
        <v>165551</v>
      </c>
      <c r="S56" s="13">
        <v>49643</v>
      </c>
      <c r="T56" s="13">
        <v>56193</v>
      </c>
      <c r="U56" s="13">
        <v>33423</v>
      </c>
      <c r="V56" s="13">
        <v>34442</v>
      </c>
    </row>
    <row r="57" spans="1:22" x14ac:dyDescent="0.25">
      <c r="A57" s="13" t="s">
        <v>89</v>
      </c>
      <c r="B57" s="13">
        <v>14869</v>
      </c>
      <c r="C57" s="13">
        <v>53142</v>
      </c>
      <c r="D57" s="13">
        <v>1901</v>
      </c>
      <c r="E57" s="13">
        <v>31865</v>
      </c>
      <c r="F57" s="13">
        <v>5402</v>
      </c>
      <c r="G57" s="13">
        <v>13503</v>
      </c>
      <c r="H57" s="13">
        <v>153690</v>
      </c>
      <c r="I57" s="13">
        <v>18794</v>
      </c>
      <c r="J57" s="13">
        <v>7414</v>
      </c>
      <c r="K57" s="13">
        <v>9061</v>
      </c>
      <c r="L57" s="13">
        <v>26790</v>
      </c>
      <c r="M57" s="13">
        <v>23605</v>
      </c>
      <c r="N57" s="13">
        <v>31973</v>
      </c>
      <c r="O57" s="13">
        <v>35660</v>
      </c>
      <c r="P57" s="13">
        <v>220896</v>
      </c>
      <c r="Q57" s="13">
        <v>257490</v>
      </c>
      <c r="R57" s="13">
        <v>162885</v>
      </c>
      <c r="S57" s="13">
        <v>47952</v>
      </c>
      <c r="T57" s="13">
        <v>51720</v>
      </c>
      <c r="U57" s="13">
        <v>31475</v>
      </c>
      <c r="V57" s="13">
        <v>32334</v>
      </c>
    </row>
    <row r="58" spans="1:22" x14ac:dyDescent="0.25">
      <c r="A58" s="13" t="s">
        <v>90</v>
      </c>
      <c r="B58" s="13">
        <v>14467</v>
      </c>
      <c r="C58" s="13">
        <v>49606</v>
      </c>
      <c r="D58" s="13">
        <v>1864</v>
      </c>
      <c r="E58" s="13">
        <v>29185</v>
      </c>
      <c r="F58" s="13">
        <v>5189</v>
      </c>
      <c r="G58" s="13">
        <v>13278</v>
      </c>
      <c r="H58" s="13">
        <v>154559</v>
      </c>
      <c r="I58" s="13">
        <v>18191</v>
      </c>
      <c r="J58" s="13">
        <v>7093</v>
      </c>
      <c r="K58" s="13">
        <v>8834</v>
      </c>
      <c r="L58" s="13">
        <v>28159</v>
      </c>
      <c r="M58" s="13">
        <v>24045</v>
      </c>
      <c r="N58" s="13">
        <v>32676</v>
      </c>
      <c r="O58" s="13">
        <v>36227</v>
      </c>
      <c r="P58" s="13">
        <v>218816</v>
      </c>
      <c r="Q58" s="13">
        <v>253963</v>
      </c>
      <c r="R58" s="13">
        <v>164756</v>
      </c>
      <c r="S58" s="13">
        <v>49838</v>
      </c>
      <c r="T58" s="13">
        <v>46269</v>
      </c>
      <c r="U58" s="13">
        <v>29723</v>
      </c>
      <c r="V58" s="13">
        <v>27660</v>
      </c>
    </row>
    <row r="59" spans="1:22" x14ac:dyDescent="0.25">
      <c r="A59" s="13" t="s">
        <v>91</v>
      </c>
      <c r="B59" s="13">
        <v>14307</v>
      </c>
      <c r="C59" s="13">
        <v>52107</v>
      </c>
      <c r="D59" s="13">
        <v>1914</v>
      </c>
      <c r="E59" s="13">
        <v>30351</v>
      </c>
      <c r="F59" s="13">
        <v>5356</v>
      </c>
      <c r="G59" s="13">
        <v>14026</v>
      </c>
      <c r="H59" s="13">
        <v>156118</v>
      </c>
      <c r="I59" s="13">
        <v>18937</v>
      </c>
      <c r="J59" s="13">
        <v>7160</v>
      </c>
      <c r="K59" s="13">
        <v>8843</v>
      </c>
      <c r="L59" s="13">
        <v>28835</v>
      </c>
      <c r="M59" s="13">
        <v>24242</v>
      </c>
      <c r="N59" s="13">
        <v>32572</v>
      </c>
      <c r="O59" s="13">
        <v>36433</v>
      </c>
      <c r="P59" s="13">
        <v>221853</v>
      </c>
      <c r="Q59" s="13">
        <v>258496</v>
      </c>
      <c r="R59" s="13">
        <v>169013</v>
      </c>
      <c r="S59" s="13">
        <v>49244</v>
      </c>
      <c r="T59" s="13">
        <v>49420</v>
      </c>
      <c r="U59" s="13">
        <v>30676</v>
      </c>
      <c r="V59" s="13">
        <v>29168</v>
      </c>
    </row>
    <row r="60" spans="1:22" x14ac:dyDescent="0.25">
      <c r="A60" s="13" t="s">
        <v>92</v>
      </c>
      <c r="B60" s="13">
        <v>14440</v>
      </c>
      <c r="C60" s="13">
        <v>54118</v>
      </c>
      <c r="D60" s="13">
        <v>1951</v>
      </c>
      <c r="E60" s="13">
        <v>31679</v>
      </c>
      <c r="F60" s="13">
        <v>5430</v>
      </c>
      <c r="G60" s="13">
        <v>14941</v>
      </c>
      <c r="H60" s="13">
        <v>158825</v>
      </c>
      <c r="I60" s="13">
        <v>19631</v>
      </c>
      <c r="J60" s="13">
        <v>7370</v>
      </c>
      <c r="K60" s="13">
        <v>8850</v>
      </c>
      <c r="L60" s="13">
        <v>29276</v>
      </c>
      <c r="M60" s="13">
        <v>24563</v>
      </c>
      <c r="N60" s="13">
        <v>33106</v>
      </c>
      <c r="O60" s="13">
        <v>36710</v>
      </c>
      <c r="P60" s="13">
        <v>226830</v>
      </c>
      <c r="Q60" s="13">
        <v>264572</v>
      </c>
      <c r="R60" s="13">
        <v>172927</v>
      </c>
      <c r="S60" s="13">
        <v>49787</v>
      </c>
      <c r="T60" s="13">
        <v>53959</v>
      </c>
      <c r="U60" s="13">
        <v>30065</v>
      </c>
      <c r="V60" s="13">
        <v>30608</v>
      </c>
    </row>
    <row r="61" spans="1:22" x14ac:dyDescent="0.25">
      <c r="A61" s="13" t="s">
        <v>93</v>
      </c>
      <c r="B61" s="13">
        <v>15062</v>
      </c>
      <c r="C61" s="13">
        <v>56361</v>
      </c>
      <c r="D61" s="13">
        <v>2001</v>
      </c>
      <c r="E61" s="13">
        <v>33119</v>
      </c>
      <c r="F61" s="13">
        <v>5587</v>
      </c>
      <c r="G61" s="13">
        <v>15695</v>
      </c>
      <c r="H61" s="13">
        <v>161550</v>
      </c>
      <c r="I61" s="13">
        <v>20239</v>
      </c>
      <c r="J61" s="13">
        <v>7693</v>
      </c>
      <c r="K61" s="13">
        <v>8855</v>
      </c>
      <c r="L61" s="13">
        <v>29793</v>
      </c>
      <c r="M61" s="13">
        <v>24925</v>
      </c>
      <c r="N61" s="13">
        <v>33424</v>
      </c>
      <c r="O61" s="13">
        <v>37146</v>
      </c>
      <c r="P61" s="13">
        <v>232236</v>
      </c>
      <c r="Q61" s="13">
        <v>271270</v>
      </c>
      <c r="R61" s="13">
        <v>174170</v>
      </c>
      <c r="S61" s="13">
        <v>50961</v>
      </c>
      <c r="T61" s="13">
        <v>58319</v>
      </c>
      <c r="U61" s="13">
        <v>30266</v>
      </c>
      <c r="V61" s="13">
        <v>34267</v>
      </c>
    </row>
    <row r="62" spans="1:22" x14ac:dyDescent="0.25">
      <c r="A62" s="13" t="s">
        <v>94</v>
      </c>
      <c r="B62" s="13">
        <v>15351</v>
      </c>
      <c r="C62" s="13">
        <v>56986</v>
      </c>
      <c r="D62" s="13">
        <v>2153</v>
      </c>
      <c r="E62" s="13">
        <v>33348</v>
      </c>
      <c r="F62" s="13">
        <v>5623</v>
      </c>
      <c r="G62" s="13">
        <v>15874</v>
      </c>
      <c r="H62" s="13">
        <v>164155</v>
      </c>
      <c r="I62" s="13">
        <v>21034</v>
      </c>
      <c r="J62" s="13">
        <v>7981</v>
      </c>
      <c r="K62" s="13">
        <v>9104</v>
      </c>
      <c r="L62" s="13">
        <v>30517</v>
      </c>
      <c r="M62" s="13">
        <v>25176</v>
      </c>
      <c r="N62" s="13">
        <v>33530</v>
      </c>
      <c r="O62" s="13">
        <v>37136</v>
      </c>
      <c r="P62" s="13">
        <v>237100</v>
      </c>
      <c r="Q62" s="13">
        <v>277466</v>
      </c>
      <c r="R62" s="13">
        <v>177028</v>
      </c>
      <c r="S62" s="13">
        <v>51375</v>
      </c>
      <c r="T62" s="13">
        <v>59910</v>
      </c>
      <c r="U62" s="13">
        <v>33534</v>
      </c>
      <c r="V62" s="13">
        <v>38539</v>
      </c>
    </row>
    <row r="63" spans="1:22" x14ac:dyDescent="0.25">
      <c r="A63" s="13" t="s">
        <v>95</v>
      </c>
      <c r="B63" s="13">
        <v>15715</v>
      </c>
      <c r="C63" s="13">
        <v>58510</v>
      </c>
      <c r="D63" s="13">
        <v>2214</v>
      </c>
      <c r="E63" s="13">
        <v>33978</v>
      </c>
      <c r="F63" s="13">
        <v>5746</v>
      </c>
      <c r="G63" s="13">
        <v>16507</v>
      </c>
      <c r="H63" s="13">
        <v>165555</v>
      </c>
      <c r="I63" s="13">
        <v>21225</v>
      </c>
      <c r="J63" s="13">
        <v>8126</v>
      </c>
      <c r="K63" s="13">
        <v>9276</v>
      </c>
      <c r="L63" s="13">
        <v>31127</v>
      </c>
      <c r="M63" s="13">
        <v>25542</v>
      </c>
      <c r="N63" s="13">
        <v>33656</v>
      </c>
      <c r="O63" s="13">
        <v>37335</v>
      </c>
      <c r="P63" s="13">
        <v>239595</v>
      </c>
      <c r="Q63" s="13">
        <v>280172</v>
      </c>
      <c r="R63" s="13">
        <v>178217</v>
      </c>
      <c r="S63" s="13">
        <v>51691</v>
      </c>
      <c r="T63" s="13">
        <v>60549</v>
      </c>
      <c r="U63" s="13">
        <v>33037</v>
      </c>
      <c r="V63" s="13">
        <v>39423</v>
      </c>
    </row>
    <row r="64" spans="1:22" x14ac:dyDescent="0.25">
      <c r="A64" s="13" t="s">
        <v>96</v>
      </c>
      <c r="B64" s="13">
        <v>15359</v>
      </c>
      <c r="C64" s="13">
        <v>58729</v>
      </c>
      <c r="D64" s="13">
        <v>2236</v>
      </c>
      <c r="E64" s="13">
        <v>33994</v>
      </c>
      <c r="F64" s="13">
        <v>5767</v>
      </c>
      <c r="G64" s="13">
        <v>16370</v>
      </c>
      <c r="H64" s="13">
        <v>167959</v>
      </c>
      <c r="I64" s="13">
        <v>21585</v>
      </c>
      <c r="J64" s="13">
        <v>8191</v>
      </c>
      <c r="K64" s="13">
        <v>9417</v>
      </c>
      <c r="L64" s="13">
        <v>32139</v>
      </c>
      <c r="M64" s="13">
        <v>25813</v>
      </c>
      <c r="N64" s="13">
        <v>34149</v>
      </c>
      <c r="O64" s="13">
        <v>37519</v>
      </c>
      <c r="P64" s="13">
        <v>241410</v>
      </c>
      <c r="Q64" s="13">
        <v>283023</v>
      </c>
      <c r="R64" s="13">
        <v>182110</v>
      </c>
      <c r="S64" s="13">
        <v>52195</v>
      </c>
      <c r="T64" s="13">
        <v>62315</v>
      </c>
      <c r="U64" s="13">
        <v>33974</v>
      </c>
      <c r="V64" s="13">
        <v>42409</v>
      </c>
    </row>
    <row r="65" spans="1:22" x14ac:dyDescent="0.25">
      <c r="A65" s="13" t="s">
        <v>97</v>
      </c>
      <c r="B65" s="13">
        <v>15630</v>
      </c>
      <c r="C65" s="13">
        <v>59638</v>
      </c>
      <c r="D65" s="13">
        <v>2277</v>
      </c>
      <c r="E65" s="13">
        <v>34440</v>
      </c>
      <c r="F65" s="13">
        <v>5787</v>
      </c>
      <c r="G65" s="13">
        <v>16904</v>
      </c>
      <c r="H65" s="13">
        <v>170044</v>
      </c>
      <c r="I65" s="13">
        <v>21793</v>
      </c>
      <c r="J65" s="13">
        <v>8296</v>
      </c>
      <c r="K65" s="13">
        <v>9466</v>
      </c>
      <c r="L65" s="13">
        <v>33101</v>
      </c>
      <c r="M65" s="13">
        <v>26021</v>
      </c>
      <c r="N65" s="13">
        <v>34730</v>
      </c>
      <c r="O65" s="13">
        <v>37773</v>
      </c>
      <c r="P65" s="13">
        <v>244652</v>
      </c>
      <c r="Q65" s="13">
        <v>286863</v>
      </c>
      <c r="R65" s="13">
        <v>185966</v>
      </c>
      <c r="S65" s="13">
        <v>52384</v>
      </c>
      <c r="T65" s="13">
        <v>62875</v>
      </c>
      <c r="U65" s="13">
        <v>34221</v>
      </c>
      <c r="V65" s="13">
        <v>42557</v>
      </c>
    </row>
    <row r="66" spans="1:22" x14ac:dyDescent="0.25">
      <c r="A66" s="13" t="s">
        <v>98</v>
      </c>
      <c r="B66" s="13">
        <v>15996</v>
      </c>
      <c r="C66" s="13">
        <v>59692</v>
      </c>
      <c r="D66" s="13">
        <v>2247</v>
      </c>
      <c r="E66" s="13">
        <v>34768</v>
      </c>
      <c r="F66" s="13">
        <v>5858</v>
      </c>
      <c r="G66" s="13">
        <v>17159</v>
      </c>
      <c r="H66" s="13">
        <v>171808</v>
      </c>
      <c r="I66" s="13">
        <v>21954</v>
      </c>
      <c r="J66" s="13">
        <v>8494</v>
      </c>
      <c r="K66" s="13">
        <v>9666</v>
      </c>
      <c r="L66" s="13">
        <v>33057</v>
      </c>
      <c r="M66" s="13">
        <v>26087</v>
      </c>
      <c r="N66" s="13">
        <v>35368</v>
      </c>
      <c r="O66" s="13">
        <v>38059</v>
      </c>
      <c r="P66" s="13">
        <v>248236</v>
      </c>
      <c r="Q66" s="13">
        <v>291069</v>
      </c>
      <c r="R66" s="13">
        <v>188221</v>
      </c>
      <c r="S66" s="13">
        <v>52798</v>
      </c>
      <c r="T66" s="13">
        <v>64435</v>
      </c>
      <c r="U66" s="13">
        <v>34844</v>
      </c>
      <c r="V66" s="13">
        <v>42936</v>
      </c>
    </row>
    <row r="67" spans="1:22" x14ac:dyDescent="0.25">
      <c r="A67" s="13" t="s">
        <v>99</v>
      </c>
      <c r="B67" s="13">
        <v>15840</v>
      </c>
      <c r="C67" s="13">
        <v>61813</v>
      </c>
      <c r="D67" s="13">
        <v>2299</v>
      </c>
      <c r="E67" s="13">
        <v>35476</v>
      </c>
      <c r="F67" s="13">
        <v>6105</v>
      </c>
      <c r="G67" s="13">
        <v>17698</v>
      </c>
      <c r="H67" s="13">
        <v>172867</v>
      </c>
      <c r="I67" s="13">
        <v>22072</v>
      </c>
      <c r="J67" s="13">
        <v>8526</v>
      </c>
      <c r="K67" s="13">
        <v>9935</v>
      </c>
      <c r="L67" s="13">
        <v>33473</v>
      </c>
      <c r="M67" s="13">
        <v>25949</v>
      </c>
      <c r="N67" s="13">
        <v>35703</v>
      </c>
      <c r="O67" s="13">
        <v>38142</v>
      </c>
      <c r="P67" s="13">
        <v>249998</v>
      </c>
      <c r="Q67" s="13">
        <v>293812</v>
      </c>
      <c r="R67" s="13">
        <v>190211</v>
      </c>
      <c r="S67" s="13">
        <v>53311</v>
      </c>
      <c r="T67" s="13">
        <v>65583</v>
      </c>
      <c r="U67" s="13">
        <v>35226</v>
      </c>
      <c r="V67" s="13">
        <v>44753</v>
      </c>
    </row>
    <row r="68" spans="1:22" x14ac:dyDescent="0.25">
      <c r="A68" s="13" t="s">
        <v>100</v>
      </c>
      <c r="B68" s="13">
        <v>16649</v>
      </c>
      <c r="C68" s="13">
        <v>61071</v>
      </c>
      <c r="D68" s="13">
        <v>2298</v>
      </c>
      <c r="E68" s="13">
        <v>34566</v>
      </c>
      <c r="F68" s="13">
        <v>6123</v>
      </c>
      <c r="G68" s="13">
        <v>17975</v>
      </c>
      <c r="H68" s="13">
        <v>172729</v>
      </c>
      <c r="I68" s="13">
        <v>21758</v>
      </c>
      <c r="J68" s="13">
        <v>8443</v>
      </c>
      <c r="K68" s="13">
        <v>10005</v>
      </c>
      <c r="L68" s="13">
        <v>34027</v>
      </c>
      <c r="M68" s="13">
        <v>26137</v>
      </c>
      <c r="N68" s="13">
        <v>35716</v>
      </c>
      <c r="O68" s="13">
        <v>38146</v>
      </c>
      <c r="P68" s="13">
        <v>249736</v>
      </c>
      <c r="Q68" s="13">
        <v>293211</v>
      </c>
      <c r="R68" s="13">
        <v>189488</v>
      </c>
      <c r="S68" s="13">
        <v>53102</v>
      </c>
      <c r="T68" s="13">
        <v>66210</v>
      </c>
      <c r="U68" s="13">
        <v>35834</v>
      </c>
      <c r="V68" s="13">
        <v>45253</v>
      </c>
    </row>
    <row r="69" spans="1:22" x14ac:dyDescent="0.25">
      <c r="A69" s="13" t="s">
        <v>101</v>
      </c>
      <c r="B69" s="13">
        <v>17467</v>
      </c>
      <c r="C69" s="13">
        <v>60903</v>
      </c>
      <c r="D69" s="13">
        <v>2343</v>
      </c>
      <c r="E69" s="13">
        <v>33987</v>
      </c>
      <c r="F69" s="13">
        <v>6126</v>
      </c>
      <c r="G69" s="13">
        <v>18258</v>
      </c>
      <c r="H69" s="13">
        <v>173772</v>
      </c>
      <c r="I69" s="13">
        <v>21893</v>
      </c>
      <c r="J69" s="13">
        <v>8520</v>
      </c>
      <c r="K69" s="13">
        <v>10078</v>
      </c>
      <c r="L69" s="13">
        <v>34261</v>
      </c>
      <c r="M69" s="13">
        <v>26357</v>
      </c>
      <c r="N69" s="13">
        <v>35726</v>
      </c>
      <c r="O69" s="13">
        <v>38368</v>
      </c>
      <c r="P69" s="13">
        <v>251795</v>
      </c>
      <c r="Q69" s="13">
        <v>295632</v>
      </c>
      <c r="R69" s="13">
        <v>190476</v>
      </c>
      <c r="S69" s="13">
        <v>52983</v>
      </c>
      <c r="T69" s="13">
        <v>66397</v>
      </c>
      <c r="U69" s="13">
        <v>36369</v>
      </c>
      <c r="V69" s="13">
        <v>46581</v>
      </c>
    </row>
    <row r="70" spans="1:22" x14ac:dyDescent="0.25">
      <c r="A70" s="13" t="s">
        <v>102</v>
      </c>
      <c r="B70" s="13">
        <v>14046</v>
      </c>
      <c r="C70" s="13">
        <v>60993</v>
      </c>
      <c r="D70" s="13">
        <v>2320</v>
      </c>
      <c r="E70" s="13">
        <v>34186</v>
      </c>
      <c r="F70" s="13">
        <v>6223</v>
      </c>
      <c r="G70" s="13">
        <v>18505</v>
      </c>
      <c r="H70" s="13">
        <v>173411</v>
      </c>
      <c r="I70" s="13">
        <v>22052</v>
      </c>
      <c r="J70" s="13">
        <v>8500</v>
      </c>
      <c r="K70" s="13">
        <v>10201</v>
      </c>
      <c r="L70" s="13">
        <v>34182</v>
      </c>
      <c r="M70" s="13">
        <v>26770</v>
      </c>
      <c r="N70" s="13">
        <v>35964</v>
      </c>
      <c r="O70" s="13">
        <v>38163</v>
      </c>
      <c r="P70" s="13">
        <v>248213</v>
      </c>
      <c r="Q70" s="13">
        <v>291855</v>
      </c>
      <c r="R70" s="13">
        <v>191535</v>
      </c>
      <c r="S70" s="13">
        <v>54047</v>
      </c>
      <c r="T70" s="13">
        <v>66136</v>
      </c>
      <c r="U70" s="13">
        <v>35999</v>
      </c>
      <c r="V70" s="13">
        <v>44682</v>
      </c>
    </row>
    <row r="71" spans="1:22" x14ac:dyDescent="0.25">
      <c r="A71" s="13" t="s">
        <v>103</v>
      </c>
      <c r="B71" s="13">
        <v>15791</v>
      </c>
      <c r="C71" s="13">
        <v>59838</v>
      </c>
      <c r="D71" s="13">
        <v>2249</v>
      </c>
      <c r="E71" s="13">
        <v>33384</v>
      </c>
      <c r="F71" s="13">
        <v>6062</v>
      </c>
      <c r="G71" s="13">
        <v>18032</v>
      </c>
      <c r="H71" s="13">
        <v>177151</v>
      </c>
      <c r="I71" s="13">
        <v>22305</v>
      </c>
      <c r="J71" s="13">
        <v>8579</v>
      </c>
      <c r="K71" s="13">
        <v>10407</v>
      </c>
      <c r="L71" s="13">
        <v>34098</v>
      </c>
      <c r="M71" s="13">
        <v>27458</v>
      </c>
      <c r="N71" s="13">
        <v>36571</v>
      </c>
      <c r="O71" s="13">
        <v>38878</v>
      </c>
      <c r="P71" s="13">
        <v>252018</v>
      </c>
      <c r="Q71" s="13">
        <v>296812</v>
      </c>
      <c r="R71" s="13">
        <v>194616</v>
      </c>
      <c r="S71" s="13">
        <v>54357</v>
      </c>
      <c r="T71" s="13">
        <v>66159</v>
      </c>
      <c r="U71" s="13">
        <v>34691</v>
      </c>
      <c r="V71" s="13">
        <v>45759</v>
      </c>
    </row>
    <row r="72" spans="1:22" x14ac:dyDescent="0.25">
      <c r="A72" s="13" t="s">
        <v>104</v>
      </c>
      <c r="B72" s="13">
        <v>17575</v>
      </c>
      <c r="C72" s="13">
        <v>60729</v>
      </c>
      <c r="D72" s="13">
        <v>2213</v>
      </c>
      <c r="E72" s="13">
        <v>34013</v>
      </c>
      <c r="F72" s="13">
        <v>6270</v>
      </c>
      <c r="G72" s="13">
        <v>18579</v>
      </c>
      <c r="H72" s="13">
        <v>178747</v>
      </c>
      <c r="I72" s="13">
        <v>22659</v>
      </c>
      <c r="J72" s="13">
        <v>8850</v>
      </c>
      <c r="K72" s="13">
        <v>10786</v>
      </c>
      <c r="L72" s="13">
        <v>34090</v>
      </c>
      <c r="M72" s="13">
        <v>27771</v>
      </c>
      <c r="N72" s="13">
        <v>37015</v>
      </c>
      <c r="O72" s="13">
        <v>38617</v>
      </c>
      <c r="P72" s="13">
        <v>256554</v>
      </c>
      <c r="Q72" s="13">
        <v>302005</v>
      </c>
      <c r="R72" s="13">
        <v>197195</v>
      </c>
      <c r="S72" s="13">
        <v>54082</v>
      </c>
      <c r="T72" s="13">
        <v>65573</v>
      </c>
      <c r="U72" s="13">
        <v>35587</v>
      </c>
      <c r="V72" s="13">
        <v>43967</v>
      </c>
    </row>
    <row r="73" spans="1:22" x14ac:dyDescent="0.25">
      <c r="A73" s="13" t="s">
        <v>105</v>
      </c>
      <c r="B73" s="13">
        <v>16657</v>
      </c>
      <c r="C73" s="13">
        <v>60197</v>
      </c>
      <c r="D73" s="13">
        <v>2236</v>
      </c>
      <c r="E73" s="13">
        <v>33922</v>
      </c>
      <c r="F73" s="13">
        <v>5829</v>
      </c>
      <c r="G73" s="13">
        <v>18290</v>
      </c>
      <c r="H73" s="13">
        <v>179839</v>
      </c>
      <c r="I73" s="13">
        <v>22676</v>
      </c>
      <c r="J73" s="13">
        <v>8743</v>
      </c>
      <c r="K73" s="13">
        <v>10951</v>
      </c>
      <c r="L73" s="13">
        <v>34580</v>
      </c>
      <c r="M73" s="13">
        <v>27846</v>
      </c>
      <c r="N73" s="13">
        <v>37643</v>
      </c>
      <c r="O73" s="13">
        <v>38643</v>
      </c>
      <c r="P73" s="13">
        <v>256023</v>
      </c>
      <c r="Q73" s="13">
        <v>301925</v>
      </c>
      <c r="R73" s="13">
        <v>199344</v>
      </c>
      <c r="S73" s="13">
        <v>54567</v>
      </c>
      <c r="T73" s="13">
        <v>66935</v>
      </c>
      <c r="U73" s="13">
        <v>36430</v>
      </c>
      <c r="V73" s="13">
        <v>46538</v>
      </c>
    </row>
    <row r="74" spans="1:22" x14ac:dyDescent="0.25">
      <c r="A74" s="13" t="s">
        <v>106</v>
      </c>
      <c r="B74" s="13">
        <v>16803</v>
      </c>
      <c r="C74" s="13">
        <v>60341</v>
      </c>
      <c r="D74" s="13">
        <v>2161</v>
      </c>
      <c r="E74" s="13">
        <v>34082</v>
      </c>
      <c r="F74" s="13">
        <v>6005</v>
      </c>
      <c r="G74" s="13">
        <v>18544</v>
      </c>
      <c r="H74" s="13">
        <v>180651</v>
      </c>
      <c r="I74" s="13">
        <v>22823</v>
      </c>
      <c r="J74" s="13">
        <v>8627</v>
      </c>
      <c r="K74" s="13">
        <v>10834</v>
      </c>
      <c r="L74" s="13">
        <v>34349</v>
      </c>
      <c r="M74" s="13">
        <v>28679</v>
      </c>
      <c r="N74" s="13">
        <v>37031</v>
      </c>
      <c r="O74" s="13">
        <v>39287</v>
      </c>
      <c r="P74" s="13">
        <v>257215</v>
      </c>
      <c r="Q74" s="13">
        <v>303296</v>
      </c>
      <c r="R74" s="13">
        <v>200870</v>
      </c>
      <c r="S74" s="13">
        <v>54104</v>
      </c>
      <c r="T74" s="13">
        <v>67972</v>
      </c>
      <c r="U74" s="13">
        <v>35356</v>
      </c>
      <c r="V74" s="13">
        <v>48231</v>
      </c>
    </row>
    <row r="75" spans="1:22" x14ac:dyDescent="0.25">
      <c r="A75" s="13" t="s">
        <v>107</v>
      </c>
      <c r="B75" s="13">
        <v>17370</v>
      </c>
      <c r="C75" s="13">
        <v>62209</v>
      </c>
      <c r="D75" s="13">
        <v>2146</v>
      </c>
      <c r="E75" s="13">
        <v>35401</v>
      </c>
      <c r="F75" s="13">
        <v>6204</v>
      </c>
      <c r="G75" s="13">
        <v>19520</v>
      </c>
      <c r="H75" s="13">
        <v>182293</v>
      </c>
      <c r="I75" s="13">
        <v>23266</v>
      </c>
      <c r="J75" s="13">
        <v>9078</v>
      </c>
      <c r="K75" s="13">
        <v>11010</v>
      </c>
      <c r="L75" s="13">
        <v>35268</v>
      </c>
      <c r="M75" s="13">
        <v>28802</v>
      </c>
      <c r="N75" s="13">
        <v>37091</v>
      </c>
      <c r="O75" s="13">
        <v>39404</v>
      </c>
      <c r="P75" s="13">
        <v>261838</v>
      </c>
      <c r="Q75" s="13">
        <v>308448</v>
      </c>
      <c r="R75" s="13">
        <v>202908</v>
      </c>
      <c r="S75" s="13">
        <v>54960</v>
      </c>
      <c r="T75" s="13">
        <v>71375</v>
      </c>
      <c r="U75" s="13">
        <v>36244</v>
      </c>
      <c r="V75" s="13">
        <v>48803</v>
      </c>
    </row>
    <row r="76" spans="1:22" x14ac:dyDescent="0.25">
      <c r="A76" s="13" t="s">
        <v>108</v>
      </c>
      <c r="B76" s="13">
        <v>17319</v>
      </c>
      <c r="C76" s="13">
        <v>62474</v>
      </c>
      <c r="D76" s="13">
        <v>2188</v>
      </c>
      <c r="E76" s="13">
        <v>35199</v>
      </c>
      <c r="F76" s="13">
        <v>6277</v>
      </c>
      <c r="G76" s="13">
        <v>19683</v>
      </c>
      <c r="H76" s="13">
        <v>183437</v>
      </c>
      <c r="I76" s="13">
        <v>23356</v>
      </c>
      <c r="J76" s="13">
        <v>8967</v>
      </c>
      <c r="K76" s="13">
        <v>10922</v>
      </c>
      <c r="L76" s="13">
        <v>35204</v>
      </c>
      <c r="M76" s="13">
        <v>28952</v>
      </c>
      <c r="N76" s="13">
        <v>37651</v>
      </c>
      <c r="O76" s="13">
        <v>39678</v>
      </c>
      <c r="P76" s="13">
        <v>262314</v>
      </c>
      <c r="Q76" s="13">
        <v>309408</v>
      </c>
      <c r="R76" s="13">
        <v>204253</v>
      </c>
      <c r="S76" s="13">
        <v>55347</v>
      </c>
      <c r="T76" s="13">
        <v>70708</v>
      </c>
      <c r="U76" s="13">
        <v>35596</v>
      </c>
      <c r="V76" s="13">
        <v>47956</v>
      </c>
    </row>
    <row r="77" spans="1:22" x14ac:dyDescent="0.25">
      <c r="A77" s="13" t="s">
        <v>109</v>
      </c>
      <c r="B77" s="13">
        <v>17543</v>
      </c>
      <c r="C77" s="13">
        <v>61962</v>
      </c>
      <c r="D77" s="13">
        <v>2230</v>
      </c>
      <c r="E77" s="13">
        <v>34900</v>
      </c>
      <c r="F77" s="13">
        <v>6289</v>
      </c>
      <c r="G77" s="13">
        <v>18910</v>
      </c>
      <c r="H77" s="13">
        <v>184109</v>
      </c>
      <c r="I77" s="13">
        <v>23325</v>
      </c>
      <c r="J77" s="13">
        <v>8917</v>
      </c>
      <c r="K77" s="13">
        <v>11395</v>
      </c>
      <c r="L77" s="13">
        <v>34623</v>
      </c>
      <c r="M77" s="13">
        <v>29028</v>
      </c>
      <c r="N77" s="13">
        <v>38115</v>
      </c>
      <c r="O77" s="13">
        <v>39715</v>
      </c>
      <c r="P77" s="13">
        <v>262816</v>
      </c>
      <c r="Q77" s="13">
        <v>309752</v>
      </c>
      <c r="R77" s="13">
        <v>204059</v>
      </c>
      <c r="S77" s="13">
        <v>55928</v>
      </c>
      <c r="T77" s="13">
        <v>69999</v>
      </c>
      <c r="U77" s="13">
        <v>38050</v>
      </c>
      <c r="V77" s="13">
        <v>47806</v>
      </c>
    </row>
    <row r="78" spans="1:22" x14ac:dyDescent="0.25">
      <c r="A78" s="13" t="s">
        <v>110</v>
      </c>
      <c r="B78" s="13">
        <v>17672</v>
      </c>
      <c r="C78" s="13">
        <v>61924</v>
      </c>
      <c r="D78" s="13">
        <v>2266</v>
      </c>
      <c r="E78" s="13">
        <v>34166</v>
      </c>
      <c r="F78" s="13">
        <v>6290</v>
      </c>
      <c r="G78" s="13">
        <v>19898</v>
      </c>
      <c r="H78" s="13">
        <v>185252</v>
      </c>
      <c r="I78" s="13">
        <v>23774</v>
      </c>
      <c r="J78" s="13">
        <v>9005</v>
      </c>
      <c r="K78" s="13">
        <v>11537</v>
      </c>
      <c r="L78" s="13">
        <v>34805</v>
      </c>
      <c r="M78" s="13">
        <v>29120</v>
      </c>
      <c r="N78" s="13">
        <v>38423</v>
      </c>
      <c r="O78" s="13">
        <v>39427</v>
      </c>
      <c r="P78" s="13">
        <v>265268</v>
      </c>
      <c r="Q78" s="13">
        <v>312608</v>
      </c>
      <c r="R78" s="13">
        <v>207969</v>
      </c>
      <c r="S78" s="13">
        <v>55269</v>
      </c>
      <c r="T78" s="13">
        <v>70125</v>
      </c>
      <c r="U78" s="13">
        <v>35996</v>
      </c>
      <c r="V78" s="13">
        <v>47827</v>
      </c>
    </row>
    <row r="79" spans="1:22" x14ac:dyDescent="0.25">
      <c r="A79" s="13" t="s">
        <v>111</v>
      </c>
      <c r="B79" s="13">
        <v>17371</v>
      </c>
      <c r="C79" s="13">
        <v>60553</v>
      </c>
      <c r="D79" s="13">
        <v>2356</v>
      </c>
      <c r="E79" s="13">
        <v>32722</v>
      </c>
      <c r="F79" s="13">
        <v>5990</v>
      </c>
      <c r="G79" s="13">
        <v>19021</v>
      </c>
      <c r="H79" s="13">
        <v>183985</v>
      </c>
      <c r="I79" s="13">
        <v>22995</v>
      </c>
      <c r="J79" s="13">
        <v>8967</v>
      </c>
      <c r="K79" s="13">
        <v>11625</v>
      </c>
      <c r="L79" s="13">
        <v>34653</v>
      </c>
      <c r="M79" s="13">
        <v>28989</v>
      </c>
      <c r="N79" s="13">
        <v>38234</v>
      </c>
      <c r="O79" s="13">
        <v>39628</v>
      </c>
      <c r="P79" s="13">
        <v>260836</v>
      </c>
      <c r="Q79" s="13">
        <v>307779</v>
      </c>
      <c r="R79" s="13">
        <v>206266</v>
      </c>
      <c r="S79" s="13">
        <v>55623</v>
      </c>
      <c r="T79" s="13">
        <v>67158</v>
      </c>
      <c r="U79" s="13">
        <v>35444</v>
      </c>
      <c r="V79" s="13">
        <v>46947</v>
      </c>
    </row>
    <row r="80" spans="1:22" x14ac:dyDescent="0.25">
      <c r="A80" s="13" t="s">
        <v>112</v>
      </c>
      <c r="B80" s="13">
        <v>17749</v>
      </c>
      <c r="C80" s="13">
        <v>60150</v>
      </c>
      <c r="D80" s="13">
        <v>2409</v>
      </c>
      <c r="E80" s="13">
        <v>33269</v>
      </c>
      <c r="F80" s="13">
        <v>5925</v>
      </c>
      <c r="G80" s="13">
        <v>17974</v>
      </c>
      <c r="H80" s="13">
        <v>184151</v>
      </c>
      <c r="I80" s="13">
        <v>23218</v>
      </c>
      <c r="J80" s="13">
        <v>9067</v>
      </c>
      <c r="K80" s="13">
        <v>11648</v>
      </c>
      <c r="L80" s="13">
        <v>34589</v>
      </c>
      <c r="M80" s="13">
        <v>29008</v>
      </c>
      <c r="N80" s="13">
        <v>38133</v>
      </c>
      <c r="O80" s="13">
        <v>39570</v>
      </c>
      <c r="P80" s="13">
        <v>260959</v>
      </c>
      <c r="Q80" s="13">
        <v>307715</v>
      </c>
      <c r="R80" s="13">
        <v>206570</v>
      </c>
      <c r="S80" s="13">
        <v>55859</v>
      </c>
      <c r="T80" s="13">
        <v>65584</v>
      </c>
      <c r="U80" s="13">
        <v>37117</v>
      </c>
      <c r="V80" s="13">
        <v>48252</v>
      </c>
    </row>
    <row r="81" spans="1:22" x14ac:dyDescent="0.25">
      <c r="A81" s="13" t="s">
        <v>113</v>
      </c>
      <c r="B81" s="13">
        <v>18230</v>
      </c>
      <c r="C81" s="13">
        <v>60617</v>
      </c>
      <c r="D81" s="13">
        <v>2481</v>
      </c>
      <c r="E81" s="13">
        <v>32869</v>
      </c>
      <c r="F81" s="13">
        <v>6094</v>
      </c>
      <c r="G81" s="13">
        <v>18166</v>
      </c>
      <c r="H81" s="13">
        <v>184445</v>
      </c>
      <c r="I81" s="13">
        <v>23332</v>
      </c>
      <c r="J81" s="13">
        <v>9091</v>
      </c>
      <c r="K81" s="13">
        <v>11694</v>
      </c>
      <c r="L81" s="13">
        <v>34571</v>
      </c>
      <c r="M81" s="13">
        <v>29186</v>
      </c>
      <c r="N81" s="13">
        <v>37957</v>
      </c>
      <c r="O81" s="13">
        <v>39610</v>
      </c>
      <c r="P81" s="13">
        <v>262096</v>
      </c>
      <c r="Q81" s="13">
        <v>309251</v>
      </c>
      <c r="R81" s="13">
        <v>209591</v>
      </c>
      <c r="S81" s="13">
        <v>55389</v>
      </c>
      <c r="T81" s="13">
        <v>65471</v>
      </c>
      <c r="U81" s="13">
        <v>34622</v>
      </c>
      <c r="V81" s="13">
        <v>45337</v>
      </c>
    </row>
    <row r="82" spans="1:22" x14ac:dyDescent="0.25">
      <c r="A82" s="13" t="s">
        <v>114</v>
      </c>
      <c r="B82" s="13">
        <v>18641</v>
      </c>
      <c r="C82" s="13">
        <v>59505</v>
      </c>
      <c r="D82" s="13">
        <v>2561</v>
      </c>
      <c r="E82" s="13">
        <v>32066</v>
      </c>
      <c r="F82" s="13">
        <v>5940</v>
      </c>
      <c r="G82" s="13">
        <v>17875</v>
      </c>
      <c r="H82" s="13">
        <v>182966</v>
      </c>
      <c r="I82" s="13">
        <v>22792</v>
      </c>
      <c r="J82" s="13">
        <v>8816</v>
      </c>
      <c r="K82" s="13">
        <v>11857</v>
      </c>
      <c r="L82" s="13">
        <v>34511</v>
      </c>
      <c r="M82" s="13">
        <v>29092</v>
      </c>
      <c r="N82" s="13">
        <v>37646</v>
      </c>
      <c r="O82" s="13">
        <v>39660</v>
      </c>
      <c r="P82" s="13">
        <v>260803</v>
      </c>
      <c r="Q82" s="13">
        <v>307243</v>
      </c>
      <c r="R82" s="13">
        <v>206577</v>
      </c>
      <c r="S82" s="13">
        <v>55138</v>
      </c>
      <c r="T82" s="13">
        <v>63484</v>
      </c>
      <c r="U82" s="13">
        <v>36894</v>
      </c>
      <c r="V82" s="13">
        <v>44944</v>
      </c>
    </row>
    <row r="83" spans="1:22" x14ac:dyDescent="0.25">
      <c r="A83" s="13" t="s">
        <v>115</v>
      </c>
      <c r="B83" s="13">
        <v>18100</v>
      </c>
      <c r="C83" s="13">
        <v>57562</v>
      </c>
      <c r="D83" s="13">
        <v>2562</v>
      </c>
      <c r="E83" s="13">
        <v>30675</v>
      </c>
      <c r="F83" s="13">
        <v>5934</v>
      </c>
      <c r="G83" s="13">
        <v>17028</v>
      </c>
      <c r="H83" s="13">
        <v>179975</v>
      </c>
      <c r="I83" s="13">
        <v>21791</v>
      </c>
      <c r="J83" s="13">
        <v>8675</v>
      </c>
      <c r="K83" s="13">
        <v>11537</v>
      </c>
      <c r="L83" s="13">
        <v>34264</v>
      </c>
      <c r="M83" s="13">
        <v>28887</v>
      </c>
      <c r="N83" s="13">
        <v>37062</v>
      </c>
      <c r="O83" s="13">
        <v>39537</v>
      </c>
      <c r="P83" s="13">
        <v>254436</v>
      </c>
      <c r="Q83" s="13">
        <v>299217</v>
      </c>
      <c r="R83" s="13">
        <v>202074</v>
      </c>
      <c r="S83" s="13">
        <v>54701</v>
      </c>
      <c r="T83" s="13">
        <v>58920</v>
      </c>
      <c r="U83" s="13">
        <v>38350</v>
      </c>
      <c r="V83" s="13">
        <v>42134</v>
      </c>
    </row>
    <row r="84" spans="1:22" x14ac:dyDescent="0.25">
      <c r="A84" s="13" t="s">
        <v>116</v>
      </c>
      <c r="B84" s="13">
        <v>17962</v>
      </c>
      <c r="C84" s="13">
        <v>56552</v>
      </c>
      <c r="D84" s="13">
        <v>2521</v>
      </c>
      <c r="E84" s="13">
        <v>29779</v>
      </c>
      <c r="F84" s="13">
        <v>6115</v>
      </c>
      <c r="G84" s="13">
        <v>16799</v>
      </c>
      <c r="H84" s="13">
        <v>177820</v>
      </c>
      <c r="I84" s="13">
        <v>21225</v>
      </c>
      <c r="J84" s="13">
        <v>8608</v>
      </c>
      <c r="K84" s="13">
        <v>11418</v>
      </c>
      <c r="L84" s="13">
        <v>34143</v>
      </c>
      <c r="M84" s="13">
        <v>28927</v>
      </c>
      <c r="N84" s="13">
        <v>36185</v>
      </c>
      <c r="O84" s="13">
        <v>39677</v>
      </c>
      <c r="P84" s="13">
        <v>251160</v>
      </c>
      <c r="Q84" s="13">
        <v>294719</v>
      </c>
      <c r="R84" s="13">
        <v>198436</v>
      </c>
      <c r="S84" s="13">
        <v>54813</v>
      </c>
      <c r="T84" s="13">
        <v>55746</v>
      </c>
      <c r="U84" s="13">
        <v>38088</v>
      </c>
      <c r="V84" s="13">
        <v>38510</v>
      </c>
    </row>
    <row r="85" spans="1:22" x14ac:dyDescent="0.25">
      <c r="A85" s="13" t="s">
        <v>117</v>
      </c>
      <c r="B85" s="13">
        <v>18374</v>
      </c>
      <c r="C85" s="13">
        <v>55557</v>
      </c>
      <c r="D85" s="13">
        <v>2423</v>
      </c>
      <c r="E85" s="13">
        <v>29211</v>
      </c>
      <c r="F85" s="13">
        <v>6217</v>
      </c>
      <c r="G85" s="13">
        <v>16536</v>
      </c>
      <c r="H85" s="13">
        <v>177045</v>
      </c>
      <c r="I85" s="13">
        <v>20779</v>
      </c>
      <c r="J85" s="13">
        <v>8485</v>
      </c>
      <c r="K85" s="13">
        <v>11274</v>
      </c>
      <c r="L85" s="13">
        <v>33987</v>
      </c>
      <c r="M85" s="13">
        <v>28947</v>
      </c>
      <c r="N85" s="13">
        <v>36197</v>
      </c>
      <c r="O85" s="13">
        <v>39761</v>
      </c>
      <c r="P85" s="13">
        <v>249753</v>
      </c>
      <c r="Q85" s="13">
        <v>292427</v>
      </c>
      <c r="R85" s="13">
        <v>196935</v>
      </c>
      <c r="S85" s="13">
        <v>54312</v>
      </c>
      <c r="T85" s="13">
        <v>52792</v>
      </c>
      <c r="U85" s="13">
        <v>39508</v>
      </c>
      <c r="V85" s="13">
        <v>36372</v>
      </c>
    </row>
    <row r="86" spans="1:22" x14ac:dyDescent="0.25">
      <c r="A86" s="13" t="s">
        <v>118</v>
      </c>
      <c r="B86" s="13">
        <v>17041</v>
      </c>
      <c r="C86" s="13">
        <v>55434</v>
      </c>
      <c r="D86" s="13">
        <v>2417</v>
      </c>
      <c r="E86" s="13">
        <v>29146</v>
      </c>
      <c r="F86" s="13">
        <v>6292</v>
      </c>
      <c r="G86" s="13">
        <v>16204</v>
      </c>
      <c r="H86" s="13">
        <v>175442</v>
      </c>
      <c r="I86" s="13">
        <v>20414</v>
      </c>
      <c r="J86" s="13">
        <v>8336</v>
      </c>
      <c r="K86" s="13">
        <v>11244</v>
      </c>
      <c r="L86" s="13">
        <v>33744</v>
      </c>
      <c r="M86" s="13">
        <v>29104</v>
      </c>
      <c r="N86" s="13">
        <v>36265</v>
      </c>
      <c r="O86" s="13">
        <v>39364</v>
      </c>
      <c r="P86" s="13">
        <v>245679</v>
      </c>
      <c r="Q86" s="13">
        <v>287757</v>
      </c>
      <c r="R86" s="13">
        <v>192823</v>
      </c>
      <c r="S86" s="13">
        <v>55117</v>
      </c>
      <c r="T86" s="13">
        <v>51720</v>
      </c>
      <c r="U86" s="13">
        <v>39648</v>
      </c>
      <c r="V86" s="13">
        <v>34384</v>
      </c>
    </row>
    <row r="87" spans="1:22" x14ac:dyDescent="0.25">
      <c r="A87" s="13" t="s">
        <v>119</v>
      </c>
      <c r="B87" s="13">
        <v>17063</v>
      </c>
      <c r="C87" s="13">
        <v>55121</v>
      </c>
      <c r="D87" s="13">
        <v>2422</v>
      </c>
      <c r="E87" s="13">
        <v>29313</v>
      </c>
      <c r="F87" s="13">
        <v>6527</v>
      </c>
      <c r="G87" s="13">
        <v>15666</v>
      </c>
      <c r="H87" s="13">
        <v>175742</v>
      </c>
      <c r="I87" s="13">
        <v>20291</v>
      </c>
      <c r="J87" s="13">
        <v>8252</v>
      </c>
      <c r="K87" s="13">
        <v>11317</v>
      </c>
      <c r="L87" s="13">
        <v>33197</v>
      </c>
      <c r="M87" s="13">
        <v>29015</v>
      </c>
      <c r="N87" s="13">
        <v>36329</v>
      </c>
      <c r="O87" s="13">
        <v>39874</v>
      </c>
      <c r="P87" s="13">
        <v>247471</v>
      </c>
      <c r="Q87" s="13">
        <v>289428</v>
      </c>
      <c r="R87" s="13">
        <v>193288</v>
      </c>
      <c r="S87" s="13">
        <v>54962</v>
      </c>
      <c r="T87" s="13">
        <v>52627</v>
      </c>
      <c r="U87" s="13">
        <v>39507</v>
      </c>
      <c r="V87" s="13">
        <v>38041</v>
      </c>
    </row>
    <row r="88" spans="1:22" x14ac:dyDescent="0.25">
      <c r="A88" s="13" t="s">
        <v>120</v>
      </c>
      <c r="B88" s="13">
        <v>17349</v>
      </c>
      <c r="C88" s="13">
        <v>54543</v>
      </c>
      <c r="D88" s="13">
        <v>2528</v>
      </c>
      <c r="E88" s="13">
        <v>28927</v>
      </c>
      <c r="F88" s="13">
        <v>6485</v>
      </c>
      <c r="G88" s="13">
        <v>15119</v>
      </c>
      <c r="H88" s="13">
        <v>174866</v>
      </c>
      <c r="I88" s="13">
        <v>20083</v>
      </c>
      <c r="J88" s="13">
        <v>8076</v>
      </c>
      <c r="K88" s="13">
        <v>11441</v>
      </c>
      <c r="L88" s="13">
        <v>32772</v>
      </c>
      <c r="M88" s="13">
        <v>28902</v>
      </c>
      <c r="N88" s="13">
        <v>36203</v>
      </c>
      <c r="O88" s="13">
        <v>39832</v>
      </c>
      <c r="P88" s="13">
        <v>245777</v>
      </c>
      <c r="Q88" s="13">
        <v>287529</v>
      </c>
      <c r="R88" s="13">
        <v>192666</v>
      </c>
      <c r="S88" s="13">
        <v>54770</v>
      </c>
      <c r="T88" s="13">
        <v>49653</v>
      </c>
      <c r="U88" s="13">
        <v>37658</v>
      </c>
      <c r="V88" s="13">
        <v>35682</v>
      </c>
    </row>
    <row r="89" spans="1:22" x14ac:dyDescent="0.25">
      <c r="A89" s="13" t="s">
        <v>121</v>
      </c>
      <c r="B89" s="13">
        <v>18194</v>
      </c>
      <c r="C89" s="13">
        <v>53582</v>
      </c>
      <c r="D89" s="13">
        <v>2562</v>
      </c>
      <c r="E89" s="13">
        <v>28525</v>
      </c>
      <c r="F89" s="13">
        <v>6464</v>
      </c>
      <c r="G89" s="13">
        <v>14430</v>
      </c>
      <c r="H89" s="13">
        <v>173929</v>
      </c>
      <c r="I89" s="13">
        <v>20004</v>
      </c>
      <c r="J89" s="13">
        <v>7996</v>
      </c>
      <c r="K89" s="13">
        <v>11012</v>
      </c>
      <c r="L89" s="13">
        <v>32494</v>
      </c>
      <c r="M89" s="13">
        <v>29034</v>
      </c>
      <c r="N89" s="13">
        <v>35952</v>
      </c>
      <c r="O89" s="13">
        <v>39609</v>
      </c>
      <c r="P89" s="13">
        <v>245288</v>
      </c>
      <c r="Q89" s="13">
        <v>287053</v>
      </c>
      <c r="R89" s="13">
        <v>192027</v>
      </c>
      <c r="S89" s="13">
        <v>54603</v>
      </c>
      <c r="T89" s="13">
        <v>48799</v>
      </c>
      <c r="U89" s="13">
        <v>37474</v>
      </c>
      <c r="V89" s="13">
        <v>36935</v>
      </c>
    </row>
    <row r="90" spans="1:22" x14ac:dyDescent="0.25">
      <c r="A90" s="13" t="s">
        <v>122</v>
      </c>
      <c r="B90" s="13">
        <v>20363</v>
      </c>
      <c r="C90" s="13">
        <v>53974</v>
      </c>
      <c r="D90" s="13">
        <v>2606</v>
      </c>
      <c r="E90" s="13">
        <v>29119</v>
      </c>
      <c r="F90" s="13">
        <v>6541</v>
      </c>
      <c r="G90" s="13">
        <v>14283</v>
      </c>
      <c r="H90" s="13">
        <v>174649</v>
      </c>
      <c r="I90" s="13">
        <v>20056</v>
      </c>
      <c r="J90" s="13">
        <v>8135</v>
      </c>
      <c r="K90" s="13">
        <v>11493</v>
      </c>
      <c r="L90" s="13">
        <v>32449</v>
      </c>
      <c r="M90" s="13">
        <v>29003</v>
      </c>
      <c r="N90" s="13">
        <v>36125</v>
      </c>
      <c r="O90" s="13">
        <v>39615</v>
      </c>
      <c r="P90" s="13">
        <v>248467</v>
      </c>
      <c r="Q90" s="13">
        <v>290277</v>
      </c>
      <c r="R90" s="13">
        <v>193939</v>
      </c>
      <c r="S90" s="13">
        <v>54297</v>
      </c>
      <c r="T90" s="13">
        <v>48777</v>
      </c>
      <c r="U90" s="13">
        <v>39465</v>
      </c>
      <c r="V90" s="13">
        <v>37887</v>
      </c>
    </row>
    <row r="91" spans="1:22" x14ac:dyDescent="0.25">
      <c r="A91" s="13" t="s">
        <v>123</v>
      </c>
      <c r="B91" s="13">
        <v>19729</v>
      </c>
      <c r="C91" s="13">
        <v>54316</v>
      </c>
      <c r="D91" s="13">
        <v>2631</v>
      </c>
      <c r="E91" s="13">
        <v>29341</v>
      </c>
      <c r="F91" s="13">
        <v>6456</v>
      </c>
      <c r="G91" s="13">
        <v>13930</v>
      </c>
      <c r="H91" s="13">
        <v>176742</v>
      </c>
      <c r="I91" s="13">
        <v>20591</v>
      </c>
      <c r="J91" s="13">
        <v>8252</v>
      </c>
      <c r="K91" s="13">
        <v>11363</v>
      </c>
      <c r="L91" s="13">
        <v>32726</v>
      </c>
      <c r="M91" s="13">
        <v>29313</v>
      </c>
      <c r="N91" s="13">
        <v>36574</v>
      </c>
      <c r="O91" s="13">
        <v>39793</v>
      </c>
      <c r="P91" s="13">
        <v>249571</v>
      </c>
      <c r="Q91" s="13">
        <v>292395</v>
      </c>
      <c r="R91" s="13">
        <v>196611</v>
      </c>
      <c r="S91" s="13">
        <v>54411</v>
      </c>
      <c r="T91" s="13">
        <v>48923</v>
      </c>
      <c r="U91" s="13">
        <v>40700</v>
      </c>
      <c r="V91" s="13">
        <v>37921</v>
      </c>
    </row>
    <row r="92" spans="1:22" x14ac:dyDescent="0.25">
      <c r="A92" s="13" t="s">
        <v>124</v>
      </c>
      <c r="B92" s="13">
        <v>19290</v>
      </c>
      <c r="C92" s="13">
        <v>54333</v>
      </c>
      <c r="D92" s="13">
        <v>2596</v>
      </c>
      <c r="E92" s="13">
        <v>29834</v>
      </c>
      <c r="F92" s="13">
        <v>6505</v>
      </c>
      <c r="G92" s="13">
        <v>13638</v>
      </c>
      <c r="H92" s="13">
        <v>177660</v>
      </c>
      <c r="I92" s="13">
        <v>20897</v>
      </c>
      <c r="J92" s="13">
        <v>8266</v>
      </c>
      <c r="K92" s="13">
        <v>11417</v>
      </c>
      <c r="L92" s="13">
        <v>32582</v>
      </c>
      <c r="M92" s="13">
        <v>29560</v>
      </c>
      <c r="N92" s="13">
        <v>36805</v>
      </c>
      <c r="O92" s="13">
        <v>39980</v>
      </c>
      <c r="P92" s="13">
        <v>250148</v>
      </c>
      <c r="Q92" s="13">
        <v>293249</v>
      </c>
      <c r="R92" s="13">
        <v>198565</v>
      </c>
      <c r="S92" s="13">
        <v>54374</v>
      </c>
      <c r="T92" s="13">
        <v>49060</v>
      </c>
      <c r="U92" s="13">
        <v>41682</v>
      </c>
      <c r="V92" s="13">
        <v>39172</v>
      </c>
    </row>
    <row r="93" spans="1:22" x14ac:dyDescent="0.25">
      <c r="A93" s="13" t="s">
        <v>125</v>
      </c>
      <c r="B93" s="13">
        <v>19365</v>
      </c>
      <c r="C93" s="13">
        <v>54926</v>
      </c>
      <c r="D93" s="13">
        <v>2594</v>
      </c>
      <c r="E93" s="13">
        <v>30272</v>
      </c>
      <c r="F93" s="13">
        <v>6499</v>
      </c>
      <c r="G93" s="13">
        <v>13860</v>
      </c>
      <c r="H93" s="13">
        <v>178122</v>
      </c>
      <c r="I93" s="13">
        <v>21059</v>
      </c>
      <c r="J93" s="13">
        <v>8318</v>
      </c>
      <c r="K93" s="13">
        <v>11467</v>
      </c>
      <c r="L93" s="13">
        <v>32923</v>
      </c>
      <c r="M93" s="13">
        <v>29724</v>
      </c>
      <c r="N93" s="13">
        <v>36592</v>
      </c>
      <c r="O93" s="13">
        <v>39897</v>
      </c>
      <c r="P93" s="13">
        <v>251288</v>
      </c>
      <c r="Q93" s="13">
        <v>294543</v>
      </c>
      <c r="R93" s="13">
        <v>198835</v>
      </c>
      <c r="S93" s="13">
        <v>54880</v>
      </c>
      <c r="T93" s="13">
        <v>50771</v>
      </c>
      <c r="U93" s="13">
        <v>40413</v>
      </c>
      <c r="V93" s="13">
        <v>40479</v>
      </c>
    </row>
    <row r="94" spans="1:22" x14ac:dyDescent="0.25">
      <c r="A94" s="13" t="s">
        <v>126</v>
      </c>
      <c r="B94" s="13">
        <v>19693</v>
      </c>
      <c r="C94" s="13">
        <v>55185</v>
      </c>
      <c r="D94" s="13">
        <v>2635</v>
      </c>
      <c r="E94" s="13">
        <v>30209</v>
      </c>
      <c r="F94" s="13">
        <v>6654</v>
      </c>
      <c r="G94" s="13">
        <v>13528</v>
      </c>
      <c r="H94" s="13">
        <v>179791</v>
      </c>
      <c r="I94" s="13">
        <v>21224</v>
      </c>
      <c r="J94" s="13">
        <v>8382</v>
      </c>
      <c r="K94" s="13">
        <v>11455</v>
      </c>
      <c r="L94" s="13">
        <v>32801</v>
      </c>
      <c r="M94" s="13">
        <v>29882</v>
      </c>
      <c r="N94" s="13">
        <v>37368</v>
      </c>
      <c r="O94" s="13">
        <v>39914</v>
      </c>
      <c r="P94" s="13">
        <v>252544</v>
      </c>
      <c r="Q94" s="13">
        <v>296094</v>
      </c>
      <c r="R94" s="13">
        <v>201048</v>
      </c>
      <c r="S94" s="13">
        <v>54846</v>
      </c>
      <c r="T94" s="13">
        <v>50647</v>
      </c>
      <c r="U94" s="13">
        <v>41267</v>
      </c>
      <c r="V94" s="13">
        <v>40301</v>
      </c>
    </row>
    <row r="95" spans="1:22" x14ac:dyDescent="0.25">
      <c r="A95" s="13" t="s">
        <v>127</v>
      </c>
      <c r="B95" s="13">
        <v>19843</v>
      </c>
      <c r="C95" s="13">
        <v>54447</v>
      </c>
      <c r="D95" s="13">
        <v>2620</v>
      </c>
      <c r="E95" s="13">
        <v>29889</v>
      </c>
      <c r="F95" s="13">
        <v>6696</v>
      </c>
      <c r="G95" s="13">
        <v>13535</v>
      </c>
      <c r="H95" s="13">
        <v>179916</v>
      </c>
      <c r="I95" s="13">
        <v>21154</v>
      </c>
      <c r="J95" s="13">
        <v>8322</v>
      </c>
      <c r="K95" s="13">
        <v>11644</v>
      </c>
      <c r="L95" s="13">
        <v>33260</v>
      </c>
      <c r="M95" s="13">
        <v>30268</v>
      </c>
      <c r="N95" s="13">
        <v>37718</v>
      </c>
      <c r="O95" s="13">
        <v>39900</v>
      </c>
      <c r="P95" s="13">
        <v>253614</v>
      </c>
      <c r="Q95" s="13">
        <v>296677</v>
      </c>
      <c r="R95" s="13">
        <v>201092</v>
      </c>
      <c r="S95" s="13">
        <v>55028</v>
      </c>
      <c r="T95" s="13">
        <v>50672</v>
      </c>
      <c r="U95" s="13">
        <v>40013</v>
      </c>
      <c r="V95" s="13">
        <v>40351</v>
      </c>
    </row>
    <row r="96" spans="1:22" x14ac:dyDescent="0.25">
      <c r="A96" s="13" t="s">
        <v>128</v>
      </c>
      <c r="B96" s="13">
        <v>20307</v>
      </c>
      <c r="C96" s="13">
        <v>54912</v>
      </c>
      <c r="D96" s="13">
        <v>2590</v>
      </c>
      <c r="E96" s="13">
        <v>30397</v>
      </c>
      <c r="F96" s="13">
        <v>6671</v>
      </c>
      <c r="G96" s="13">
        <v>13462</v>
      </c>
      <c r="H96" s="13">
        <v>181331</v>
      </c>
      <c r="I96" s="13">
        <v>21240</v>
      </c>
      <c r="J96" s="13">
        <v>8534</v>
      </c>
      <c r="K96" s="13">
        <v>11705</v>
      </c>
      <c r="L96" s="13">
        <v>33129</v>
      </c>
      <c r="M96" s="13">
        <v>30569</v>
      </c>
      <c r="N96" s="13">
        <v>38068</v>
      </c>
      <c r="O96" s="13">
        <v>39946</v>
      </c>
      <c r="P96" s="13">
        <v>255312</v>
      </c>
      <c r="Q96" s="13">
        <v>299225</v>
      </c>
      <c r="R96" s="13">
        <v>202340</v>
      </c>
      <c r="S96" s="13">
        <v>55294</v>
      </c>
      <c r="T96" s="13">
        <v>53563</v>
      </c>
      <c r="U96" s="13">
        <v>42768</v>
      </c>
      <c r="V96" s="13">
        <v>44538</v>
      </c>
    </row>
    <row r="97" spans="1:22" x14ac:dyDescent="0.25">
      <c r="A97" s="13" t="s">
        <v>129</v>
      </c>
      <c r="B97" s="13">
        <v>20516</v>
      </c>
      <c r="C97" s="13">
        <v>54572</v>
      </c>
      <c r="D97" s="13">
        <v>2622</v>
      </c>
      <c r="E97" s="13">
        <v>29705</v>
      </c>
      <c r="F97" s="13">
        <v>6928</v>
      </c>
      <c r="G97" s="13">
        <v>13507</v>
      </c>
      <c r="H97" s="13">
        <v>180636</v>
      </c>
      <c r="I97" s="13">
        <v>21205</v>
      </c>
      <c r="J97" s="13">
        <v>8428</v>
      </c>
      <c r="K97" s="13">
        <v>11759</v>
      </c>
      <c r="L97" s="13">
        <v>32822</v>
      </c>
      <c r="M97" s="13">
        <v>30792</v>
      </c>
      <c r="N97" s="13">
        <v>37899</v>
      </c>
      <c r="O97" s="13">
        <v>39570</v>
      </c>
      <c r="P97" s="13">
        <v>254669</v>
      </c>
      <c r="Q97" s="13">
        <v>298090</v>
      </c>
      <c r="R97" s="13">
        <v>202211</v>
      </c>
      <c r="S97" s="13">
        <v>54495</v>
      </c>
      <c r="T97" s="13">
        <v>52926</v>
      </c>
      <c r="U97" s="13">
        <v>43653</v>
      </c>
      <c r="V97" s="13">
        <v>41421</v>
      </c>
    </row>
    <row r="98" spans="1:22" x14ac:dyDescent="0.25">
      <c r="A98" s="13" t="s">
        <v>130</v>
      </c>
      <c r="B98" s="13">
        <v>19669</v>
      </c>
      <c r="C98" s="13">
        <v>54001</v>
      </c>
      <c r="D98" s="13">
        <v>2349</v>
      </c>
      <c r="E98" s="13">
        <v>29804</v>
      </c>
      <c r="F98" s="13">
        <v>6997</v>
      </c>
      <c r="G98" s="13">
        <v>13438</v>
      </c>
      <c r="H98" s="13">
        <v>182869</v>
      </c>
      <c r="I98" s="13">
        <v>21330</v>
      </c>
      <c r="J98" s="13">
        <v>8380</v>
      </c>
      <c r="K98" s="13">
        <v>12026</v>
      </c>
      <c r="L98" s="13">
        <v>33146</v>
      </c>
      <c r="M98" s="13">
        <v>30821</v>
      </c>
      <c r="N98" s="13">
        <v>38997</v>
      </c>
      <c r="O98" s="13">
        <v>39908</v>
      </c>
      <c r="P98" s="13">
        <v>255665</v>
      </c>
      <c r="Q98" s="13">
        <v>299645</v>
      </c>
      <c r="R98" s="13">
        <v>206090</v>
      </c>
      <c r="S98" s="13">
        <v>54754</v>
      </c>
      <c r="T98" s="13">
        <v>51720</v>
      </c>
      <c r="U98" s="13">
        <v>41535</v>
      </c>
      <c r="V98" s="13">
        <v>39594</v>
      </c>
    </row>
    <row r="99" spans="1:22" x14ac:dyDescent="0.25">
      <c r="A99" s="13" t="s">
        <v>131</v>
      </c>
      <c r="B99" s="13">
        <v>20032</v>
      </c>
      <c r="C99" s="13">
        <v>54671</v>
      </c>
      <c r="D99" s="13">
        <v>2196</v>
      </c>
      <c r="E99" s="13">
        <v>30281</v>
      </c>
      <c r="F99" s="13">
        <v>6859</v>
      </c>
      <c r="G99" s="13">
        <v>14026</v>
      </c>
      <c r="H99" s="13">
        <v>183109</v>
      </c>
      <c r="I99" s="13">
        <v>21569</v>
      </c>
      <c r="J99" s="13">
        <v>8410</v>
      </c>
      <c r="K99" s="13">
        <v>12091</v>
      </c>
      <c r="L99" s="13">
        <v>33022</v>
      </c>
      <c r="M99" s="13">
        <v>31154</v>
      </c>
      <c r="N99" s="13">
        <v>39001</v>
      </c>
      <c r="O99" s="13">
        <v>39684</v>
      </c>
      <c r="P99" s="13">
        <v>256302</v>
      </c>
      <c r="Q99" s="13">
        <v>301369</v>
      </c>
      <c r="R99" s="13">
        <v>206687</v>
      </c>
      <c r="S99" s="13">
        <v>54802</v>
      </c>
      <c r="T99" s="13">
        <v>54756</v>
      </c>
      <c r="U99" s="13">
        <v>40357</v>
      </c>
      <c r="V99" s="13">
        <v>42563</v>
      </c>
    </row>
    <row r="100" spans="1:22" x14ac:dyDescent="0.25">
      <c r="A100" s="13" t="s">
        <v>132</v>
      </c>
      <c r="B100" s="13">
        <v>20605</v>
      </c>
      <c r="C100" s="13">
        <v>54504</v>
      </c>
      <c r="D100" s="13">
        <v>2435</v>
      </c>
      <c r="E100" s="13">
        <v>29834</v>
      </c>
      <c r="F100" s="13">
        <v>6854</v>
      </c>
      <c r="G100" s="13">
        <v>14058</v>
      </c>
      <c r="H100" s="13">
        <v>183223</v>
      </c>
      <c r="I100" s="13">
        <v>21687</v>
      </c>
      <c r="J100" s="13">
        <v>8483</v>
      </c>
      <c r="K100" s="13">
        <v>12258</v>
      </c>
      <c r="L100" s="13">
        <v>33455</v>
      </c>
      <c r="M100" s="13">
        <v>31231</v>
      </c>
      <c r="N100" s="13">
        <v>38566</v>
      </c>
      <c r="O100" s="13">
        <v>39527</v>
      </c>
      <c r="P100" s="13">
        <v>256530</v>
      </c>
      <c r="Q100" s="13">
        <v>301354</v>
      </c>
      <c r="R100" s="13">
        <v>207561</v>
      </c>
      <c r="S100" s="13">
        <v>54674</v>
      </c>
      <c r="T100" s="13">
        <v>56282</v>
      </c>
      <c r="U100" s="13">
        <v>40331</v>
      </c>
      <c r="V100" s="13">
        <v>44995</v>
      </c>
    </row>
    <row r="101" spans="1:22" x14ac:dyDescent="0.25">
      <c r="A101" s="13" t="s">
        <v>133</v>
      </c>
      <c r="B101" s="13">
        <v>20382</v>
      </c>
      <c r="C101" s="13">
        <v>54476</v>
      </c>
      <c r="D101" s="13">
        <v>2522</v>
      </c>
      <c r="E101" s="13">
        <v>29769</v>
      </c>
      <c r="F101" s="13">
        <v>6929</v>
      </c>
      <c r="G101" s="13">
        <v>13546</v>
      </c>
      <c r="H101" s="13">
        <v>183386</v>
      </c>
      <c r="I101" s="13">
        <v>21610</v>
      </c>
      <c r="J101" s="13">
        <v>8408</v>
      </c>
      <c r="K101" s="13">
        <v>12274</v>
      </c>
      <c r="L101" s="13">
        <v>33799</v>
      </c>
      <c r="M101" s="13">
        <v>31266</v>
      </c>
      <c r="N101" s="13">
        <v>38683</v>
      </c>
      <c r="O101" s="13">
        <v>39540</v>
      </c>
      <c r="P101" s="13">
        <v>257562</v>
      </c>
      <c r="Q101" s="13">
        <v>302199</v>
      </c>
      <c r="R101" s="13">
        <v>207319</v>
      </c>
      <c r="S101" s="13">
        <v>54365</v>
      </c>
      <c r="T101" s="13">
        <v>53451</v>
      </c>
      <c r="U101" s="13">
        <v>41268</v>
      </c>
      <c r="V101" s="13">
        <v>41709</v>
      </c>
    </row>
    <row r="102" spans="1:22" x14ac:dyDescent="0.25">
      <c r="A102" s="13" t="s">
        <v>134</v>
      </c>
      <c r="B102" s="13">
        <v>20593</v>
      </c>
      <c r="C102" s="13">
        <v>53516</v>
      </c>
      <c r="D102" s="13">
        <v>2464</v>
      </c>
      <c r="E102" s="13">
        <v>29401</v>
      </c>
      <c r="F102" s="13">
        <v>6749</v>
      </c>
      <c r="G102" s="13">
        <v>13211</v>
      </c>
      <c r="H102" s="13">
        <v>180253</v>
      </c>
      <c r="I102" s="13">
        <v>21406</v>
      </c>
      <c r="J102" s="13">
        <v>8332</v>
      </c>
      <c r="K102" s="13">
        <v>12221</v>
      </c>
      <c r="L102" s="13">
        <v>33579</v>
      </c>
      <c r="M102" s="13">
        <v>31509</v>
      </c>
      <c r="N102" s="13">
        <v>37192</v>
      </c>
      <c r="O102" s="13">
        <v>39335</v>
      </c>
      <c r="P102" s="13">
        <v>252140</v>
      </c>
      <c r="Q102" s="13">
        <v>295488</v>
      </c>
      <c r="R102" s="13">
        <v>202813</v>
      </c>
      <c r="S102" s="13">
        <v>54441</v>
      </c>
      <c r="T102" s="13">
        <v>55258</v>
      </c>
      <c r="U102" s="13">
        <v>39841</v>
      </c>
      <c r="V102" s="13">
        <v>40738</v>
      </c>
    </row>
    <row r="103" spans="1:22" x14ac:dyDescent="0.25">
      <c r="A103" s="13" t="s">
        <v>135</v>
      </c>
      <c r="B103" s="13">
        <v>20980</v>
      </c>
      <c r="C103" s="13">
        <v>47544</v>
      </c>
      <c r="D103" s="13">
        <v>2345</v>
      </c>
      <c r="E103" s="13">
        <v>24074</v>
      </c>
      <c r="F103" s="13">
        <v>6862</v>
      </c>
      <c r="G103" s="13">
        <v>12220</v>
      </c>
      <c r="H103" s="13">
        <v>164181</v>
      </c>
      <c r="I103" s="13">
        <v>18425</v>
      </c>
      <c r="J103" s="13">
        <v>6800</v>
      </c>
      <c r="K103" s="13">
        <v>11783</v>
      </c>
      <c r="L103" s="13">
        <v>35162</v>
      </c>
      <c r="M103" s="13">
        <v>31716</v>
      </c>
      <c r="N103" s="13">
        <v>30743</v>
      </c>
      <c r="O103" s="13">
        <v>36155</v>
      </c>
      <c r="P103" s="13">
        <v>230288</v>
      </c>
      <c r="Q103" s="13">
        <v>269302</v>
      </c>
      <c r="R103" s="13">
        <v>181842</v>
      </c>
      <c r="S103" s="13">
        <v>50059</v>
      </c>
      <c r="T103" s="13">
        <v>47170</v>
      </c>
      <c r="U103" s="13">
        <v>40509</v>
      </c>
      <c r="V103" s="13">
        <v>36452</v>
      </c>
    </row>
    <row r="104" spans="1:22" x14ac:dyDescent="0.25">
      <c r="A104" s="13" t="s">
        <v>136</v>
      </c>
      <c r="B104" s="13">
        <v>21167</v>
      </c>
      <c r="C104" s="13">
        <v>54237</v>
      </c>
      <c r="D104" s="13">
        <v>2463</v>
      </c>
      <c r="E104" s="13">
        <v>29848</v>
      </c>
      <c r="F104" s="13">
        <v>7171</v>
      </c>
      <c r="G104" s="13">
        <v>13070</v>
      </c>
      <c r="H104" s="13">
        <v>174502</v>
      </c>
      <c r="I104" s="13">
        <v>21402</v>
      </c>
      <c r="J104" s="13">
        <v>7608</v>
      </c>
      <c r="K104" s="13">
        <v>12186</v>
      </c>
      <c r="L104" s="13">
        <v>35486</v>
      </c>
      <c r="M104" s="13">
        <v>32088</v>
      </c>
      <c r="N104" s="13">
        <v>32964</v>
      </c>
      <c r="O104" s="13">
        <v>37388</v>
      </c>
      <c r="P104" s="13">
        <v>247684</v>
      </c>
      <c r="Q104" s="13">
        <v>290314</v>
      </c>
      <c r="R104" s="13">
        <v>194874</v>
      </c>
      <c r="S104" s="13">
        <v>51747</v>
      </c>
      <c r="T104" s="13">
        <v>52184</v>
      </c>
      <c r="U104" s="13">
        <v>40071</v>
      </c>
      <c r="V104" s="13">
        <v>34092</v>
      </c>
    </row>
    <row r="105" spans="1:22" x14ac:dyDescent="0.25">
      <c r="A105" s="13" t="s">
        <v>137</v>
      </c>
      <c r="B105" s="13">
        <v>20758</v>
      </c>
      <c r="C105" s="13">
        <v>54970</v>
      </c>
      <c r="D105" s="13">
        <v>2367</v>
      </c>
      <c r="E105" s="13">
        <v>31151</v>
      </c>
      <c r="F105" s="13">
        <v>6765</v>
      </c>
      <c r="G105" s="13">
        <v>13080</v>
      </c>
      <c r="H105" s="13">
        <v>179709</v>
      </c>
      <c r="I105" s="13">
        <v>22197</v>
      </c>
      <c r="J105" s="13">
        <v>8126</v>
      </c>
      <c r="K105" s="13">
        <v>12706</v>
      </c>
      <c r="L105" s="13">
        <v>35192</v>
      </c>
      <c r="M105" s="13">
        <v>32448</v>
      </c>
      <c r="N105" s="13">
        <v>34813</v>
      </c>
      <c r="O105" s="13">
        <v>38144</v>
      </c>
      <c r="P105" s="13">
        <v>254524</v>
      </c>
      <c r="Q105" s="13">
        <v>299045</v>
      </c>
      <c r="R105" s="13">
        <v>200551</v>
      </c>
      <c r="S105" s="13">
        <v>52523</v>
      </c>
      <c r="T105" s="13">
        <v>60498</v>
      </c>
      <c r="U105" s="13">
        <v>39503</v>
      </c>
      <c r="V105" s="13">
        <v>40283</v>
      </c>
    </row>
    <row r="106" spans="1:22" x14ac:dyDescent="0.25">
      <c r="A106" s="13" t="s">
        <v>138</v>
      </c>
      <c r="B106" s="13">
        <v>21656</v>
      </c>
      <c r="C106" s="13">
        <v>55468</v>
      </c>
      <c r="D106" s="13">
        <v>2398</v>
      </c>
      <c r="E106" s="13">
        <v>30935</v>
      </c>
      <c r="F106" s="13">
        <v>6897</v>
      </c>
      <c r="G106" s="13">
        <v>13522</v>
      </c>
      <c r="H106" s="13">
        <v>181234</v>
      </c>
      <c r="I106" s="13">
        <v>22368</v>
      </c>
      <c r="J106" s="13">
        <v>8362</v>
      </c>
      <c r="K106" s="13">
        <v>13003</v>
      </c>
      <c r="L106" s="13">
        <v>35188</v>
      </c>
      <c r="M106" s="13">
        <v>32666</v>
      </c>
      <c r="N106" s="13">
        <v>34908</v>
      </c>
      <c r="O106" s="13">
        <v>38141</v>
      </c>
      <c r="P106" s="13">
        <v>258064</v>
      </c>
      <c r="Q106" s="13">
        <v>303290</v>
      </c>
      <c r="R106" s="13">
        <v>201606</v>
      </c>
      <c r="S106" s="13">
        <v>52417</v>
      </c>
      <c r="T106" s="13">
        <v>65050</v>
      </c>
      <c r="U106" s="13">
        <v>40802</v>
      </c>
      <c r="V106" s="13">
        <v>44152</v>
      </c>
    </row>
    <row r="107" spans="1:22" x14ac:dyDescent="0.25">
      <c r="A107" s="13" t="s">
        <v>139</v>
      </c>
      <c r="B107" s="13">
        <v>21049</v>
      </c>
      <c r="C107" s="13">
        <v>55009</v>
      </c>
      <c r="D107" s="13">
        <v>2503</v>
      </c>
      <c r="E107" s="13">
        <v>30102</v>
      </c>
      <c r="F107" s="13">
        <v>6947</v>
      </c>
      <c r="G107" s="13">
        <v>13909</v>
      </c>
      <c r="H107" s="13">
        <v>182346</v>
      </c>
      <c r="I107" s="13">
        <v>22237</v>
      </c>
      <c r="J107" s="13">
        <v>8489</v>
      </c>
      <c r="K107" s="13">
        <v>13599</v>
      </c>
      <c r="L107" s="13">
        <v>35141</v>
      </c>
      <c r="M107" s="13">
        <v>32683</v>
      </c>
      <c r="N107" s="13">
        <v>35915</v>
      </c>
      <c r="O107" s="13">
        <v>38174</v>
      </c>
      <c r="P107" s="13">
        <v>257199</v>
      </c>
      <c r="Q107" s="13">
        <v>302265</v>
      </c>
      <c r="R107" s="13">
        <v>201215</v>
      </c>
      <c r="S107" s="13">
        <v>52987</v>
      </c>
      <c r="T107" s="13">
        <v>62587</v>
      </c>
      <c r="U107" s="13">
        <v>46407</v>
      </c>
      <c r="V107" s="13">
        <v>43751</v>
      </c>
    </row>
    <row r="108" spans="1:22" x14ac:dyDescent="0.25">
      <c r="A108" s="13" t="s">
        <v>140</v>
      </c>
      <c r="B108" s="13">
        <v>19482</v>
      </c>
      <c r="C108" s="13">
        <v>54952</v>
      </c>
      <c r="D108" s="13">
        <v>2541</v>
      </c>
      <c r="E108" s="13">
        <v>29677</v>
      </c>
      <c r="F108" s="13">
        <v>6842</v>
      </c>
      <c r="G108" s="13">
        <v>14463</v>
      </c>
      <c r="H108" s="13">
        <v>184624</v>
      </c>
      <c r="I108" s="13">
        <v>22017</v>
      </c>
      <c r="J108" s="13">
        <v>8652</v>
      </c>
      <c r="K108" s="13">
        <v>13986</v>
      </c>
      <c r="L108" s="13">
        <v>35018</v>
      </c>
      <c r="M108" s="13">
        <v>32651</v>
      </c>
      <c r="N108" s="13">
        <v>37359</v>
      </c>
      <c r="O108" s="13">
        <v>38484</v>
      </c>
      <c r="P108" s="13">
        <v>256873</v>
      </c>
      <c r="Q108" s="13">
        <v>302077</v>
      </c>
      <c r="R108" s="13">
        <v>203153</v>
      </c>
      <c r="S108" s="13">
        <v>53547</v>
      </c>
      <c r="T108" s="13">
        <v>62211</v>
      </c>
      <c r="U108" s="13">
        <v>41865</v>
      </c>
      <c r="V108" s="13">
        <v>41526</v>
      </c>
    </row>
    <row r="109" spans="1:22" x14ac:dyDescent="0.25">
      <c r="A109" s="13" t="s">
        <v>141</v>
      </c>
      <c r="B109" s="13">
        <v>20612</v>
      </c>
      <c r="C109" s="13">
        <v>54273</v>
      </c>
      <c r="D109" s="13">
        <v>2480</v>
      </c>
      <c r="E109" s="13">
        <v>28949</v>
      </c>
      <c r="F109" s="13">
        <v>6827</v>
      </c>
      <c r="G109" s="13">
        <v>14678</v>
      </c>
      <c r="H109" s="13">
        <v>185526</v>
      </c>
      <c r="I109" s="13">
        <v>21578</v>
      </c>
      <c r="J109" s="13">
        <v>8879</v>
      </c>
      <c r="K109" s="13">
        <v>14457</v>
      </c>
      <c r="L109" s="13">
        <v>35033</v>
      </c>
      <c r="M109" s="13">
        <v>32515</v>
      </c>
      <c r="N109" s="13">
        <v>38130</v>
      </c>
      <c r="O109" s="13">
        <v>38859</v>
      </c>
      <c r="P109" s="13">
        <v>258329</v>
      </c>
      <c r="Q109" s="13">
        <v>303721</v>
      </c>
      <c r="R109" s="13">
        <v>204588</v>
      </c>
      <c r="S109" s="13">
        <v>54000</v>
      </c>
      <c r="T109" s="13">
        <v>62490</v>
      </c>
      <c r="U109" s="13">
        <v>40854</v>
      </c>
      <c r="V109" s="13">
        <v>41749</v>
      </c>
    </row>
    <row r="110" spans="1:22" x14ac:dyDescent="0.25">
      <c r="A110" s="18" t="s">
        <v>142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</row>
  </sheetData>
  <mergeCells count="6">
    <mergeCell ref="A110:V110"/>
    <mergeCell ref="A1:V1"/>
    <mergeCell ref="A2:V2"/>
    <mergeCell ref="A3:V3"/>
    <mergeCell ref="A4:A5"/>
    <mergeCell ref="B4:V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7B296-BA8B-496B-9E84-1FE170AD2882}">
  <sheetPr codeName="Planilha2">
    <tabColor theme="4" tint="0.59999389629810485"/>
  </sheetPr>
  <dimension ref="A1:H3"/>
  <sheetViews>
    <sheetView showGridLines="0" zoomScaleNormal="100" workbookViewId="0">
      <selection sqref="A1:F1"/>
    </sheetView>
  </sheetViews>
  <sheetFormatPr defaultColWidth="0" defaultRowHeight="15" x14ac:dyDescent="0.25"/>
  <cols>
    <col min="1" max="1" width="12.140625" customWidth="1"/>
    <col min="2" max="2" width="68.28515625" customWidth="1"/>
    <col min="3" max="3" width="12.140625" customWidth="1"/>
    <col min="4" max="4" width="52" customWidth="1"/>
    <col min="5" max="5" width="12.140625" customWidth="1"/>
    <col min="6" max="6" width="52" customWidth="1"/>
    <col min="7" max="7" width="2.42578125" customWidth="1"/>
    <col min="8" max="8" width="0" hidden="1" customWidth="1"/>
    <col min="9" max="16384" width="9.140625" hidden="1"/>
  </cols>
  <sheetData>
    <row r="1" spans="1:6" ht="48.75" customHeight="1" x14ac:dyDescent="0.35">
      <c r="A1" s="19" t="s">
        <v>10</v>
      </c>
      <c r="B1" s="19"/>
      <c r="C1" s="19"/>
      <c r="D1" s="19"/>
      <c r="E1" s="19"/>
      <c r="F1" s="19"/>
    </row>
    <row r="2" spans="1:6" x14ac:dyDescent="0.25">
      <c r="A2" s="2" t="s">
        <v>5</v>
      </c>
      <c r="B2" s="2" t="s">
        <v>0</v>
      </c>
      <c r="C2" s="2" t="s">
        <v>5</v>
      </c>
      <c r="D2" s="2" t="s">
        <v>0</v>
      </c>
      <c r="E2" s="2" t="s">
        <v>5</v>
      </c>
      <c r="F2" s="2" t="s">
        <v>0</v>
      </c>
    </row>
    <row r="3" spans="1:6" ht="405" x14ac:dyDescent="0.25">
      <c r="A3" s="11" t="s">
        <v>1</v>
      </c>
      <c r="B3" s="3" t="s">
        <v>145</v>
      </c>
      <c r="C3" s="11" t="s">
        <v>8</v>
      </c>
      <c r="D3" s="3" t="s">
        <v>2</v>
      </c>
      <c r="E3" s="11"/>
      <c r="F3" s="3"/>
    </row>
  </sheetData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Step 1 - Check BR</vt:lpstr>
      <vt:lpstr>Step 2- Check US</vt:lpstr>
      <vt:lpstr>BR OBS</vt:lpstr>
      <vt:lpstr>BR SA</vt:lpstr>
      <vt:lpstr>Specs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</cp:lastModifiedBy>
  <dcterms:created xsi:type="dcterms:W3CDTF">2022-01-12T01:16:32Z</dcterms:created>
  <dcterms:modified xsi:type="dcterms:W3CDTF">2022-10-07T18:33:25Z</dcterms:modified>
</cp:coreProperties>
</file>