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ml.chartshap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514" codeName="{1976965A-4D05-D629-99FE-D24ACEFE15D7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Users\Eduardo\Google Drive\Meus Projetos\xlDESSAZ\"/>
    </mc:Choice>
  </mc:AlternateContent>
  <xr:revisionPtr revIDLastSave="0" documentId="13_ncr:1_{D9AC270E-EA66-4A46-94BF-12E1C23ADA6A}" xr6:coauthVersionLast="47" xr6:coauthVersionMax="47" xr10:uidLastSave="{00000000-0000-0000-0000-000000000000}"/>
  <bookViews>
    <workbookView xWindow="-28920" yWindow="-120" windowWidth="29040" windowHeight="15840" xr2:uid="{F29B9D70-8009-4EED-BCE5-54F79349A668}"/>
  </bookViews>
  <sheets>
    <sheet name="GDP Forecasts" sheetId="9" r:id="rId1"/>
    <sheet name="Specs" sheetId="2" r:id="rId2"/>
  </sheets>
  <functionGroups builtInGroupCount="19"/>
  <externalReferences>
    <externalReference r:id="rId3"/>
  </externalReferences>
  <definedNames>
    <definedName name="_xlpm.x" hidden="1" xlm="1">#NAME?</definedName>
    <definedName name="Holidays">[1]Holidays!$A$2:$A$937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J5" i="9" l="1"/>
  <c r="V5" i="9" s="1"/>
  <c r="J19" i="9"/>
  <c r="J18" i="9"/>
  <c r="J17" i="9"/>
  <c r="J16" i="9"/>
  <c r="X16" i="9" s="1"/>
  <c r="J15" i="9"/>
  <c r="J14" i="9"/>
  <c r="J13" i="9"/>
  <c r="V13" i="9" s="1"/>
  <c r="J12" i="9"/>
  <c r="J11" i="9"/>
  <c r="J10" i="9"/>
  <c r="J9" i="9"/>
  <c r="J8" i="9"/>
  <c r="X8" i="9" s="1"/>
  <c r="J7" i="9"/>
  <c r="J6" i="9"/>
  <c r="AF4" i="9"/>
  <c r="AE4" i="9"/>
  <c r="AE3" i="9" s="1"/>
  <c r="AD4" i="9"/>
  <c r="AD3" i="9" s="1"/>
  <c r="AC4" i="9"/>
  <c r="AC3" i="9" s="1"/>
  <c r="AB4" i="9"/>
  <c r="AA4" i="9"/>
  <c r="AA3" i="9" s="1"/>
  <c r="Z4" i="9"/>
  <c r="AF3" i="9"/>
  <c r="AB3" i="9"/>
  <c r="Z3" i="9"/>
  <c r="U3" i="9"/>
  <c r="T3" i="9"/>
  <c r="S3" i="9"/>
  <c r="R3" i="9"/>
  <c r="Q3" i="9"/>
  <c r="P3" i="9"/>
  <c r="O3" i="9"/>
  <c r="P19" i="9" a="1"/>
  <c r="S15" i="9" a="1"/>
  <c r="T13" i="9" a="1"/>
  <c r="R10" i="9" a="1"/>
  <c r="U6" i="9" a="1"/>
  <c r="R19" i="9" a="1"/>
  <c r="U15" i="9" a="1"/>
  <c r="O9" i="9" a="1"/>
  <c r="O18" i="9" a="1"/>
  <c r="T17" i="9" a="1"/>
  <c r="U18" i="9" a="1"/>
  <c r="P14" i="9" a="1"/>
  <c r="Q12" i="9" a="1"/>
  <c r="R5" i="9" a="1"/>
  <c r="R14" i="9" a="1"/>
  <c r="R17" i="9" a="1"/>
  <c r="U13" i="9" a="1"/>
  <c r="S10" i="9" a="1"/>
  <c r="T8" i="9" a="1"/>
  <c r="T6" i="9" a="1"/>
  <c r="O16" i="9" a="1"/>
  <c r="R12" i="9" a="1"/>
  <c r="P9" i="9" a="1"/>
  <c r="Q7" i="9" a="1"/>
  <c r="S19" i="9" a="1"/>
  <c r="Q16" i="9" a="1"/>
  <c r="T12" i="9" a="1"/>
  <c r="P18" i="9" a="1"/>
  <c r="S14" i="9" a="1"/>
  <c r="T15" i="9" a="1"/>
  <c r="O11" i="9" a="1"/>
  <c r="U8" i="9" a="1"/>
  <c r="S5" i="9" a="1"/>
  <c r="Q11" i="9" a="1"/>
  <c r="Q14" i="9" a="1"/>
  <c r="T10" i="9" a="1"/>
  <c r="R7" i="9" a="1"/>
  <c r="T19" i="9" a="1"/>
  <c r="U17" i="9" a="1"/>
  <c r="P13" i="9" a="1"/>
  <c r="S9" i="9" a="1"/>
  <c r="O10" i="9" a="1"/>
  <c r="Q13" i="9" a="1"/>
  <c r="Q5" i="9" a="1"/>
  <c r="S12" i="9" a="1"/>
  <c r="Q9" i="9" a="1"/>
  <c r="O6" i="9" a="1"/>
  <c r="Q18" i="9" a="1"/>
  <c r="R16" i="9" a="1"/>
  <c r="U12" i="9" a="1"/>
  <c r="P8" i="9" a="1"/>
  <c r="T14" i="9" a="1"/>
  <c r="T9" i="9" a="1"/>
  <c r="P16" i="9" a="1"/>
  <c r="P11" i="9" a="1"/>
  <c r="S7" i="9" a="1"/>
  <c r="T5" i="9" a="1"/>
  <c r="S16" i="9" a="1"/>
  <c r="O15" i="9" a="1"/>
  <c r="R11" i="9" a="1"/>
  <c r="U7" i="9" a="1"/>
  <c r="R6" i="9" a="1"/>
  <c r="O14" i="9" a="1"/>
  <c r="U10" i="9" a="1"/>
  <c r="P6" i="9" a="1"/>
  <c r="U19" i="9" a="1"/>
  <c r="P15" i="9" a="1"/>
  <c r="O5" i="9" a="1"/>
  <c r="R9" i="9" a="1"/>
  <c r="U5" i="9" a="1"/>
  <c r="R18" i="9" a="1"/>
  <c r="U14" i="9" a="1"/>
  <c r="P7" i="9" a="1"/>
  <c r="O8" i="9" a="1"/>
  <c r="E29" i="9" a="1"/>
  <c r="O17" i="9" a="1"/>
  <c r="R13" i="9" a="1"/>
  <c r="S11" i="9" a="1"/>
  <c r="Q8" i="9" a="1"/>
  <c r="Q15" i="9" a="1"/>
  <c r="P5" i="9" a="1"/>
  <c r="P12" i="9" a="1"/>
  <c r="Q17" i="9" a="1"/>
  <c r="T7" i="9" a="1"/>
  <c r="S18" i="9" a="1"/>
  <c r="T16" i="9" a="1"/>
  <c r="O12" i="9" a="1"/>
  <c r="P10" i="9" a="1"/>
  <c r="S6" i="9" a="1"/>
  <c r="U9" i="9" a="1"/>
  <c r="O7" i="9" a="1"/>
  <c r="U11" i="9" a="1"/>
  <c r="Q6" i="9" a="1"/>
  <c r="P17" i="9" a="1"/>
  <c r="T11" i="9" a="1"/>
  <c r="S8" i="9" a="1"/>
  <c r="O13" i="9" a="1"/>
  <c r="O19" i="9" a="1"/>
  <c r="U16" i="9" a="1"/>
  <c r="S13" i="9" a="1"/>
  <c r="Q10" i="9" a="1"/>
  <c r="R8" i="9" a="1"/>
  <c r="Q19" i="9" a="1"/>
  <c r="T18" i="9" a="1"/>
  <c r="R15" i="9" a="1"/>
  <c r="S17" i="9" a="1"/>
  <c r="O5" i="9" l="1"/>
  <c r="R6" i="9"/>
  <c r="U7" i="9"/>
  <c r="P8" i="9"/>
  <c r="S9" i="9"/>
  <c r="Q11" i="9"/>
  <c r="T12" i="9"/>
  <c r="AE12" i="9" s="1"/>
  <c r="O13" i="9"/>
  <c r="R14" i="9"/>
  <c r="U15" i="9"/>
  <c r="AF15" i="9" s="1"/>
  <c r="P16" i="9"/>
  <c r="S17" i="9"/>
  <c r="AD17" i="9" s="1"/>
  <c r="Q19" i="9"/>
  <c r="P5" i="9"/>
  <c r="S6" i="9"/>
  <c r="AD6" i="9" s="1"/>
  <c r="Q8" i="9"/>
  <c r="AB8" i="9" s="1"/>
  <c r="T9" i="9"/>
  <c r="O10" i="9"/>
  <c r="R11" i="9"/>
  <c r="U12" i="9"/>
  <c r="P13" i="9"/>
  <c r="S14" i="9"/>
  <c r="Q16" i="9"/>
  <c r="AB16" i="9" s="1"/>
  <c r="T17" i="9"/>
  <c r="AE17" i="9" s="1"/>
  <c r="O18" i="9"/>
  <c r="R19" i="9"/>
  <c r="AC19" i="9" s="1"/>
  <c r="Q5" i="9"/>
  <c r="O7" i="9"/>
  <c r="Z7" i="9" s="1"/>
  <c r="R8" i="9"/>
  <c r="U9" i="9"/>
  <c r="P10" i="9"/>
  <c r="AA10" i="9" s="1"/>
  <c r="S11" i="9"/>
  <c r="AD11" i="9" s="1"/>
  <c r="Q13" i="9"/>
  <c r="AB13" i="9" s="1"/>
  <c r="T14" i="9"/>
  <c r="O15" i="9"/>
  <c r="R16" i="9"/>
  <c r="U17" i="9"/>
  <c r="AF17" i="9" s="1"/>
  <c r="P18" i="9"/>
  <c r="S19" i="9"/>
  <c r="AD19" i="9" s="1"/>
  <c r="T6" i="9"/>
  <c r="R5" i="9"/>
  <c r="U6" i="9"/>
  <c r="AF6" i="9" s="1"/>
  <c r="P7" i="9"/>
  <c r="S8" i="9"/>
  <c r="Q10" i="9"/>
  <c r="T11" i="9"/>
  <c r="O12" i="9"/>
  <c r="R13" i="9"/>
  <c r="U14" i="9"/>
  <c r="P15" i="9"/>
  <c r="S16" i="9"/>
  <c r="Q18" i="9"/>
  <c r="T19" i="9"/>
  <c r="AE19" i="9" s="1"/>
  <c r="S5" i="9"/>
  <c r="Q7" i="9"/>
  <c r="AB7" i="9" s="1"/>
  <c r="T8" i="9"/>
  <c r="O9" i="9"/>
  <c r="R10" i="9"/>
  <c r="AC10" i="9" s="1"/>
  <c r="U11" i="9"/>
  <c r="P12" i="9"/>
  <c r="S13" i="9"/>
  <c r="Q15" i="9"/>
  <c r="T16" i="9"/>
  <c r="AE16" i="9" s="1"/>
  <c r="O17" i="9"/>
  <c r="R18" i="9"/>
  <c r="U19" i="9"/>
  <c r="T5" i="9"/>
  <c r="AE5" i="9" s="1"/>
  <c r="O6" i="9"/>
  <c r="R7" i="9"/>
  <c r="U8" i="9"/>
  <c r="P9" i="9"/>
  <c r="AA9" i="9" s="1"/>
  <c r="S10" i="9"/>
  <c r="Q12" i="9"/>
  <c r="AB12" i="9" s="1"/>
  <c r="T13" i="9"/>
  <c r="AE13" i="9" s="1"/>
  <c r="O14" i="9"/>
  <c r="R15" i="9"/>
  <c r="AC15" i="9" s="1"/>
  <c r="U16" i="9"/>
  <c r="P17" i="9"/>
  <c r="AA17" i="9" s="1"/>
  <c r="S18" i="9"/>
  <c r="AD18" i="9" s="1"/>
  <c r="E29" i="9"/>
  <c r="U5" i="9"/>
  <c r="P6" i="9"/>
  <c r="S7" i="9"/>
  <c r="Q9" i="9"/>
  <c r="T10" i="9"/>
  <c r="AE10" i="9" s="1"/>
  <c r="O11" i="9"/>
  <c r="R12" i="9"/>
  <c r="AC12" i="9" s="1"/>
  <c r="U13" i="9"/>
  <c r="P14" i="9"/>
  <c r="AA14" i="9" s="1"/>
  <c r="S15" i="9"/>
  <c r="Q17" i="9"/>
  <c r="T18" i="9"/>
  <c r="AE18" i="9" s="1"/>
  <c r="O19" i="9"/>
  <c r="Q6" i="9"/>
  <c r="AB6" i="9" s="1"/>
  <c r="T7" i="9"/>
  <c r="AE7" i="9" s="1"/>
  <c r="O8" i="9"/>
  <c r="Z8" i="9" s="1"/>
  <c r="R9" i="9"/>
  <c r="U10" i="9"/>
  <c r="P11" i="9"/>
  <c r="AA11" i="9" s="1"/>
  <c r="S12" i="9"/>
  <c r="Q14" i="9"/>
  <c r="AB14" i="9" s="1"/>
  <c r="T15" i="9"/>
  <c r="O16" i="9"/>
  <c r="Z16" i="9" s="1"/>
  <c r="R17" i="9"/>
  <c r="U18" i="9"/>
  <c r="AF18" i="9" s="1"/>
  <c r="P19" i="9"/>
  <c r="AA19" i="9" s="1"/>
  <c r="Z11" i="9"/>
  <c r="AF10" i="9"/>
  <c r="AD9" i="9"/>
  <c r="AF7" i="9"/>
  <c r="AF12" i="9"/>
  <c r="Z19" i="9"/>
  <c r="W13" i="9"/>
  <c r="AC14" i="9"/>
  <c r="Y16" i="9"/>
  <c r="W5" i="9"/>
  <c r="AC6" i="9"/>
  <c r="Y8" i="9"/>
  <c r="AE9" i="9"/>
  <c r="X5" i="9"/>
  <c r="AF9" i="9"/>
  <c r="V10" i="9"/>
  <c r="AB11" i="9"/>
  <c r="X13" i="9"/>
  <c r="AD14" i="9"/>
  <c r="V18" i="9"/>
  <c r="AB19" i="9"/>
  <c r="W18" i="9"/>
  <c r="W10" i="9"/>
  <c r="AC11" i="9"/>
  <c r="Y13" i="9"/>
  <c r="AE14" i="9"/>
  <c r="AA16" i="9"/>
  <c r="Z5" i="9"/>
  <c r="V7" i="9"/>
  <c r="V21" i="9" s="1"/>
  <c r="X10" i="9"/>
  <c r="Z13" i="9"/>
  <c r="AF14" i="9"/>
  <c r="V15" i="9"/>
  <c r="X18" i="9"/>
  <c r="W15" i="9"/>
  <c r="AC16" i="9"/>
  <c r="Y18" i="9"/>
  <c r="AB5" i="9"/>
  <c r="X7" i="9"/>
  <c r="AD8" i="9"/>
  <c r="Z10" i="9"/>
  <c r="AF11" i="9"/>
  <c r="V12" i="9"/>
  <c r="X15" i="9"/>
  <c r="AD16" i="9"/>
  <c r="Z18" i="9"/>
  <c r="AF19" i="9"/>
  <c r="W12" i="9"/>
  <c r="AC13" i="9"/>
  <c r="Y15" i="9"/>
  <c r="AA18" i="9"/>
  <c r="AA7" i="9"/>
  <c r="Y6" i="9"/>
  <c r="W11" i="9"/>
  <c r="Y14" i="9"/>
  <c r="AE15" i="9"/>
  <c r="AA6" i="9"/>
  <c r="Y5" i="9"/>
  <c r="AE6" i="9"/>
  <c r="AA8" i="9"/>
  <c r="AA5" i="9"/>
  <c r="W7" i="9"/>
  <c r="AC8" i="9"/>
  <c r="Y10" i="9"/>
  <c r="AE11" i="9"/>
  <c r="AA13" i="9"/>
  <c r="AC5" i="9"/>
  <c r="Y7" i="9"/>
  <c r="AE8" i="9"/>
  <c r="AD5" i="9"/>
  <c r="AF8" i="9"/>
  <c r="V9" i="9"/>
  <c r="AB10" i="9"/>
  <c r="X12" i="9"/>
  <c r="AD13" i="9"/>
  <c r="Z15" i="9"/>
  <c r="AF16" i="9"/>
  <c r="V17" i="9"/>
  <c r="AB18" i="9"/>
  <c r="W17" i="9"/>
  <c r="AC18" i="9"/>
  <c r="W9" i="9"/>
  <c r="Y12" i="9"/>
  <c r="AA15" i="9"/>
  <c r="AF5" i="9"/>
  <c r="V6" i="9"/>
  <c r="V22" i="9" s="1"/>
  <c r="X9" i="9"/>
  <c r="AD10" i="9"/>
  <c r="Z12" i="9"/>
  <c r="AF13" i="9"/>
  <c r="V14" i="9"/>
  <c r="AB15" i="9"/>
  <c r="X17" i="9"/>
  <c r="W14" i="9"/>
  <c r="Y17" i="9"/>
  <c r="W6" i="9"/>
  <c r="AC7" i="9"/>
  <c r="Y9" i="9"/>
  <c r="AA12" i="9"/>
  <c r="X6" i="9"/>
  <c r="AD7" i="9"/>
  <c r="Z9" i="9"/>
  <c r="V11" i="9"/>
  <c r="X14" i="9"/>
  <c r="AD15" i="9"/>
  <c r="Z17" i="9"/>
  <c r="V19" i="9"/>
  <c r="W19" i="9"/>
  <c r="Z6" i="9"/>
  <c r="V8" i="9"/>
  <c r="AB9" i="9"/>
  <c r="X11" i="9"/>
  <c r="AD12" i="9"/>
  <c r="Z14" i="9"/>
  <c r="V16" i="9"/>
  <c r="AB17" i="9"/>
  <c r="X19" i="9"/>
  <c r="W16" i="9"/>
  <c r="AC17" i="9"/>
  <c r="Y19" i="9"/>
  <c r="W8" i="9"/>
  <c r="AC9" i="9"/>
  <c r="Y11" i="9"/>
  <c r="F29" i="9" a="1"/>
  <c r="F29" i="9" l="1"/>
  <c r="AA21" i="9"/>
  <c r="AA22" i="9"/>
  <c r="Y21" i="9"/>
  <c r="Y22" i="9"/>
  <c r="W21" i="9"/>
  <c r="W22" i="9"/>
  <c r="AF22" i="9"/>
  <c r="AF21" i="9"/>
  <c r="AD21" i="9"/>
  <c r="AD22" i="9"/>
  <c r="AC21" i="9"/>
  <c r="AC22" i="9"/>
  <c r="AB21" i="9"/>
  <c r="AB22" i="9"/>
  <c r="Z21" i="9"/>
  <c r="Z22" i="9"/>
  <c r="AE21" i="9"/>
  <c r="AE22" i="9"/>
  <c r="X21" i="9"/>
  <c r="X22" i="9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<sst xmlns="http://schemas.openxmlformats.org/spreadsheetml/2006/main" count="39" uniqueCount="34">
  <si>
    <t>Spec</t>
  </si>
  <si>
    <t>SA</t>
  </si>
  <si>
    <t>Date</t>
  </si>
  <si>
    <t>Name</t>
  </si>
  <si>
    <t>BR GDP</t>
  </si>
  <si>
    <t>Official data</t>
  </si>
  <si>
    <t>xlDESSAZ</t>
  </si>
  <si>
    <t>Official SA</t>
  </si>
  <si>
    <t>series{
    start= 1996.1
    period = 4
    format = free
}
transform{ 
    function = auto
}
pickmdl{
   method = best
   identify = all
}
outlier{ 
    types = all
}
forecast {
   maxlead = 6
   maxback = 0
}
regression {
   aictest = (td easter)
}
estimate{ }
x11{
save=(d11 d12 d13)
savelog = q
}</t>
  </si>
  <si>
    <t>F4</t>
  </si>
  <si>
    <t>OBS;F4</t>
  </si>
  <si>
    <t>Forecast</t>
  </si>
  <si>
    <t>X13-ARIMA-SEATS specifications (with minor adaptations from original ones)
make sure that x11{ save=(d11 d12 d13) } is specified</t>
  </si>
  <si>
    <t>Ano</t>
  </si>
  <si>
    <t>Realizado</t>
  </si>
  <si>
    <t>EQM</t>
  </si>
  <si>
    <t>EMA</t>
  </si>
  <si>
    <t>X13: IBGE Spec (-12m)</t>
  </si>
  <si>
    <t>Erro X13: IBGE Spec (-12m)</t>
  </si>
  <si>
    <t>F3</t>
  </si>
  <si>
    <t>F2</t>
  </si>
  <si>
    <t>F1</t>
  </si>
  <si>
    <t>X13: IBGE Spec (-9m)</t>
  </si>
  <si>
    <t>X13: IBGE Spec (-6m)</t>
  </si>
  <si>
    <t>X13: IBGE Spec (-3m)</t>
  </si>
  <si>
    <t>=( SOMASES($B$29:$B$135; $A$29:$A$135; "&gt;=" &amp; DATA(ANO($I5);1;1); $A$29:$A$135; "&lt;=" &amp; (-1 + DATAM( DATA(ANO($I5);1;1); 3*(4-DIREITA(K$4;1)) ) ) ) + SOMA(ARRED(xlDESSAZ(DESLOC($A$29;0;0;40+4*$H5);DESLOC($B$29;0;0;40+4*$H5);K$4;;;Specs!$D$3);1)) ) /  SOMASES($B$29:$B$135; $A$29:$A$135; "&gt;=" &amp; DATA(ANO($I5)-1;1;1); $A$29:$A$135; "&lt;=" &amp; DATA(ANO($I5)-1;12;31)) - 1</t>
  </si>
  <si>
    <t>Erro X13: IBGE Spec (-9m)</t>
  </si>
  <si>
    <t>Erro X13: IBGE Spec (-6m)</t>
  </si>
  <si>
    <t>Erro X13: IBGE Spec (-3m)</t>
  </si>
  <si>
    <t>PIB: Tramo</t>
  </si>
  <si>
    <t>series{
    start= 1996.1
    period = 4
    format = free
}
transform{ 
    function = auto
}
automdl{
maxorder = (4 2)
}
outlier{ 
    types = all
}
forecast {
   maxlead = 6
   maxback = 0
}
regression {
   aictest = (td easter)
}
estimate{ }
x11{
save=(d11 d12 d13)
savelog = q
}</t>
  </si>
  <si>
    <t>PIB: X11 AR(1)</t>
  </si>
  <si>
    <t>PIB: X11 (IBGE)</t>
  </si>
  <si>
    <t>series{
    start= 1996.1
    period = 4
    format = free
}
transform{ 
    function = auto
}
arima{
model= (1 1 0)
}
outlier{ 
    types = all
}
forecast {
   maxlead = 6
   maxback = 0
}
regression {
   aictest = (td easter)
}
estimate{ }
x11{
save=(d11 d12 d13)
savelog = q
}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</si>
</sst>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4">
    <numFmt numFmtId="164" formatCode="[$-416]mmm\-yy;@"/>
    <numFmt numFmtId="165" formatCode="0.0"/>
    <numFmt numFmtId="166" formatCode="0.0%"/>
    <numFmt numFmtId="167" formatCode="yyyy"/>
  </numFmts>
  <fonts count="7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theme="1"/>
      <name val="Arial"/>
      <family val="2"/>
    </font>
    <font>
      <b/>
      <sz val="16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8" tint="0.79998168889431442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</borders>
  <cellStyleXfs count="3">
    <xf numFmtId="0" fontId="0" fillId="0" borderId="0"/>
    <xf numFmtId="9" fontId="1" fillId="0" borderId="0" applyFont="0" applyFill="0" applyBorder="0" applyAlignment="0" applyProtection="0"/>
    <xf numFmtId="0" fontId="3" fillId="0" borderId="0"/>
  </cellStyleXfs>
  <cellXfs count="26">
    <xf numFmtId="0" fontId="0" fillId="0" borderId="0" xfId="0"/>
    <xf numFmtId="14" fontId="0" fillId="0" borderId="0" xfId="0" applyNumberFormat="1"/>
    <xf numFmtId="0" fontId="0" fillId="2" borderId="0" xfId="0" applyFill="1"/>
    <xf numFmtId="0" fontId="0" fillId="0" borderId="1" xfId="0" applyBorder="1" applyAlignment="1">
      <alignment vertical="top" wrapText="1"/>
    </xf>
    <xf numFmtId="0" fontId="0" fillId="0" borderId="0" xfId="0" applyAlignment="1">
      <alignment wrapText="1"/>
    </xf>
    <xf numFmtId="165" fontId="0" fillId="0" borderId="0" xfId="0" applyNumberFormat="1"/>
    <xf numFmtId="166" fontId="0" fillId="0" borderId="0" xfId="1" applyNumberFormat="1" applyFont="1"/>
    <xf numFmtId="0" fontId="2" fillId="0" borderId="0" xfId="0" applyFont="1"/>
    <xf numFmtId="0" fontId="2" fillId="2" borderId="0" xfId="0" applyFont="1" applyFill="1"/>
    <xf numFmtId="164" fontId="0" fillId="0" borderId="0" xfId="0" applyNumberFormat="1"/>
    <xf numFmtId="0" fontId="0" fillId="3" borderId="1" xfId="0" applyFill="1" applyBorder="1" applyAlignment="1">
      <alignment horizontal="center" vertical="top" wrapText="1"/>
    </xf>
    <xf numFmtId="166" fontId="0" fillId="0" borderId="0" xfId="0" applyNumberFormat="1"/>
    <xf numFmtId="10" fontId="0" fillId="0" borderId="0" xfId="0" applyNumberFormat="1"/>
    <xf numFmtId="0" fontId="2" fillId="0" borderId="3" xfId="0" applyFont="1" applyBorder="1"/>
    <xf numFmtId="166" fontId="0" fillId="0" borderId="3" xfId="0" applyNumberFormat="1" applyBorder="1"/>
    <xf numFmtId="166" fontId="0" fillId="0" borderId="2" xfId="1" applyNumberFormat="1" applyFont="1" applyBorder="1"/>
    <xf numFmtId="167" fontId="0" fillId="0" borderId="0" xfId="0" applyNumberFormat="1"/>
    <xf numFmtId="0" fontId="0" fillId="0" borderId="0" xfId="0" applyAlignment="1">
      <alignment horizontal="center"/>
    </xf>
    <xf numFmtId="0" fontId="5" fillId="2" borderId="0" xfId="0" applyFont="1" applyFill="1" applyAlignment="1">
      <alignment horizontal="center"/>
    </xf>
    <xf numFmtId="0" fontId="6" fillId="2" borderId="0" xfId="0" applyFont="1" applyFill="1" applyAlignment="1">
      <alignment wrapText="1"/>
    </xf>
    <xf numFmtId="0" fontId="6" fillId="4" borderId="0" xfId="0" applyFont="1" applyFill="1" applyAlignment="1">
      <alignment wrapText="1"/>
    </xf>
    <xf numFmtId="0" fontId="6" fillId="7" borderId="0" xfId="0" applyFont="1" applyFill="1" applyAlignment="1">
      <alignment wrapText="1"/>
    </xf>
    <xf numFmtId="0" fontId="0" fillId="6" borderId="0" xfId="0" applyFill="1" applyAlignment="1">
      <alignment horizontal="center"/>
    </xf>
    <xf numFmtId="0" fontId="0" fillId="8" borderId="0" xfId="0" quotePrefix="1" applyFill="1"/>
    <xf numFmtId="166" fontId="0" fillId="9" borderId="0" xfId="1" applyNumberFormat="1" applyFont="1" applyFill="1"/>
    <xf numFmtId="0" fontId="4" fillId="5" borderId="0" xfId="0" applyFont="1" applyFill="1" applyAlignment="1">
      <alignment horizontal="left" wrapText="1"/>
    </xf>
  </cellXfs>
  <cellStyles count="3">
    <cellStyle name="Normal" xfId="0" builtinId="0"/>
    <cellStyle name="Normal 2" xfId="2" xr:uid="{37EFEC2C-8610-4B1A-AD95-746AA27D3980}"/>
    <cellStyle name="Porcentagem" xfId="1" builtinId="5"/>
  </cellStyles>
  <dxfs count="0"/>
  <tableStyles count="1" defaultTableStyle="TableStyleMedium2" defaultPivotStyle="PivotStyleLight16">
    <tableStyle name="Invisible" pivot="0" table="0" count="0" xr9:uid="{592CD688-896F-47FF-B94D-7EA471DC7838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externalLink" Target="externalLinks/externalLink1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pt-BR" sz="1100"/>
              <a:t>PIB Brasil: Erro quadrático médio das projeções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9.1857106589201376E-2"/>
          <c:y val="0.26353633084603245"/>
          <c:w val="0.8771948829668974"/>
          <c:h val="0.55299602009742077"/>
        </c:manualLayout>
      </c:layout>
      <c:lineChart>
        <c:grouping val="standard"/>
        <c:varyColors val="0"/>
        <c:ser>
          <c:idx val="0"/>
          <c:order val="0"/>
          <c:tx>
            <c:v>X13: IBGE Spec</c:v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strRef>
              <c:f>'GDP Forecasts'!$K$4:$N$4</c:f>
              <c:strCache>
                <c:ptCount val="4"/>
                <c:pt idx="0">
                  <c:v>F4</c:v>
                </c:pt>
                <c:pt idx="1">
                  <c:v>F3</c:v>
                </c:pt>
                <c:pt idx="2">
                  <c:v>F2</c:v>
                </c:pt>
                <c:pt idx="3">
                  <c:v>F1</c:v>
                </c:pt>
              </c:strCache>
            </c:strRef>
          </c:cat>
          <c:val>
            <c:numRef>
              <c:f>'GDP Forecasts'!$V$22:$Y$22</c:f>
              <c:numCache>
                <c:formatCode>0.00%</c:formatCode>
                <c:ptCount val="4"/>
                <c:pt idx="0">
                  <c:v>2.438034350453918E-2</c:v>
                </c:pt>
                <c:pt idx="1">
                  <c:v>2.2400546029195893E-2</c:v>
                </c:pt>
                <c:pt idx="2">
                  <c:v>2.0400375011008436E-2</c:v>
                </c:pt>
                <c:pt idx="3">
                  <c:v>1.2818357217917464E-2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5D1-4903-8552-C4FF7A5B2193}"/>
            </c:ext>
          </c:extLst>
        </c:ser>
        <c:ser>
          <c:idx val="1"/>
          <c:order val="1"/>
          <c:tx>
            <c:v>Focus</c:v>
          </c:tx>
          <c:spPr>
            <a:ln w="34925" cap="rnd">
              <a:solidFill>
                <a:schemeClr val="accent2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strRef>
              <c:f>'GDP Forecasts'!$K$4:$N$4</c:f>
              <c:strCache>
                <c:ptCount val="4"/>
                <c:pt idx="0">
                  <c:v>F4</c:v>
                </c:pt>
                <c:pt idx="1">
                  <c:v>F3</c:v>
                </c:pt>
                <c:pt idx="2">
                  <c:v>F2</c:v>
                </c:pt>
                <c:pt idx="3">
                  <c:v>F1</c:v>
                </c:pt>
              </c:strCache>
            </c:strRef>
          </c:cat>
          <c:val>
            <c:numRef>
              <c:f>'GDP Forecasts'!$AA$22:$AD$22</c:f>
              <c:numCache>
                <c:formatCode>0.00%</c:formatCode>
                <c:ptCount val="4"/>
                <c:pt idx="0">
                  <c:v>2.3227804508736041E-2</c:v>
                </c:pt>
                <c:pt idx="1">
                  <c:v>1.459087844993436E-2</c:v>
                </c:pt>
                <c:pt idx="2">
                  <c:v>1.061211207307863E-2</c:v>
                </c:pt>
                <c:pt idx="3">
                  <c:v>6.3062868371096511E-3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5D1-4903-8552-C4FF7A5B21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822357472"/>
        <c:axId val="822354144"/>
      </c:lineChart>
      <c:catAx>
        <c:axId val="8223574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822354144"/>
        <c:crosses val="autoZero"/>
        <c:auto val="1"/>
        <c:lblAlgn val="ctr"/>
        <c:lblOffset val="100"/>
        <c:noMultiLvlLbl val="0"/>
      </c:catAx>
      <c:valAx>
        <c:axId val="82235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8223574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5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userShapes r:id="rId3"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115957</xdr:colOff>
      <xdr:row>23</xdr:row>
      <xdr:rowOff>33129</xdr:rowOff>
    </xdr:from>
    <xdr:to>
      <xdr:col>16</xdr:col>
      <xdr:colOff>115957</xdr:colOff>
      <xdr:row>37</xdr:row>
      <xdr:rowOff>79512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CA118FB2-2AF2-4CCB-AC27-46FF7E6C304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19</xdr:col>
      <xdr:colOff>0</xdr:colOff>
      <xdr:row>25</xdr:row>
      <xdr:rowOff>0</xdr:rowOff>
    </xdr:from>
    <xdr:to>
      <xdr:col>26</xdr:col>
      <xdr:colOff>104774</xdr:colOff>
      <xdr:row>39</xdr:row>
      <xdr:rowOff>47625</xdr:rowOff>
    </xdr:to>
    <xdr:pic>
      <xdr:nvPicPr>
        <xdr:cNvPr id="8" name="Imagem 7">
          <a:extLst>
            <a:ext uri="{FF2B5EF4-FFF2-40B4-BE49-F238E27FC236}">
              <a16:creationId xmlns:a16="http://schemas.microsoft.com/office/drawing/2014/main" id="{2FA9FA09-F155-4D71-99D3-86783D3C5CD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249150" y="5143500"/>
          <a:ext cx="4514850" cy="2714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0.08073</cdr:x>
      <cdr:y>0.90965</cdr:y>
    </cdr:from>
    <cdr:to>
      <cdr:x>0.22385</cdr:x>
      <cdr:y>0.96459</cdr:y>
    </cdr:to>
    <cdr:sp macro="" textlink="">
      <cdr:nvSpPr>
        <cdr:cNvPr id="2" name="CaixaDeTexto 1">
          <a:extLst xmlns:a="http://schemas.openxmlformats.org/drawingml/2006/main">
            <a:ext uri="{FF2B5EF4-FFF2-40B4-BE49-F238E27FC236}">
              <a16:creationId xmlns:a16="http://schemas.microsoft.com/office/drawing/2014/main" id="{BBD8AB6D-0035-4C4E-836B-7EB960375C41}"/>
            </a:ext>
          </a:extLst>
        </cdr:cNvPr>
        <cdr:cNvSpPr txBox="1"/>
      </cdr:nvSpPr>
      <cdr:spPr>
        <a:xfrm xmlns:a="http://schemas.openxmlformats.org/drawingml/2006/main">
          <a:off x="364435" y="2468219"/>
          <a:ext cx="646043" cy="149087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pt-BR" sz="1100"/>
        </a:p>
      </cdr:txBody>
    </cdr:sp>
  </cdr:relSizeAnchor>
  <cdr:relSizeAnchor xmlns:cdr="http://schemas.openxmlformats.org/drawingml/2006/chartDrawing">
    <cdr:from>
      <cdr:x>0</cdr:x>
      <cdr:y>0.90965</cdr:y>
    </cdr:from>
    <cdr:to>
      <cdr:x>0.85138</cdr:x>
      <cdr:y>0.99817</cdr:y>
    </cdr:to>
    <cdr:sp macro="" textlink="">
      <cdr:nvSpPr>
        <cdr:cNvPr id="3" name="CaixaDeTexto 2">
          <a:extLst xmlns:a="http://schemas.openxmlformats.org/drawingml/2006/main">
            <a:ext uri="{FF2B5EF4-FFF2-40B4-BE49-F238E27FC236}">
              <a16:creationId xmlns:a16="http://schemas.microsoft.com/office/drawing/2014/main" id="{784645C1-30B5-4744-8E4C-2EB6BBCDE021}"/>
            </a:ext>
          </a:extLst>
        </cdr:cNvPr>
        <cdr:cNvSpPr txBox="1"/>
      </cdr:nvSpPr>
      <cdr:spPr>
        <a:xfrm xmlns:a="http://schemas.openxmlformats.org/drawingml/2006/main">
          <a:off x="0" y="2468219"/>
          <a:ext cx="3843130" cy="240196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pt-BR" sz="1100">
              <a:solidFill>
                <a:schemeClr val="bg1"/>
              </a:solidFill>
            </a:rPr>
            <a:t>Fonte: xlFOCUS e xlDESSAZ com dados do IBGE e do BCB/Focus</a:t>
          </a:r>
        </a:p>
      </cdr:txBody>
    </cdr:sp>
  </cdr:relSizeAnchor>
</c:userShape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Eduardo/Google%20Drive/Meus%20Projetos/xlFOCUS/xlFOCU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General"/>
      <sheetName val="Summary"/>
      <sheetName val="Exp Monthly"/>
      <sheetName val="Exp Quarterly"/>
      <sheetName val="Exp Annual"/>
      <sheetName val="Exp 12 Months"/>
      <sheetName val="Top5 Monthly"/>
      <sheetName val="Top5 Annual"/>
      <sheetName val="Exp Institutions"/>
      <sheetName val="URL to Table"/>
      <sheetName val="File to Table"/>
      <sheetName val="SGS"/>
      <sheetName val="SCR"/>
      <sheetName val="SCR 2"/>
      <sheetName val="SCR Daily"/>
      <sheetName val="SCR Monthly"/>
      <sheetName val="Real Estate"/>
      <sheetName val="SGS vs FOCUS"/>
      <sheetName val="SGS vs FOCUS 2"/>
      <sheetName val="Holidays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>
        <row r="2">
          <cell r="A2">
            <v>36892</v>
          </cell>
        </row>
        <row r="3">
          <cell r="A3">
            <v>36948</v>
          </cell>
        </row>
        <row r="4">
          <cell r="A4">
            <v>36949</v>
          </cell>
        </row>
        <row r="5">
          <cell r="A5">
            <v>36994</v>
          </cell>
        </row>
        <row r="6">
          <cell r="A6">
            <v>37002</v>
          </cell>
        </row>
        <row r="7">
          <cell r="A7">
            <v>37012</v>
          </cell>
        </row>
        <row r="8">
          <cell r="A8">
            <v>37056</v>
          </cell>
        </row>
        <row r="9">
          <cell r="A9">
            <v>37141</v>
          </cell>
        </row>
        <row r="10">
          <cell r="A10">
            <v>37176</v>
          </cell>
        </row>
        <row r="11">
          <cell r="A11">
            <v>37197</v>
          </cell>
        </row>
        <row r="12">
          <cell r="A12">
            <v>37210</v>
          </cell>
        </row>
        <row r="13">
          <cell r="A13">
            <v>37250</v>
          </cell>
        </row>
        <row r="14">
          <cell r="A14">
            <v>37257</v>
          </cell>
        </row>
        <row r="15">
          <cell r="A15">
            <v>37298</v>
          </cell>
        </row>
        <row r="16">
          <cell r="A16">
            <v>37299</v>
          </cell>
        </row>
        <row r="17">
          <cell r="A17">
            <v>37344</v>
          </cell>
        </row>
        <row r="18">
          <cell r="A18">
            <v>37367</v>
          </cell>
        </row>
        <row r="19">
          <cell r="A19">
            <v>37377</v>
          </cell>
        </row>
        <row r="20">
          <cell r="A20">
            <v>37406</v>
          </cell>
        </row>
        <row r="21">
          <cell r="A21">
            <v>37506</v>
          </cell>
        </row>
        <row r="22">
          <cell r="A22">
            <v>37541</v>
          </cell>
        </row>
        <row r="23">
          <cell r="A23">
            <v>37562</v>
          </cell>
        </row>
        <row r="24">
          <cell r="A24">
            <v>37575</v>
          </cell>
        </row>
        <row r="25">
          <cell r="A25">
            <v>37615</v>
          </cell>
        </row>
        <row r="26">
          <cell r="A26">
            <v>37622</v>
          </cell>
        </row>
        <row r="27">
          <cell r="A27">
            <v>37683</v>
          </cell>
        </row>
        <row r="28">
          <cell r="A28">
            <v>37684</v>
          </cell>
        </row>
        <row r="29">
          <cell r="A29">
            <v>37729</v>
          </cell>
        </row>
        <row r="30">
          <cell r="A30">
            <v>37732</v>
          </cell>
        </row>
        <row r="31">
          <cell r="A31">
            <v>37742</v>
          </cell>
        </row>
        <row r="32">
          <cell r="A32">
            <v>37791</v>
          </cell>
        </row>
        <row r="33">
          <cell r="A33">
            <v>37871</v>
          </cell>
        </row>
        <row r="34">
          <cell r="A34">
            <v>37906</v>
          </cell>
        </row>
        <row r="35">
          <cell r="A35">
            <v>37927</v>
          </cell>
        </row>
        <row r="36">
          <cell r="A36">
            <v>37940</v>
          </cell>
        </row>
        <row r="37">
          <cell r="A37">
            <v>37980</v>
          </cell>
        </row>
        <row r="38">
          <cell r="A38">
            <v>37987</v>
          </cell>
        </row>
        <row r="39">
          <cell r="A39">
            <v>38040</v>
          </cell>
        </row>
        <row r="40">
          <cell r="A40">
            <v>38041</v>
          </cell>
        </row>
        <row r="41">
          <cell r="A41">
            <v>38086</v>
          </cell>
        </row>
        <row r="42">
          <cell r="A42">
            <v>38098</v>
          </cell>
        </row>
        <row r="43">
          <cell r="A43">
            <v>38108</v>
          </cell>
        </row>
        <row r="44">
          <cell r="A44">
            <v>38148</v>
          </cell>
        </row>
        <row r="45">
          <cell r="A45">
            <v>38237</v>
          </cell>
        </row>
        <row r="46">
          <cell r="A46">
            <v>38272</v>
          </cell>
        </row>
        <row r="47">
          <cell r="A47">
            <v>38293</v>
          </cell>
        </row>
        <row r="48">
          <cell r="A48">
            <v>38306</v>
          </cell>
        </row>
        <row r="49">
          <cell r="A49">
            <v>38346</v>
          </cell>
        </row>
        <row r="50">
          <cell r="A50">
            <v>38353</v>
          </cell>
        </row>
        <row r="51">
          <cell r="A51">
            <v>38390</v>
          </cell>
        </row>
        <row r="52">
          <cell r="A52">
            <v>38391</v>
          </cell>
        </row>
        <row r="53">
          <cell r="A53">
            <v>38436</v>
          </cell>
        </row>
        <row r="54">
          <cell r="A54">
            <v>38463</v>
          </cell>
        </row>
        <row r="55">
          <cell r="A55">
            <v>38473</v>
          </cell>
        </row>
        <row r="56">
          <cell r="A56">
            <v>38498</v>
          </cell>
        </row>
        <row r="57">
          <cell r="A57">
            <v>38602</v>
          </cell>
        </row>
        <row r="58">
          <cell r="A58">
            <v>38637</v>
          </cell>
        </row>
        <row r="59">
          <cell r="A59">
            <v>38658</v>
          </cell>
        </row>
        <row r="60">
          <cell r="A60">
            <v>38671</v>
          </cell>
        </row>
        <row r="61">
          <cell r="A61">
            <v>38711</v>
          </cell>
        </row>
        <row r="62">
          <cell r="A62">
            <v>38718</v>
          </cell>
        </row>
        <row r="63">
          <cell r="A63">
            <v>38775</v>
          </cell>
        </row>
        <row r="64">
          <cell r="A64">
            <v>38776</v>
          </cell>
        </row>
        <row r="65">
          <cell r="A65">
            <v>38821</v>
          </cell>
        </row>
        <row r="66">
          <cell r="A66">
            <v>38828</v>
          </cell>
        </row>
        <row r="67">
          <cell r="A67">
            <v>38838</v>
          </cell>
        </row>
        <row r="68">
          <cell r="A68">
            <v>38883</v>
          </cell>
        </row>
        <row r="69">
          <cell r="A69">
            <v>38967</v>
          </cell>
        </row>
        <row r="70">
          <cell r="A70">
            <v>39002</v>
          </cell>
        </row>
        <row r="71">
          <cell r="A71">
            <v>39023</v>
          </cell>
        </row>
        <row r="72">
          <cell r="A72">
            <v>39036</v>
          </cell>
        </row>
        <row r="73">
          <cell r="A73">
            <v>39076</v>
          </cell>
        </row>
        <row r="74">
          <cell r="A74">
            <v>39083</v>
          </cell>
        </row>
        <row r="75">
          <cell r="A75">
            <v>39132</v>
          </cell>
        </row>
        <row r="76">
          <cell r="A76">
            <v>39133</v>
          </cell>
        </row>
        <row r="77">
          <cell r="A77">
            <v>39178</v>
          </cell>
        </row>
        <row r="78">
          <cell r="A78">
            <v>39193</v>
          </cell>
        </row>
        <row r="79">
          <cell r="A79">
            <v>39203</v>
          </cell>
        </row>
        <row r="80">
          <cell r="A80">
            <v>39240</v>
          </cell>
        </row>
        <row r="81">
          <cell r="A81">
            <v>39332</v>
          </cell>
        </row>
        <row r="82">
          <cell r="A82">
            <v>39367</v>
          </cell>
        </row>
        <row r="83">
          <cell r="A83">
            <v>39388</v>
          </cell>
        </row>
        <row r="84">
          <cell r="A84">
            <v>39401</v>
          </cell>
        </row>
        <row r="85">
          <cell r="A85">
            <v>39441</v>
          </cell>
        </row>
        <row r="86">
          <cell r="A86">
            <v>39448</v>
          </cell>
        </row>
        <row r="87">
          <cell r="A87">
            <v>39482</v>
          </cell>
        </row>
        <row r="88">
          <cell r="A88">
            <v>39483</v>
          </cell>
        </row>
        <row r="89">
          <cell r="A89">
            <v>39528</v>
          </cell>
        </row>
        <row r="90">
          <cell r="A90">
            <v>39559</v>
          </cell>
        </row>
        <row r="91">
          <cell r="A91">
            <v>39569</v>
          </cell>
        </row>
        <row r="92">
          <cell r="A92">
            <v>39590</v>
          </cell>
        </row>
        <row r="93">
          <cell r="A93">
            <v>39698</v>
          </cell>
        </row>
        <row r="94">
          <cell r="A94">
            <v>39733</v>
          </cell>
        </row>
        <row r="95">
          <cell r="A95">
            <v>39754</v>
          </cell>
        </row>
        <row r="96">
          <cell r="A96">
            <v>39767</v>
          </cell>
        </row>
        <row r="97">
          <cell r="A97">
            <v>39807</v>
          </cell>
        </row>
        <row r="98">
          <cell r="A98">
            <v>39814</v>
          </cell>
        </row>
        <row r="99">
          <cell r="A99">
            <v>39867</v>
          </cell>
        </row>
        <row r="100">
          <cell r="A100">
            <v>39868</v>
          </cell>
        </row>
        <row r="101">
          <cell r="A101">
            <v>39913</v>
          </cell>
        </row>
        <row r="102">
          <cell r="A102">
            <v>39924</v>
          </cell>
        </row>
        <row r="103">
          <cell r="A103">
            <v>39934</v>
          </cell>
        </row>
        <row r="104">
          <cell r="A104">
            <v>39975</v>
          </cell>
        </row>
        <row r="105">
          <cell r="A105">
            <v>40063</v>
          </cell>
        </row>
        <row r="106">
          <cell r="A106">
            <v>40098</v>
          </cell>
        </row>
        <row r="107">
          <cell r="A107">
            <v>40119</v>
          </cell>
        </row>
        <row r="108">
          <cell r="A108">
            <v>40132</v>
          </cell>
        </row>
        <row r="109">
          <cell r="A109">
            <v>40172</v>
          </cell>
        </row>
        <row r="110">
          <cell r="A110">
            <v>40179</v>
          </cell>
        </row>
        <row r="111">
          <cell r="A111">
            <v>40224</v>
          </cell>
        </row>
        <row r="112">
          <cell r="A112">
            <v>40225</v>
          </cell>
        </row>
        <row r="113">
          <cell r="A113">
            <v>40270</v>
          </cell>
        </row>
        <row r="114">
          <cell r="A114">
            <v>40289</v>
          </cell>
        </row>
        <row r="115">
          <cell r="A115">
            <v>40299</v>
          </cell>
        </row>
        <row r="116">
          <cell r="A116">
            <v>40332</v>
          </cell>
        </row>
        <row r="117">
          <cell r="A117">
            <v>40428</v>
          </cell>
        </row>
        <row r="118">
          <cell r="A118">
            <v>40463</v>
          </cell>
        </row>
        <row r="119">
          <cell r="A119">
            <v>40484</v>
          </cell>
        </row>
        <row r="120">
          <cell r="A120">
            <v>40497</v>
          </cell>
        </row>
        <row r="121">
          <cell r="A121">
            <v>40537</v>
          </cell>
        </row>
        <row r="122">
          <cell r="A122">
            <v>40544</v>
          </cell>
        </row>
        <row r="123">
          <cell r="A123">
            <v>40609</v>
          </cell>
        </row>
        <row r="124">
          <cell r="A124">
            <v>40610</v>
          </cell>
        </row>
        <row r="125">
          <cell r="A125">
            <v>40654</v>
          </cell>
        </row>
        <row r="126">
          <cell r="A126">
            <v>40655</v>
          </cell>
        </row>
        <row r="127">
          <cell r="A127">
            <v>40664</v>
          </cell>
        </row>
        <row r="128">
          <cell r="A128">
            <v>40717</v>
          </cell>
        </row>
        <row r="129">
          <cell r="A129">
            <v>40793</v>
          </cell>
        </row>
        <row r="130">
          <cell r="A130">
            <v>40828</v>
          </cell>
        </row>
        <row r="131">
          <cell r="A131">
            <v>40849</v>
          </cell>
        </row>
        <row r="132">
          <cell r="A132">
            <v>40862</v>
          </cell>
        </row>
        <row r="133">
          <cell r="A133">
            <v>40902</v>
          </cell>
        </row>
        <row r="134">
          <cell r="A134">
            <v>40909</v>
          </cell>
        </row>
        <row r="135">
          <cell r="A135">
            <v>40959</v>
          </cell>
        </row>
        <row r="136">
          <cell r="A136">
            <v>40960</v>
          </cell>
        </row>
        <row r="137">
          <cell r="A137">
            <v>41005</v>
          </cell>
        </row>
        <row r="138">
          <cell r="A138">
            <v>41020</v>
          </cell>
        </row>
        <row r="139">
          <cell r="A139">
            <v>41030</v>
          </cell>
        </row>
        <row r="140">
          <cell r="A140">
            <v>41067</v>
          </cell>
        </row>
        <row r="141">
          <cell r="A141">
            <v>41159</v>
          </cell>
        </row>
        <row r="142">
          <cell r="A142">
            <v>41194</v>
          </cell>
        </row>
        <row r="143">
          <cell r="A143">
            <v>41215</v>
          </cell>
        </row>
        <row r="144">
          <cell r="A144">
            <v>41228</v>
          </cell>
        </row>
        <row r="145">
          <cell r="A145">
            <v>41268</v>
          </cell>
        </row>
        <row r="146">
          <cell r="A146">
            <v>41275</v>
          </cell>
        </row>
        <row r="147">
          <cell r="A147">
            <v>41316</v>
          </cell>
        </row>
        <row r="148">
          <cell r="A148">
            <v>41317</v>
          </cell>
        </row>
        <row r="149">
          <cell r="A149">
            <v>41362</v>
          </cell>
        </row>
        <row r="150">
          <cell r="A150">
            <v>41385</v>
          </cell>
        </row>
        <row r="151">
          <cell r="A151">
            <v>41395</v>
          </cell>
        </row>
        <row r="152">
          <cell r="A152">
            <v>41424</v>
          </cell>
        </row>
        <row r="153">
          <cell r="A153">
            <v>41524</v>
          </cell>
        </row>
        <row r="154">
          <cell r="A154">
            <v>41559</v>
          </cell>
        </row>
        <row r="155">
          <cell r="A155">
            <v>41580</v>
          </cell>
        </row>
        <row r="156">
          <cell r="A156">
            <v>41593</v>
          </cell>
        </row>
        <row r="157">
          <cell r="A157">
            <v>41633</v>
          </cell>
        </row>
        <row r="158">
          <cell r="A158">
            <v>41640</v>
          </cell>
        </row>
        <row r="159">
          <cell r="A159">
            <v>41701</v>
          </cell>
        </row>
        <row r="160">
          <cell r="A160">
            <v>41702</v>
          </cell>
        </row>
        <row r="161">
          <cell r="A161">
            <v>41747</v>
          </cell>
        </row>
        <row r="162">
          <cell r="A162">
            <v>41750</v>
          </cell>
        </row>
        <row r="163">
          <cell r="A163">
            <v>41760</v>
          </cell>
        </row>
        <row r="164">
          <cell r="A164">
            <v>41809</v>
          </cell>
        </row>
        <row r="165">
          <cell r="A165">
            <v>41889</v>
          </cell>
        </row>
        <row r="166">
          <cell r="A166">
            <v>41924</v>
          </cell>
        </row>
        <row r="167">
          <cell r="A167">
            <v>41945</v>
          </cell>
        </row>
        <row r="168">
          <cell r="A168">
            <v>41958</v>
          </cell>
        </row>
        <row r="169">
          <cell r="A169">
            <v>41998</v>
          </cell>
        </row>
        <row r="170">
          <cell r="A170">
            <v>42005</v>
          </cell>
        </row>
        <row r="171">
          <cell r="A171">
            <v>42051</v>
          </cell>
        </row>
        <row r="172">
          <cell r="A172">
            <v>42052</v>
          </cell>
        </row>
        <row r="173">
          <cell r="A173">
            <v>42097</v>
          </cell>
        </row>
        <row r="174">
          <cell r="A174">
            <v>42115</v>
          </cell>
        </row>
        <row r="175">
          <cell r="A175">
            <v>42125</v>
          </cell>
        </row>
        <row r="176">
          <cell r="A176">
            <v>42159</v>
          </cell>
        </row>
        <row r="177">
          <cell r="A177">
            <v>42254</v>
          </cell>
        </row>
        <row r="178">
          <cell r="A178">
            <v>42289</v>
          </cell>
        </row>
        <row r="179">
          <cell r="A179">
            <v>42310</v>
          </cell>
        </row>
        <row r="180">
          <cell r="A180">
            <v>42323</v>
          </cell>
        </row>
        <row r="181">
          <cell r="A181">
            <v>42363</v>
          </cell>
        </row>
        <row r="182">
          <cell r="A182">
            <v>42370</v>
          </cell>
        </row>
        <row r="183">
          <cell r="A183">
            <v>42408</v>
          </cell>
        </row>
        <row r="184">
          <cell r="A184">
            <v>42409</v>
          </cell>
        </row>
        <row r="185">
          <cell r="A185">
            <v>42454</v>
          </cell>
        </row>
        <row r="186">
          <cell r="A186">
            <v>42481</v>
          </cell>
        </row>
        <row r="187">
          <cell r="A187">
            <v>42491</v>
          </cell>
        </row>
        <row r="188">
          <cell r="A188">
            <v>42516</v>
          </cell>
        </row>
        <row r="189">
          <cell r="A189">
            <v>42620</v>
          </cell>
        </row>
        <row r="190">
          <cell r="A190">
            <v>42655</v>
          </cell>
        </row>
        <row r="191">
          <cell r="A191">
            <v>42676</v>
          </cell>
        </row>
        <row r="192">
          <cell r="A192">
            <v>42689</v>
          </cell>
        </row>
        <row r="193">
          <cell r="A193">
            <v>42729</v>
          </cell>
        </row>
        <row r="194">
          <cell r="A194">
            <v>42736</v>
          </cell>
        </row>
        <row r="195">
          <cell r="A195">
            <v>42793</v>
          </cell>
        </row>
        <row r="196">
          <cell r="A196">
            <v>42794</v>
          </cell>
        </row>
        <row r="197">
          <cell r="A197">
            <v>42839</v>
          </cell>
        </row>
        <row r="198">
          <cell r="A198">
            <v>42846</v>
          </cell>
        </row>
        <row r="199">
          <cell r="A199">
            <v>42856</v>
          </cell>
        </row>
        <row r="200">
          <cell r="A200">
            <v>42901</v>
          </cell>
        </row>
        <row r="201">
          <cell r="A201">
            <v>42985</v>
          </cell>
        </row>
        <row r="202">
          <cell r="A202">
            <v>43020</v>
          </cell>
        </row>
        <row r="203">
          <cell r="A203">
            <v>43041</v>
          </cell>
        </row>
        <row r="204">
          <cell r="A204">
            <v>43054</v>
          </cell>
        </row>
        <row r="205">
          <cell r="A205">
            <v>43094</v>
          </cell>
        </row>
        <row r="206">
          <cell r="A206">
            <v>43101</v>
          </cell>
        </row>
        <row r="207">
          <cell r="A207">
            <v>43143</v>
          </cell>
        </row>
        <row r="208">
          <cell r="A208">
            <v>43144</v>
          </cell>
        </row>
        <row r="209">
          <cell r="A209">
            <v>43189</v>
          </cell>
        </row>
        <row r="210">
          <cell r="A210">
            <v>43211</v>
          </cell>
        </row>
        <row r="211">
          <cell r="A211">
            <v>43221</v>
          </cell>
        </row>
        <row r="212">
          <cell r="A212">
            <v>43251</v>
          </cell>
        </row>
        <row r="213">
          <cell r="A213">
            <v>43350</v>
          </cell>
        </row>
        <row r="214">
          <cell r="A214">
            <v>43385</v>
          </cell>
        </row>
        <row r="215">
          <cell r="A215">
            <v>43406</v>
          </cell>
        </row>
        <row r="216">
          <cell r="A216">
            <v>43419</v>
          </cell>
        </row>
        <row r="217">
          <cell r="A217">
            <v>43459</v>
          </cell>
        </row>
        <row r="218">
          <cell r="A218">
            <v>43466</v>
          </cell>
        </row>
        <row r="219">
          <cell r="A219">
            <v>43528</v>
          </cell>
        </row>
        <row r="220">
          <cell r="A220">
            <v>43529</v>
          </cell>
        </row>
        <row r="221">
          <cell r="A221">
            <v>43574</v>
          </cell>
        </row>
        <row r="222">
          <cell r="A222">
            <v>43576</v>
          </cell>
        </row>
        <row r="223">
          <cell r="A223">
            <v>43586</v>
          </cell>
        </row>
        <row r="224">
          <cell r="A224">
            <v>43636</v>
          </cell>
        </row>
        <row r="225">
          <cell r="A225">
            <v>43715</v>
          </cell>
        </row>
        <row r="226">
          <cell r="A226">
            <v>43750</v>
          </cell>
        </row>
        <row r="227">
          <cell r="A227">
            <v>43771</v>
          </cell>
        </row>
        <row r="228">
          <cell r="A228">
            <v>43784</v>
          </cell>
        </row>
        <row r="229">
          <cell r="A229">
            <v>43824</v>
          </cell>
        </row>
        <row r="230">
          <cell r="A230">
            <v>43831</v>
          </cell>
        </row>
        <row r="231">
          <cell r="A231">
            <v>43885</v>
          </cell>
        </row>
        <row r="232">
          <cell r="A232">
            <v>43886</v>
          </cell>
        </row>
        <row r="233">
          <cell r="A233">
            <v>43931</v>
          </cell>
        </row>
        <row r="234">
          <cell r="A234">
            <v>43942</v>
          </cell>
        </row>
        <row r="235">
          <cell r="A235">
            <v>43952</v>
          </cell>
        </row>
        <row r="236">
          <cell r="A236">
            <v>43993</v>
          </cell>
        </row>
        <row r="237">
          <cell r="A237">
            <v>44081</v>
          </cell>
        </row>
        <row r="238">
          <cell r="A238">
            <v>44116</v>
          </cell>
        </row>
        <row r="239">
          <cell r="A239">
            <v>44137</v>
          </cell>
        </row>
        <row r="240">
          <cell r="A240">
            <v>44150</v>
          </cell>
        </row>
        <row r="241">
          <cell r="A241">
            <v>44190</v>
          </cell>
        </row>
        <row r="242">
          <cell r="A242">
            <v>44197</v>
          </cell>
        </row>
        <row r="243">
          <cell r="A243">
            <v>44242</v>
          </cell>
        </row>
        <row r="244">
          <cell r="A244">
            <v>44243</v>
          </cell>
        </row>
        <row r="245">
          <cell r="A245">
            <v>44288</v>
          </cell>
        </row>
        <row r="246">
          <cell r="A246">
            <v>44307</v>
          </cell>
        </row>
        <row r="247">
          <cell r="A247">
            <v>44317</v>
          </cell>
        </row>
        <row r="248">
          <cell r="A248">
            <v>44350</v>
          </cell>
        </row>
        <row r="249">
          <cell r="A249">
            <v>44446</v>
          </cell>
        </row>
        <row r="250">
          <cell r="A250">
            <v>44481</v>
          </cell>
        </row>
        <row r="251">
          <cell r="A251">
            <v>44502</v>
          </cell>
        </row>
        <row r="252">
          <cell r="A252">
            <v>44515</v>
          </cell>
        </row>
        <row r="253">
          <cell r="A253">
            <v>44555</v>
          </cell>
        </row>
        <row r="254">
          <cell r="A254">
            <v>44562</v>
          </cell>
        </row>
        <row r="255">
          <cell r="A255">
            <v>44620</v>
          </cell>
        </row>
        <row r="256">
          <cell r="A256">
            <v>44621</v>
          </cell>
        </row>
        <row r="257">
          <cell r="A257">
            <v>44666</v>
          </cell>
        </row>
        <row r="258">
          <cell r="A258">
            <v>44672</v>
          </cell>
        </row>
        <row r="259">
          <cell r="A259">
            <v>44682</v>
          </cell>
        </row>
        <row r="260">
          <cell r="A260">
            <v>44728</v>
          </cell>
        </row>
        <row r="261">
          <cell r="A261">
            <v>44811</v>
          </cell>
        </row>
        <row r="262">
          <cell r="A262">
            <v>44846</v>
          </cell>
        </row>
        <row r="263">
          <cell r="A263">
            <v>44867</v>
          </cell>
        </row>
        <row r="264">
          <cell r="A264">
            <v>44880</v>
          </cell>
        </row>
        <row r="265">
          <cell r="A265">
            <v>44920</v>
          </cell>
        </row>
        <row r="266">
          <cell r="A266">
            <v>44927</v>
          </cell>
        </row>
        <row r="267">
          <cell r="A267">
            <v>44977</v>
          </cell>
        </row>
        <row r="268">
          <cell r="A268">
            <v>44978</v>
          </cell>
        </row>
        <row r="269">
          <cell r="A269">
            <v>45023</v>
          </cell>
        </row>
        <row r="270">
          <cell r="A270">
            <v>45037</v>
          </cell>
        </row>
        <row r="271">
          <cell r="A271">
            <v>45047</v>
          </cell>
        </row>
        <row r="272">
          <cell r="A272">
            <v>45085</v>
          </cell>
        </row>
        <row r="273">
          <cell r="A273">
            <v>45176</v>
          </cell>
        </row>
        <row r="274">
          <cell r="A274">
            <v>45211</v>
          </cell>
        </row>
        <row r="275">
          <cell r="A275">
            <v>45232</v>
          </cell>
        </row>
        <row r="276">
          <cell r="A276">
            <v>45245</v>
          </cell>
        </row>
        <row r="277">
          <cell r="A277">
            <v>45285</v>
          </cell>
        </row>
        <row r="278">
          <cell r="A278">
            <v>45292</v>
          </cell>
        </row>
        <row r="279">
          <cell r="A279">
            <v>45334</v>
          </cell>
        </row>
        <row r="280">
          <cell r="A280">
            <v>45335</v>
          </cell>
        </row>
        <row r="281">
          <cell r="A281">
            <v>45380</v>
          </cell>
        </row>
        <row r="282">
          <cell r="A282">
            <v>45403</v>
          </cell>
        </row>
        <row r="283">
          <cell r="A283">
            <v>45413</v>
          </cell>
        </row>
        <row r="284">
          <cell r="A284">
            <v>45442</v>
          </cell>
        </row>
        <row r="285">
          <cell r="A285">
            <v>45542</v>
          </cell>
        </row>
        <row r="286">
          <cell r="A286">
            <v>45577</v>
          </cell>
        </row>
        <row r="287">
          <cell r="A287">
            <v>45598</v>
          </cell>
        </row>
        <row r="288">
          <cell r="A288">
            <v>45611</v>
          </cell>
        </row>
        <row r="289">
          <cell r="A289">
            <v>45651</v>
          </cell>
        </row>
        <row r="290">
          <cell r="A290">
            <v>45658</v>
          </cell>
        </row>
        <row r="291">
          <cell r="A291">
            <v>45719</v>
          </cell>
        </row>
        <row r="292">
          <cell r="A292">
            <v>45720</v>
          </cell>
        </row>
        <row r="293">
          <cell r="A293">
            <v>45765</v>
          </cell>
        </row>
        <row r="294">
          <cell r="A294">
            <v>45768</v>
          </cell>
        </row>
        <row r="295">
          <cell r="A295">
            <v>45778</v>
          </cell>
        </row>
        <row r="296">
          <cell r="A296">
            <v>45827</v>
          </cell>
        </row>
        <row r="297">
          <cell r="A297">
            <v>45907</v>
          </cell>
        </row>
        <row r="298">
          <cell r="A298">
            <v>45942</v>
          </cell>
        </row>
        <row r="299">
          <cell r="A299">
            <v>45963</v>
          </cell>
        </row>
        <row r="300">
          <cell r="A300">
            <v>45976</v>
          </cell>
        </row>
        <row r="301">
          <cell r="A301">
            <v>46016</v>
          </cell>
        </row>
        <row r="302">
          <cell r="A302">
            <v>46023</v>
          </cell>
        </row>
        <row r="303">
          <cell r="A303">
            <v>46069</v>
          </cell>
        </row>
        <row r="304">
          <cell r="A304">
            <v>46070</v>
          </cell>
        </row>
        <row r="305">
          <cell r="A305">
            <v>46115</v>
          </cell>
        </row>
        <row r="306">
          <cell r="A306">
            <v>46133</v>
          </cell>
        </row>
        <row r="307">
          <cell r="A307">
            <v>46143</v>
          </cell>
        </row>
        <row r="308">
          <cell r="A308">
            <v>46177</v>
          </cell>
        </row>
        <row r="309">
          <cell r="A309">
            <v>46272</v>
          </cell>
        </row>
        <row r="310">
          <cell r="A310">
            <v>46307</v>
          </cell>
        </row>
        <row r="311">
          <cell r="A311">
            <v>46328</v>
          </cell>
        </row>
        <row r="312">
          <cell r="A312">
            <v>46341</v>
          </cell>
        </row>
        <row r="313">
          <cell r="A313">
            <v>46381</v>
          </cell>
        </row>
        <row r="314">
          <cell r="A314">
            <v>46388</v>
          </cell>
        </row>
        <row r="315">
          <cell r="A315">
            <v>46426</v>
          </cell>
        </row>
        <row r="316">
          <cell r="A316">
            <v>46427</v>
          </cell>
        </row>
        <row r="317">
          <cell r="A317">
            <v>46472</v>
          </cell>
        </row>
        <row r="318">
          <cell r="A318">
            <v>46498</v>
          </cell>
        </row>
        <row r="319">
          <cell r="A319">
            <v>46508</v>
          </cell>
        </row>
        <row r="320">
          <cell r="A320">
            <v>46534</v>
          </cell>
        </row>
        <row r="321">
          <cell r="A321">
            <v>46637</v>
          </cell>
        </row>
        <row r="322">
          <cell r="A322">
            <v>46672</v>
          </cell>
        </row>
        <row r="323">
          <cell r="A323">
            <v>46693</v>
          </cell>
        </row>
        <row r="324">
          <cell r="A324">
            <v>46706</v>
          </cell>
        </row>
        <row r="325">
          <cell r="A325">
            <v>46746</v>
          </cell>
        </row>
        <row r="326">
          <cell r="A326">
            <v>46753</v>
          </cell>
        </row>
        <row r="327">
          <cell r="A327">
            <v>46811</v>
          </cell>
        </row>
        <row r="328">
          <cell r="A328">
            <v>46812</v>
          </cell>
        </row>
        <row r="329">
          <cell r="A329">
            <v>46857</v>
          </cell>
        </row>
        <row r="330">
          <cell r="A330">
            <v>46864</v>
          </cell>
        </row>
        <row r="331">
          <cell r="A331">
            <v>46874</v>
          </cell>
        </row>
        <row r="332">
          <cell r="A332">
            <v>46919</v>
          </cell>
        </row>
        <row r="333">
          <cell r="A333">
            <v>47003</v>
          </cell>
        </row>
        <row r="334">
          <cell r="A334">
            <v>47038</v>
          </cell>
        </row>
        <row r="335">
          <cell r="A335">
            <v>47059</v>
          </cell>
        </row>
        <row r="336">
          <cell r="A336">
            <v>47072</v>
          </cell>
        </row>
        <row r="337">
          <cell r="A337">
            <v>47112</v>
          </cell>
        </row>
        <row r="338">
          <cell r="A338">
            <v>47119</v>
          </cell>
        </row>
        <row r="339">
          <cell r="A339">
            <v>47161</v>
          </cell>
        </row>
        <row r="340">
          <cell r="A340">
            <v>47162</v>
          </cell>
        </row>
        <row r="341">
          <cell r="A341">
            <v>47207</v>
          </cell>
        </row>
        <row r="342">
          <cell r="A342">
            <v>47229</v>
          </cell>
        </row>
        <row r="343">
          <cell r="A343">
            <v>47239</v>
          </cell>
        </row>
        <row r="344">
          <cell r="A344">
            <v>47269</v>
          </cell>
        </row>
        <row r="345">
          <cell r="A345">
            <v>47368</v>
          </cell>
        </row>
        <row r="346">
          <cell r="A346">
            <v>47403</v>
          </cell>
        </row>
        <row r="347">
          <cell r="A347">
            <v>47424</v>
          </cell>
        </row>
        <row r="348">
          <cell r="A348">
            <v>47437</v>
          </cell>
        </row>
        <row r="349">
          <cell r="A349">
            <v>47477</v>
          </cell>
        </row>
        <row r="350">
          <cell r="A350">
            <v>47484</v>
          </cell>
        </row>
        <row r="351">
          <cell r="A351">
            <v>47546</v>
          </cell>
        </row>
        <row r="352">
          <cell r="A352">
            <v>47547</v>
          </cell>
        </row>
        <row r="353">
          <cell r="A353">
            <v>47592</v>
          </cell>
        </row>
        <row r="354">
          <cell r="A354">
            <v>47594</v>
          </cell>
        </row>
        <row r="355">
          <cell r="A355">
            <v>47604</v>
          </cell>
        </row>
        <row r="356">
          <cell r="A356">
            <v>47654</v>
          </cell>
        </row>
        <row r="357">
          <cell r="A357">
            <v>47733</v>
          </cell>
        </row>
        <row r="358">
          <cell r="A358">
            <v>47768</v>
          </cell>
        </row>
        <row r="359">
          <cell r="A359">
            <v>47789</v>
          </cell>
        </row>
        <row r="360">
          <cell r="A360">
            <v>47802</v>
          </cell>
        </row>
        <row r="361">
          <cell r="A361">
            <v>47842</v>
          </cell>
        </row>
        <row r="362">
          <cell r="A362">
            <v>47849</v>
          </cell>
        </row>
        <row r="363">
          <cell r="A363">
            <v>47903</v>
          </cell>
        </row>
        <row r="364">
          <cell r="A364">
            <v>47904</v>
          </cell>
        </row>
        <row r="365">
          <cell r="A365">
            <v>47949</v>
          </cell>
        </row>
        <row r="366">
          <cell r="A366">
            <v>47959</v>
          </cell>
        </row>
        <row r="367">
          <cell r="A367">
            <v>47969</v>
          </cell>
        </row>
        <row r="368">
          <cell r="A368">
            <v>48011</v>
          </cell>
        </row>
        <row r="369">
          <cell r="A369">
            <v>48098</v>
          </cell>
        </row>
        <row r="370">
          <cell r="A370">
            <v>48133</v>
          </cell>
        </row>
        <row r="371">
          <cell r="A371">
            <v>48154</v>
          </cell>
        </row>
        <row r="372">
          <cell r="A372">
            <v>48167</v>
          </cell>
        </row>
        <row r="373">
          <cell r="A373">
            <v>48207</v>
          </cell>
        </row>
        <row r="374">
          <cell r="A374">
            <v>48214</v>
          </cell>
        </row>
        <row r="375">
          <cell r="A375">
            <v>48253</v>
          </cell>
        </row>
        <row r="376">
          <cell r="A376">
            <v>48254</v>
          </cell>
        </row>
        <row r="377">
          <cell r="A377">
            <v>48299</v>
          </cell>
        </row>
        <row r="378">
          <cell r="A378">
            <v>48325</v>
          </cell>
        </row>
        <row r="379">
          <cell r="A379">
            <v>48335</v>
          </cell>
        </row>
        <row r="380">
          <cell r="A380">
            <v>48361</v>
          </cell>
        </row>
        <row r="381">
          <cell r="A381">
            <v>48464</v>
          </cell>
        </row>
        <row r="382">
          <cell r="A382">
            <v>48499</v>
          </cell>
        </row>
        <row r="383">
          <cell r="A383">
            <v>48520</v>
          </cell>
        </row>
        <row r="384">
          <cell r="A384">
            <v>48533</v>
          </cell>
        </row>
        <row r="385">
          <cell r="A385">
            <v>48573</v>
          </cell>
        </row>
        <row r="386">
          <cell r="A386">
            <v>48580</v>
          </cell>
        </row>
        <row r="387">
          <cell r="A387">
            <v>48638</v>
          </cell>
        </row>
        <row r="388">
          <cell r="A388">
            <v>48639</v>
          </cell>
        </row>
        <row r="389">
          <cell r="A389">
            <v>48684</v>
          </cell>
        </row>
        <row r="390">
          <cell r="A390">
            <v>48690</v>
          </cell>
        </row>
        <row r="391">
          <cell r="A391">
            <v>48700</v>
          </cell>
        </row>
        <row r="392">
          <cell r="A392">
            <v>48746</v>
          </cell>
        </row>
        <row r="393">
          <cell r="A393">
            <v>48829</v>
          </cell>
        </row>
        <row r="394">
          <cell r="A394">
            <v>48864</v>
          </cell>
        </row>
        <row r="395">
          <cell r="A395">
            <v>48885</v>
          </cell>
        </row>
        <row r="396">
          <cell r="A396">
            <v>48898</v>
          </cell>
        </row>
        <row r="397">
          <cell r="A397">
            <v>48938</v>
          </cell>
        </row>
        <row r="398">
          <cell r="A398">
            <v>48945</v>
          </cell>
        </row>
        <row r="399">
          <cell r="A399">
            <v>48995</v>
          </cell>
        </row>
        <row r="400">
          <cell r="A400">
            <v>48996</v>
          </cell>
        </row>
        <row r="401">
          <cell r="A401">
            <v>49041</v>
          </cell>
        </row>
        <row r="402">
          <cell r="A402">
            <v>49055</v>
          </cell>
        </row>
        <row r="403">
          <cell r="A403">
            <v>49065</v>
          </cell>
        </row>
        <row r="404">
          <cell r="A404">
            <v>49103</v>
          </cell>
        </row>
        <row r="405">
          <cell r="A405">
            <v>49194</v>
          </cell>
        </row>
        <row r="406">
          <cell r="A406">
            <v>49229</v>
          </cell>
        </row>
        <row r="407">
          <cell r="A407">
            <v>49250</v>
          </cell>
        </row>
        <row r="408">
          <cell r="A408">
            <v>49263</v>
          </cell>
        </row>
        <row r="409">
          <cell r="A409">
            <v>49303</v>
          </cell>
        </row>
        <row r="410">
          <cell r="A410">
            <v>49310</v>
          </cell>
        </row>
        <row r="411">
          <cell r="A411">
            <v>49345</v>
          </cell>
        </row>
        <row r="412">
          <cell r="A412">
            <v>49346</v>
          </cell>
        </row>
        <row r="413">
          <cell r="A413">
            <v>49391</v>
          </cell>
        </row>
        <row r="414">
          <cell r="A414">
            <v>49420</v>
          </cell>
        </row>
        <row r="415">
          <cell r="A415">
            <v>49430</v>
          </cell>
        </row>
        <row r="416">
          <cell r="A416">
            <v>49453</v>
          </cell>
        </row>
        <row r="417">
          <cell r="A417">
            <v>49559</v>
          </cell>
        </row>
        <row r="418">
          <cell r="A418">
            <v>49594</v>
          </cell>
        </row>
        <row r="419">
          <cell r="A419">
            <v>49615</v>
          </cell>
        </row>
        <row r="420">
          <cell r="A420">
            <v>49628</v>
          </cell>
        </row>
        <row r="421">
          <cell r="A421">
            <v>49668</v>
          </cell>
        </row>
        <row r="422">
          <cell r="A422">
            <v>49675</v>
          </cell>
        </row>
        <row r="423">
          <cell r="A423">
            <v>49730</v>
          </cell>
        </row>
        <row r="424">
          <cell r="A424">
            <v>49731</v>
          </cell>
        </row>
        <row r="425">
          <cell r="A425">
            <v>49776</v>
          </cell>
        </row>
        <row r="426">
          <cell r="A426">
            <v>49786</v>
          </cell>
        </row>
        <row r="427">
          <cell r="A427">
            <v>49796</v>
          </cell>
        </row>
        <row r="428">
          <cell r="A428">
            <v>49838</v>
          </cell>
        </row>
        <row r="429">
          <cell r="A429">
            <v>49925</v>
          </cell>
        </row>
        <row r="430">
          <cell r="A430">
            <v>49960</v>
          </cell>
        </row>
        <row r="431">
          <cell r="A431">
            <v>49981</v>
          </cell>
        </row>
        <row r="432">
          <cell r="A432">
            <v>49994</v>
          </cell>
        </row>
        <row r="433">
          <cell r="A433">
            <v>50034</v>
          </cell>
        </row>
        <row r="434">
          <cell r="A434">
            <v>50041</v>
          </cell>
        </row>
        <row r="435">
          <cell r="A435">
            <v>50087</v>
          </cell>
        </row>
        <row r="436">
          <cell r="A436">
            <v>50088</v>
          </cell>
        </row>
        <row r="437">
          <cell r="A437">
            <v>50133</v>
          </cell>
        </row>
        <row r="438">
          <cell r="A438">
            <v>50151</v>
          </cell>
        </row>
        <row r="439">
          <cell r="A439">
            <v>50161</v>
          </cell>
        </row>
        <row r="440">
          <cell r="A440">
            <v>50195</v>
          </cell>
        </row>
        <row r="441">
          <cell r="A441">
            <v>50290</v>
          </cell>
        </row>
        <row r="442">
          <cell r="A442">
            <v>50325</v>
          </cell>
        </row>
        <row r="443">
          <cell r="A443">
            <v>50346</v>
          </cell>
        </row>
        <row r="444">
          <cell r="A444">
            <v>50359</v>
          </cell>
        </row>
        <row r="445">
          <cell r="A445">
            <v>50399</v>
          </cell>
        </row>
        <row r="446">
          <cell r="A446">
            <v>50406</v>
          </cell>
        </row>
        <row r="447">
          <cell r="A447">
            <v>50472</v>
          </cell>
        </row>
        <row r="448">
          <cell r="A448">
            <v>50473</v>
          </cell>
        </row>
        <row r="449">
          <cell r="A449">
            <v>50516</v>
          </cell>
        </row>
        <row r="450">
          <cell r="A450">
            <v>50518</v>
          </cell>
        </row>
        <row r="451">
          <cell r="A451">
            <v>50526</v>
          </cell>
        </row>
        <row r="452">
          <cell r="A452">
            <v>50580</v>
          </cell>
        </row>
        <row r="453">
          <cell r="A453">
            <v>50655</v>
          </cell>
        </row>
        <row r="454">
          <cell r="A454">
            <v>50690</v>
          </cell>
        </row>
        <row r="455">
          <cell r="A455">
            <v>50711</v>
          </cell>
        </row>
        <row r="456">
          <cell r="A456">
            <v>50724</v>
          </cell>
        </row>
        <row r="457">
          <cell r="A457">
            <v>50764</v>
          </cell>
        </row>
        <row r="458">
          <cell r="A458">
            <v>50771</v>
          </cell>
        </row>
        <row r="459">
          <cell r="A459">
            <v>50822</v>
          </cell>
        </row>
        <row r="460">
          <cell r="A460">
            <v>50823</v>
          </cell>
        </row>
        <row r="461">
          <cell r="A461">
            <v>50868</v>
          </cell>
        </row>
        <row r="462">
          <cell r="A462">
            <v>50881</v>
          </cell>
        </row>
        <row r="463">
          <cell r="A463">
            <v>50891</v>
          </cell>
        </row>
        <row r="464">
          <cell r="A464">
            <v>50930</v>
          </cell>
        </row>
        <row r="465">
          <cell r="A465">
            <v>51020</v>
          </cell>
        </row>
        <row r="466">
          <cell r="A466">
            <v>51055</v>
          </cell>
        </row>
        <row r="467">
          <cell r="A467">
            <v>51076</v>
          </cell>
        </row>
        <row r="468">
          <cell r="A468">
            <v>51089</v>
          </cell>
        </row>
        <row r="469">
          <cell r="A469">
            <v>51129</v>
          </cell>
        </row>
        <row r="470">
          <cell r="A470">
            <v>51136</v>
          </cell>
        </row>
        <row r="471">
          <cell r="A471">
            <v>51179</v>
          </cell>
        </row>
        <row r="472">
          <cell r="A472">
            <v>51180</v>
          </cell>
        </row>
        <row r="473">
          <cell r="A473">
            <v>51225</v>
          </cell>
        </row>
        <row r="474">
          <cell r="A474">
            <v>51247</v>
          </cell>
        </row>
        <row r="475">
          <cell r="A475">
            <v>51257</v>
          </cell>
        </row>
        <row r="476">
          <cell r="A476">
            <v>51287</v>
          </cell>
        </row>
        <row r="477">
          <cell r="A477">
            <v>51386</v>
          </cell>
        </row>
        <row r="478">
          <cell r="A478">
            <v>51421</v>
          </cell>
        </row>
        <row r="479">
          <cell r="A479">
            <v>51442</v>
          </cell>
        </row>
        <row r="480">
          <cell r="A480">
            <v>51455</v>
          </cell>
        </row>
        <row r="481">
          <cell r="A481">
            <v>51495</v>
          </cell>
        </row>
        <row r="482">
          <cell r="A482">
            <v>51502</v>
          </cell>
        </row>
        <row r="483">
          <cell r="A483">
            <v>51564</v>
          </cell>
        </row>
        <row r="484">
          <cell r="A484">
            <v>51565</v>
          </cell>
        </row>
        <row r="485">
          <cell r="A485">
            <v>51610</v>
          </cell>
        </row>
        <row r="486">
          <cell r="A486">
            <v>51612</v>
          </cell>
        </row>
        <row r="487">
          <cell r="A487">
            <v>51622</v>
          </cell>
        </row>
        <row r="488">
          <cell r="A488">
            <v>51672</v>
          </cell>
        </row>
        <row r="489">
          <cell r="A489">
            <v>51751</v>
          </cell>
        </row>
        <row r="490">
          <cell r="A490">
            <v>51786</v>
          </cell>
        </row>
        <row r="491">
          <cell r="A491">
            <v>51807</v>
          </cell>
        </row>
        <row r="492">
          <cell r="A492">
            <v>51820</v>
          </cell>
        </row>
        <row r="493">
          <cell r="A493">
            <v>51860</v>
          </cell>
        </row>
        <row r="494">
          <cell r="A494">
            <v>51867</v>
          </cell>
        </row>
        <row r="495">
          <cell r="A495">
            <v>51914</v>
          </cell>
        </row>
        <row r="496">
          <cell r="A496">
            <v>51915</v>
          </cell>
        </row>
        <row r="497">
          <cell r="A497">
            <v>51960</v>
          </cell>
        </row>
        <row r="498">
          <cell r="A498">
            <v>51977</v>
          </cell>
        </row>
        <row r="499">
          <cell r="A499">
            <v>51987</v>
          </cell>
        </row>
        <row r="500">
          <cell r="A500">
            <v>52022</v>
          </cell>
        </row>
        <row r="501">
          <cell r="A501">
            <v>52116</v>
          </cell>
        </row>
        <row r="502">
          <cell r="A502">
            <v>52151</v>
          </cell>
        </row>
        <row r="503">
          <cell r="A503">
            <v>52172</v>
          </cell>
        </row>
        <row r="504">
          <cell r="A504">
            <v>52185</v>
          </cell>
        </row>
        <row r="505">
          <cell r="A505">
            <v>52225</v>
          </cell>
        </row>
        <row r="506">
          <cell r="A506">
            <v>52232</v>
          </cell>
        </row>
        <row r="507">
          <cell r="A507">
            <v>52271</v>
          </cell>
        </row>
        <row r="508">
          <cell r="A508">
            <v>52272</v>
          </cell>
        </row>
        <row r="509">
          <cell r="A509">
            <v>52317</v>
          </cell>
        </row>
        <row r="510">
          <cell r="A510">
            <v>52342</v>
          </cell>
        </row>
        <row r="511">
          <cell r="A511">
            <v>52352</v>
          </cell>
        </row>
        <row r="512">
          <cell r="A512">
            <v>52379</v>
          </cell>
        </row>
        <row r="513">
          <cell r="A513">
            <v>52481</v>
          </cell>
        </row>
        <row r="514">
          <cell r="A514">
            <v>52516</v>
          </cell>
        </row>
        <row r="515">
          <cell r="A515">
            <v>52537</v>
          </cell>
        </row>
        <row r="516">
          <cell r="A516">
            <v>52550</v>
          </cell>
        </row>
        <row r="517">
          <cell r="A517">
            <v>52590</v>
          </cell>
        </row>
        <row r="518">
          <cell r="A518">
            <v>52597</v>
          </cell>
        </row>
        <row r="519">
          <cell r="A519">
            <v>52656</v>
          </cell>
        </row>
        <row r="520">
          <cell r="A520">
            <v>52657</v>
          </cell>
        </row>
        <row r="521">
          <cell r="A521">
            <v>52702</v>
          </cell>
        </row>
        <row r="522">
          <cell r="A522">
            <v>52708</v>
          </cell>
        </row>
        <row r="523">
          <cell r="A523">
            <v>52718</v>
          </cell>
        </row>
        <row r="524">
          <cell r="A524">
            <v>52764</v>
          </cell>
        </row>
        <row r="525">
          <cell r="A525">
            <v>52847</v>
          </cell>
        </row>
        <row r="526">
          <cell r="A526">
            <v>52882</v>
          </cell>
        </row>
        <row r="527">
          <cell r="A527">
            <v>52903</v>
          </cell>
        </row>
        <row r="528">
          <cell r="A528">
            <v>52916</v>
          </cell>
        </row>
        <row r="529">
          <cell r="A529">
            <v>52956</v>
          </cell>
        </row>
        <row r="530">
          <cell r="A530">
            <v>52963</v>
          </cell>
        </row>
        <row r="531">
          <cell r="A531">
            <v>53013</v>
          </cell>
        </row>
        <row r="532">
          <cell r="A532">
            <v>53014</v>
          </cell>
        </row>
        <row r="533">
          <cell r="A533">
            <v>53059</v>
          </cell>
        </row>
        <row r="534">
          <cell r="A534">
            <v>53073</v>
          </cell>
        </row>
        <row r="535">
          <cell r="A535">
            <v>53083</v>
          </cell>
        </row>
        <row r="536">
          <cell r="A536">
            <v>53121</v>
          </cell>
        </row>
        <row r="537">
          <cell r="A537">
            <v>53212</v>
          </cell>
        </row>
        <row r="538">
          <cell r="A538">
            <v>53247</v>
          </cell>
        </row>
        <row r="539">
          <cell r="A539">
            <v>53268</v>
          </cell>
        </row>
        <row r="540">
          <cell r="A540">
            <v>53281</v>
          </cell>
        </row>
        <row r="541">
          <cell r="A541">
            <v>53321</v>
          </cell>
        </row>
        <row r="542">
          <cell r="A542">
            <v>53328</v>
          </cell>
        </row>
        <row r="543">
          <cell r="A543">
            <v>53363</v>
          </cell>
        </row>
        <row r="544">
          <cell r="A544">
            <v>53364</v>
          </cell>
        </row>
        <row r="545">
          <cell r="A545">
            <v>53409</v>
          </cell>
        </row>
        <row r="546">
          <cell r="A546">
            <v>53438</v>
          </cell>
        </row>
        <row r="547">
          <cell r="A547">
            <v>53448</v>
          </cell>
        </row>
        <row r="548">
          <cell r="A548">
            <v>53471</v>
          </cell>
        </row>
        <row r="549">
          <cell r="A549">
            <v>53577</v>
          </cell>
        </row>
        <row r="550">
          <cell r="A550">
            <v>53612</v>
          </cell>
        </row>
        <row r="551">
          <cell r="A551">
            <v>53633</v>
          </cell>
        </row>
        <row r="552">
          <cell r="A552">
            <v>53646</v>
          </cell>
        </row>
        <row r="553">
          <cell r="A553">
            <v>53686</v>
          </cell>
        </row>
        <row r="554">
          <cell r="A554">
            <v>53693</v>
          </cell>
        </row>
        <row r="555">
          <cell r="A555">
            <v>53748</v>
          </cell>
        </row>
        <row r="556">
          <cell r="A556">
            <v>53749</v>
          </cell>
        </row>
        <row r="557">
          <cell r="A557">
            <v>53794</v>
          </cell>
        </row>
        <row r="558">
          <cell r="A558">
            <v>53803</v>
          </cell>
        </row>
        <row r="559">
          <cell r="A559">
            <v>53813</v>
          </cell>
        </row>
        <row r="560">
          <cell r="A560">
            <v>53856</v>
          </cell>
        </row>
        <row r="561">
          <cell r="A561">
            <v>53942</v>
          </cell>
        </row>
        <row r="562">
          <cell r="A562">
            <v>53977</v>
          </cell>
        </row>
        <row r="563">
          <cell r="A563">
            <v>53998</v>
          </cell>
        </row>
        <row r="564">
          <cell r="A564">
            <v>54011</v>
          </cell>
        </row>
        <row r="565">
          <cell r="A565">
            <v>54051</v>
          </cell>
        </row>
        <row r="566">
          <cell r="A566">
            <v>54058</v>
          </cell>
        </row>
        <row r="567">
          <cell r="A567">
            <v>54105</v>
          </cell>
        </row>
        <row r="568">
          <cell r="A568">
            <v>54106</v>
          </cell>
        </row>
        <row r="569">
          <cell r="A569">
            <v>54151</v>
          </cell>
        </row>
        <row r="570">
          <cell r="A570">
            <v>54169</v>
          </cell>
        </row>
        <row r="571">
          <cell r="A571">
            <v>54179</v>
          </cell>
        </row>
        <row r="572">
          <cell r="A572">
            <v>54213</v>
          </cell>
        </row>
        <row r="573">
          <cell r="A573">
            <v>54308</v>
          </cell>
        </row>
        <row r="574">
          <cell r="A574">
            <v>54343</v>
          </cell>
        </row>
        <row r="575">
          <cell r="A575">
            <v>54364</v>
          </cell>
        </row>
        <row r="576">
          <cell r="A576">
            <v>54377</v>
          </cell>
        </row>
        <row r="577">
          <cell r="A577">
            <v>54417</v>
          </cell>
        </row>
        <row r="578">
          <cell r="A578">
            <v>54424</v>
          </cell>
        </row>
        <row r="579">
          <cell r="A579">
            <v>54483</v>
          </cell>
        </row>
        <row r="580">
          <cell r="A580">
            <v>54484</v>
          </cell>
        </row>
        <row r="581">
          <cell r="A581">
            <v>54529</v>
          </cell>
        </row>
        <row r="582">
          <cell r="A582">
            <v>54534</v>
          </cell>
        </row>
        <row r="583">
          <cell r="A583">
            <v>54544</v>
          </cell>
        </row>
        <row r="584">
          <cell r="A584">
            <v>54591</v>
          </cell>
        </row>
        <row r="585">
          <cell r="A585">
            <v>54673</v>
          </cell>
        </row>
        <row r="586">
          <cell r="A586">
            <v>54708</v>
          </cell>
        </row>
        <row r="587">
          <cell r="A587">
            <v>54729</v>
          </cell>
        </row>
        <row r="588">
          <cell r="A588">
            <v>54742</v>
          </cell>
        </row>
        <row r="589">
          <cell r="A589">
            <v>54782</v>
          </cell>
        </row>
        <row r="590">
          <cell r="A590">
            <v>54789</v>
          </cell>
        </row>
        <row r="591">
          <cell r="A591">
            <v>54840</v>
          </cell>
        </row>
        <row r="592">
          <cell r="A592">
            <v>54841</v>
          </cell>
        </row>
        <row r="593">
          <cell r="A593">
            <v>54886</v>
          </cell>
        </row>
        <row r="594">
          <cell r="A594">
            <v>54899</v>
          </cell>
        </row>
        <row r="595">
          <cell r="A595">
            <v>54909</v>
          </cell>
        </row>
        <row r="596">
          <cell r="A596">
            <v>54948</v>
          </cell>
        </row>
        <row r="597">
          <cell r="A597">
            <v>55038</v>
          </cell>
        </row>
        <row r="598">
          <cell r="A598">
            <v>55073</v>
          </cell>
        </row>
        <row r="599">
          <cell r="A599">
            <v>55094</v>
          </cell>
        </row>
        <row r="600">
          <cell r="A600">
            <v>55107</v>
          </cell>
        </row>
        <row r="601">
          <cell r="A601">
            <v>55147</v>
          </cell>
        </row>
        <row r="602">
          <cell r="A602">
            <v>55154</v>
          </cell>
        </row>
        <row r="603">
          <cell r="A603">
            <v>55197</v>
          </cell>
        </row>
        <row r="604">
          <cell r="A604">
            <v>55198</v>
          </cell>
        </row>
        <row r="605">
          <cell r="A605">
            <v>55243</v>
          </cell>
        </row>
        <row r="606">
          <cell r="A606">
            <v>55264</v>
          </cell>
        </row>
        <row r="607">
          <cell r="A607">
            <v>55274</v>
          </cell>
        </row>
        <row r="608">
          <cell r="A608">
            <v>55305</v>
          </cell>
        </row>
        <row r="609">
          <cell r="A609">
            <v>55403</v>
          </cell>
        </row>
        <row r="610">
          <cell r="A610">
            <v>55438</v>
          </cell>
        </row>
        <row r="611">
          <cell r="A611">
            <v>55459</v>
          </cell>
        </row>
        <row r="612">
          <cell r="A612">
            <v>55472</v>
          </cell>
        </row>
        <row r="613">
          <cell r="A613">
            <v>55512</v>
          </cell>
        </row>
        <row r="614">
          <cell r="A614">
            <v>55519</v>
          </cell>
        </row>
        <row r="615">
          <cell r="A615">
            <v>55582</v>
          </cell>
        </row>
        <row r="616">
          <cell r="A616">
            <v>55583</v>
          </cell>
        </row>
        <row r="617">
          <cell r="A617">
            <v>55628</v>
          </cell>
        </row>
        <row r="618">
          <cell r="A618">
            <v>55630</v>
          </cell>
        </row>
        <row r="619">
          <cell r="A619">
            <v>55640</v>
          </cell>
        </row>
        <row r="620">
          <cell r="A620">
            <v>55690</v>
          </cell>
        </row>
        <row r="621">
          <cell r="A621">
            <v>55769</v>
          </cell>
        </row>
        <row r="622">
          <cell r="A622">
            <v>55804</v>
          </cell>
        </row>
        <row r="623">
          <cell r="A623">
            <v>55825</v>
          </cell>
        </row>
        <row r="624">
          <cell r="A624">
            <v>55838</v>
          </cell>
        </row>
        <row r="625">
          <cell r="A625">
            <v>55878</v>
          </cell>
        </row>
        <row r="626">
          <cell r="A626">
            <v>55885</v>
          </cell>
        </row>
        <row r="627">
          <cell r="A627">
            <v>55932</v>
          </cell>
        </row>
        <row r="628">
          <cell r="A628">
            <v>55933</v>
          </cell>
        </row>
        <row r="629">
          <cell r="A629">
            <v>55978</v>
          </cell>
        </row>
        <row r="630">
          <cell r="A630">
            <v>55995</v>
          </cell>
        </row>
        <row r="631">
          <cell r="A631">
            <v>56005</v>
          </cell>
        </row>
        <row r="632">
          <cell r="A632">
            <v>56040</v>
          </cell>
        </row>
        <row r="633">
          <cell r="A633">
            <v>56134</v>
          </cell>
        </row>
        <row r="634">
          <cell r="A634">
            <v>56169</v>
          </cell>
        </row>
        <row r="635">
          <cell r="A635">
            <v>56190</v>
          </cell>
        </row>
        <row r="636">
          <cell r="A636">
            <v>56203</v>
          </cell>
        </row>
        <row r="637">
          <cell r="A637">
            <v>56243</v>
          </cell>
        </row>
        <row r="638">
          <cell r="A638">
            <v>56250</v>
          </cell>
        </row>
        <row r="639">
          <cell r="A639">
            <v>56289</v>
          </cell>
        </row>
        <row r="640">
          <cell r="A640">
            <v>56290</v>
          </cell>
        </row>
        <row r="641">
          <cell r="A641">
            <v>56335</v>
          </cell>
        </row>
        <row r="642">
          <cell r="A642">
            <v>56360</v>
          </cell>
        </row>
        <row r="643">
          <cell r="A643">
            <v>56370</v>
          </cell>
        </row>
        <row r="644">
          <cell r="A644">
            <v>56397</v>
          </cell>
        </row>
        <row r="645">
          <cell r="A645">
            <v>56499</v>
          </cell>
        </row>
        <row r="646">
          <cell r="A646">
            <v>56534</v>
          </cell>
        </row>
        <row r="647">
          <cell r="A647">
            <v>56555</v>
          </cell>
        </row>
        <row r="648">
          <cell r="A648">
            <v>56568</v>
          </cell>
        </row>
        <row r="649">
          <cell r="A649">
            <v>56608</v>
          </cell>
        </row>
        <row r="650">
          <cell r="A650">
            <v>56615</v>
          </cell>
        </row>
        <row r="651">
          <cell r="A651">
            <v>56674</v>
          </cell>
        </row>
        <row r="652">
          <cell r="A652">
            <v>56675</v>
          </cell>
        </row>
        <row r="653">
          <cell r="A653">
            <v>56720</v>
          </cell>
        </row>
        <row r="654">
          <cell r="A654">
            <v>56725</v>
          </cell>
        </row>
        <row r="655">
          <cell r="A655">
            <v>56735</v>
          </cell>
        </row>
        <row r="656">
          <cell r="A656">
            <v>56782</v>
          </cell>
        </row>
        <row r="657">
          <cell r="A657">
            <v>56864</v>
          </cell>
        </row>
        <row r="658">
          <cell r="A658">
            <v>56899</v>
          </cell>
        </row>
        <row r="659">
          <cell r="A659">
            <v>56920</v>
          </cell>
        </row>
        <row r="660">
          <cell r="A660">
            <v>56933</v>
          </cell>
        </row>
        <row r="661">
          <cell r="A661">
            <v>56973</v>
          </cell>
        </row>
        <row r="662">
          <cell r="A662">
            <v>56980</v>
          </cell>
        </row>
        <row r="663">
          <cell r="A663">
            <v>57024</v>
          </cell>
        </row>
        <row r="664">
          <cell r="A664">
            <v>57025</v>
          </cell>
        </row>
        <row r="665">
          <cell r="A665">
            <v>57070</v>
          </cell>
        </row>
        <row r="666">
          <cell r="A666">
            <v>57091</v>
          </cell>
        </row>
        <row r="667">
          <cell r="A667">
            <v>57101</v>
          </cell>
        </row>
        <row r="668">
          <cell r="A668">
            <v>57132</v>
          </cell>
        </row>
        <row r="669">
          <cell r="A669">
            <v>57230</v>
          </cell>
        </row>
        <row r="670">
          <cell r="A670">
            <v>57265</v>
          </cell>
        </row>
        <row r="671">
          <cell r="A671">
            <v>57286</v>
          </cell>
        </row>
        <row r="672">
          <cell r="A672">
            <v>57299</v>
          </cell>
        </row>
        <row r="673">
          <cell r="A673">
            <v>57339</v>
          </cell>
        </row>
        <row r="674">
          <cell r="A674">
            <v>57346</v>
          </cell>
        </row>
        <row r="675">
          <cell r="A675">
            <v>57409</v>
          </cell>
        </row>
        <row r="676">
          <cell r="A676">
            <v>57410</v>
          </cell>
        </row>
        <row r="677">
          <cell r="A677">
            <v>57455</v>
          </cell>
        </row>
        <row r="678">
          <cell r="A678">
            <v>57456</v>
          </cell>
        </row>
        <row r="679">
          <cell r="A679">
            <v>57466</v>
          </cell>
        </row>
        <row r="680">
          <cell r="A680">
            <v>57517</v>
          </cell>
        </row>
        <row r="681">
          <cell r="A681">
            <v>57595</v>
          </cell>
        </row>
        <row r="682">
          <cell r="A682">
            <v>57630</v>
          </cell>
        </row>
        <row r="683">
          <cell r="A683">
            <v>57651</v>
          </cell>
        </row>
        <row r="684">
          <cell r="A684">
            <v>57664</v>
          </cell>
        </row>
        <row r="685">
          <cell r="A685">
            <v>57704</v>
          </cell>
        </row>
        <row r="686">
          <cell r="A686">
            <v>57711</v>
          </cell>
        </row>
        <row r="687">
          <cell r="A687">
            <v>57766</v>
          </cell>
        </row>
        <row r="688">
          <cell r="A688">
            <v>57767</v>
          </cell>
        </row>
        <row r="689">
          <cell r="A689">
            <v>57812</v>
          </cell>
        </row>
        <row r="690">
          <cell r="A690">
            <v>57821</v>
          </cell>
        </row>
        <row r="691">
          <cell r="A691">
            <v>57831</v>
          </cell>
        </row>
        <row r="692">
          <cell r="A692">
            <v>57874</v>
          </cell>
        </row>
        <row r="693">
          <cell r="A693">
            <v>57960</v>
          </cell>
        </row>
        <row r="694">
          <cell r="A694">
            <v>57995</v>
          </cell>
        </row>
        <row r="695">
          <cell r="A695">
            <v>58016</v>
          </cell>
        </row>
        <row r="696">
          <cell r="A696">
            <v>58029</v>
          </cell>
        </row>
        <row r="697">
          <cell r="A697">
            <v>58069</v>
          </cell>
        </row>
        <row r="698">
          <cell r="A698">
            <v>58076</v>
          </cell>
        </row>
        <row r="699">
          <cell r="A699">
            <v>58116</v>
          </cell>
        </row>
        <row r="700">
          <cell r="A700">
            <v>58117</v>
          </cell>
        </row>
        <row r="701">
          <cell r="A701">
            <v>58162</v>
          </cell>
        </row>
        <row r="702">
          <cell r="A702">
            <v>58186</v>
          </cell>
        </row>
        <row r="703">
          <cell r="A703">
            <v>58196</v>
          </cell>
        </row>
        <row r="704">
          <cell r="A704">
            <v>58224</v>
          </cell>
        </row>
        <row r="705">
          <cell r="A705">
            <v>58325</v>
          </cell>
        </row>
        <row r="706">
          <cell r="A706">
            <v>58360</v>
          </cell>
        </row>
        <row r="707">
          <cell r="A707">
            <v>58381</v>
          </cell>
        </row>
        <row r="708">
          <cell r="A708">
            <v>58394</v>
          </cell>
        </row>
        <row r="709">
          <cell r="A709">
            <v>58434</v>
          </cell>
        </row>
        <row r="710">
          <cell r="A710">
            <v>58441</v>
          </cell>
        </row>
        <row r="711">
          <cell r="A711">
            <v>58501</v>
          </cell>
        </row>
        <row r="712">
          <cell r="A712">
            <v>58502</v>
          </cell>
        </row>
        <row r="713">
          <cell r="A713">
            <v>58547</v>
          </cell>
        </row>
        <row r="714">
          <cell r="A714">
            <v>58552</v>
          </cell>
        </row>
        <row r="715">
          <cell r="A715">
            <v>58562</v>
          </cell>
        </row>
        <row r="716">
          <cell r="A716">
            <v>58609</v>
          </cell>
        </row>
        <row r="717">
          <cell r="A717">
            <v>58691</v>
          </cell>
        </row>
        <row r="718">
          <cell r="A718">
            <v>58726</v>
          </cell>
        </row>
        <row r="719">
          <cell r="A719">
            <v>58747</v>
          </cell>
        </row>
        <row r="720">
          <cell r="A720">
            <v>58760</v>
          </cell>
        </row>
        <row r="721">
          <cell r="A721">
            <v>58800</v>
          </cell>
        </row>
        <row r="722">
          <cell r="A722">
            <v>58807</v>
          </cell>
        </row>
        <row r="723">
          <cell r="A723">
            <v>58858</v>
          </cell>
        </row>
        <row r="724">
          <cell r="A724">
            <v>58859</v>
          </cell>
        </row>
        <row r="725">
          <cell r="A725">
            <v>58904</v>
          </cell>
        </row>
        <row r="726">
          <cell r="A726">
            <v>58917</v>
          </cell>
        </row>
        <row r="727">
          <cell r="A727">
            <v>58927</v>
          </cell>
        </row>
        <row r="728">
          <cell r="A728">
            <v>58966</v>
          </cell>
        </row>
        <row r="729">
          <cell r="A729">
            <v>59056</v>
          </cell>
        </row>
        <row r="730">
          <cell r="A730">
            <v>59091</v>
          </cell>
        </row>
        <row r="731">
          <cell r="A731">
            <v>59112</v>
          </cell>
        </row>
        <row r="732">
          <cell r="A732">
            <v>59125</v>
          </cell>
        </row>
        <row r="733">
          <cell r="A733">
            <v>59165</v>
          </cell>
        </row>
        <row r="734">
          <cell r="A734">
            <v>59172</v>
          </cell>
        </row>
        <row r="735">
          <cell r="A735">
            <v>59208</v>
          </cell>
        </row>
        <row r="736">
          <cell r="A736">
            <v>59209</v>
          </cell>
        </row>
        <row r="737">
          <cell r="A737">
            <v>59254</v>
          </cell>
        </row>
        <row r="738">
          <cell r="A738">
            <v>59282</v>
          </cell>
        </row>
        <row r="739">
          <cell r="A739">
            <v>59292</v>
          </cell>
        </row>
        <row r="740">
          <cell r="A740">
            <v>59316</v>
          </cell>
        </row>
        <row r="741">
          <cell r="A741">
            <v>59421</v>
          </cell>
        </row>
        <row r="742">
          <cell r="A742">
            <v>59456</v>
          </cell>
        </row>
        <row r="743">
          <cell r="A743">
            <v>59477</v>
          </cell>
        </row>
        <row r="744">
          <cell r="A744">
            <v>59490</v>
          </cell>
        </row>
        <row r="745">
          <cell r="A745">
            <v>59530</v>
          </cell>
        </row>
        <row r="746">
          <cell r="A746">
            <v>59537</v>
          </cell>
        </row>
        <row r="747">
          <cell r="A747">
            <v>59593</v>
          </cell>
        </row>
        <row r="748">
          <cell r="A748">
            <v>59594</v>
          </cell>
        </row>
        <row r="749">
          <cell r="A749">
            <v>59639</v>
          </cell>
        </row>
        <row r="750">
          <cell r="A750">
            <v>59647</v>
          </cell>
        </row>
        <row r="751">
          <cell r="A751">
            <v>59657</v>
          </cell>
        </row>
        <row r="752">
          <cell r="A752">
            <v>59701</v>
          </cell>
        </row>
        <row r="753">
          <cell r="A753">
            <v>59786</v>
          </cell>
        </row>
        <row r="754">
          <cell r="A754">
            <v>59821</v>
          </cell>
        </row>
        <row r="755">
          <cell r="A755">
            <v>59842</v>
          </cell>
        </row>
        <row r="756">
          <cell r="A756">
            <v>59855</v>
          </cell>
        </row>
        <row r="757">
          <cell r="A757">
            <v>59895</v>
          </cell>
        </row>
        <row r="758">
          <cell r="A758">
            <v>59902</v>
          </cell>
        </row>
        <row r="759">
          <cell r="A759">
            <v>59950</v>
          </cell>
        </row>
        <row r="760">
          <cell r="A760">
            <v>59951</v>
          </cell>
        </row>
        <row r="761">
          <cell r="A761">
            <v>59996</v>
          </cell>
        </row>
        <row r="762">
          <cell r="A762">
            <v>60013</v>
          </cell>
        </row>
        <row r="763">
          <cell r="A763">
            <v>60023</v>
          </cell>
        </row>
        <row r="764">
          <cell r="A764">
            <v>60058</v>
          </cell>
        </row>
        <row r="765">
          <cell r="A765">
            <v>60152</v>
          </cell>
        </row>
        <row r="766">
          <cell r="A766">
            <v>60187</v>
          </cell>
        </row>
        <row r="767">
          <cell r="A767">
            <v>60208</v>
          </cell>
        </row>
        <row r="768">
          <cell r="A768">
            <v>60221</v>
          </cell>
        </row>
        <row r="769">
          <cell r="A769">
            <v>60261</v>
          </cell>
        </row>
        <row r="770">
          <cell r="A770">
            <v>60268</v>
          </cell>
        </row>
        <row r="771">
          <cell r="A771">
            <v>60307</v>
          </cell>
        </row>
        <row r="772">
          <cell r="A772">
            <v>60308</v>
          </cell>
        </row>
        <row r="773">
          <cell r="A773">
            <v>60353</v>
          </cell>
        </row>
        <row r="774">
          <cell r="A774">
            <v>60378</v>
          </cell>
        </row>
        <row r="775">
          <cell r="A775">
            <v>60388</v>
          </cell>
        </row>
        <row r="776">
          <cell r="A776">
            <v>60415</v>
          </cell>
        </row>
        <row r="777">
          <cell r="A777">
            <v>60517</v>
          </cell>
        </row>
        <row r="778">
          <cell r="A778">
            <v>60552</v>
          </cell>
        </row>
        <row r="779">
          <cell r="A779">
            <v>60573</v>
          </cell>
        </row>
        <row r="780">
          <cell r="A780">
            <v>60586</v>
          </cell>
        </row>
        <row r="781">
          <cell r="A781">
            <v>60626</v>
          </cell>
        </row>
        <row r="782">
          <cell r="A782">
            <v>60633</v>
          </cell>
        </row>
        <row r="783">
          <cell r="A783">
            <v>60685</v>
          </cell>
        </row>
        <row r="784">
          <cell r="A784">
            <v>60686</v>
          </cell>
        </row>
        <row r="785">
          <cell r="A785">
            <v>60731</v>
          </cell>
        </row>
        <row r="786">
          <cell r="A786">
            <v>60743</v>
          </cell>
        </row>
        <row r="787">
          <cell r="A787">
            <v>60753</v>
          </cell>
        </row>
        <row r="788">
          <cell r="A788">
            <v>60793</v>
          </cell>
        </row>
        <row r="789">
          <cell r="A789">
            <v>60882</v>
          </cell>
        </row>
        <row r="790">
          <cell r="A790">
            <v>60917</v>
          </cell>
        </row>
        <row r="791">
          <cell r="A791">
            <v>60938</v>
          </cell>
        </row>
        <row r="792">
          <cell r="A792">
            <v>60951</v>
          </cell>
        </row>
        <row r="793">
          <cell r="A793">
            <v>60991</v>
          </cell>
        </row>
        <row r="794">
          <cell r="A794">
            <v>60998</v>
          </cell>
        </row>
        <row r="795">
          <cell r="A795">
            <v>61042</v>
          </cell>
        </row>
        <row r="796">
          <cell r="A796">
            <v>61043</v>
          </cell>
        </row>
        <row r="797">
          <cell r="A797">
            <v>61088</v>
          </cell>
        </row>
        <row r="798">
          <cell r="A798">
            <v>61108</v>
          </cell>
        </row>
        <row r="799">
          <cell r="A799">
            <v>61118</v>
          </cell>
        </row>
        <row r="800">
          <cell r="A800">
            <v>61150</v>
          </cell>
        </row>
        <row r="801">
          <cell r="A801">
            <v>61247</v>
          </cell>
        </row>
        <row r="802">
          <cell r="A802">
            <v>61282</v>
          </cell>
        </row>
        <row r="803">
          <cell r="A803">
            <v>61303</v>
          </cell>
        </row>
        <row r="804">
          <cell r="A804">
            <v>61316</v>
          </cell>
        </row>
        <row r="805">
          <cell r="A805">
            <v>61356</v>
          </cell>
        </row>
        <row r="806">
          <cell r="A806">
            <v>61363</v>
          </cell>
        </row>
        <row r="807">
          <cell r="A807">
            <v>61427</v>
          </cell>
        </row>
        <row r="808">
          <cell r="A808">
            <v>61428</v>
          </cell>
        </row>
        <row r="809">
          <cell r="A809">
            <v>61473</v>
          </cell>
        </row>
        <row r="810">
          <cell r="A810">
            <v>61474</v>
          </cell>
        </row>
        <row r="811">
          <cell r="A811">
            <v>61484</v>
          </cell>
        </row>
        <row r="812">
          <cell r="A812">
            <v>61535</v>
          </cell>
        </row>
        <row r="813">
          <cell r="A813">
            <v>61613</v>
          </cell>
        </row>
        <row r="814">
          <cell r="A814">
            <v>61648</v>
          </cell>
        </row>
        <row r="815">
          <cell r="A815">
            <v>61669</v>
          </cell>
        </row>
        <row r="816">
          <cell r="A816">
            <v>61682</v>
          </cell>
        </row>
        <row r="817">
          <cell r="A817">
            <v>61722</v>
          </cell>
        </row>
        <row r="818">
          <cell r="A818">
            <v>61729</v>
          </cell>
        </row>
        <row r="819">
          <cell r="A819">
            <v>61784</v>
          </cell>
        </row>
        <row r="820">
          <cell r="A820">
            <v>61785</v>
          </cell>
        </row>
        <row r="821">
          <cell r="A821">
            <v>61830</v>
          </cell>
        </row>
        <row r="822">
          <cell r="A822">
            <v>61839</v>
          </cell>
        </row>
        <row r="823">
          <cell r="A823">
            <v>61849</v>
          </cell>
        </row>
        <row r="824">
          <cell r="A824">
            <v>61892</v>
          </cell>
        </row>
        <row r="825">
          <cell r="A825">
            <v>61978</v>
          </cell>
        </row>
        <row r="826">
          <cell r="A826">
            <v>62013</v>
          </cell>
        </row>
        <row r="827">
          <cell r="A827">
            <v>62034</v>
          </cell>
        </row>
        <row r="828">
          <cell r="A828">
            <v>62047</v>
          </cell>
        </row>
        <row r="829">
          <cell r="A829">
            <v>62087</v>
          </cell>
        </row>
        <row r="830">
          <cell r="A830">
            <v>62094</v>
          </cell>
        </row>
        <row r="831">
          <cell r="A831">
            <v>62134</v>
          </cell>
        </row>
        <row r="832">
          <cell r="A832">
            <v>62135</v>
          </cell>
        </row>
        <row r="833">
          <cell r="A833">
            <v>62180</v>
          </cell>
        </row>
        <row r="834">
          <cell r="A834">
            <v>62204</v>
          </cell>
        </row>
        <row r="835">
          <cell r="A835">
            <v>62214</v>
          </cell>
        </row>
        <row r="836">
          <cell r="A836">
            <v>62242</v>
          </cell>
        </row>
        <row r="837">
          <cell r="A837">
            <v>62343</v>
          </cell>
        </row>
        <row r="838">
          <cell r="A838">
            <v>62378</v>
          </cell>
        </row>
        <row r="839">
          <cell r="A839">
            <v>62399</v>
          </cell>
        </row>
        <row r="840">
          <cell r="A840">
            <v>62412</v>
          </cell>
        </row>
        <row r="841">
          <cell r="A841">
            <v>62452</v>
          </cell>
        </row>
        <row r="842">
          <cell r="A842">
            <v>62459</v>
          </cell>
        </row>
        <row r="843">
          <cell r="A843">
            <v>62519</v>
          </cell>
        </row>
        <row r="844">
          <cell r="A844">
            <v>62520</v>
          </cell>
        </row>
        <row r="845">
          <cell r="A845">
            <v>62565</v>
          </cell>
        </row>
        <row r="846">
          <cell r="A846">
            <v>62569</v>
          </cell>
        </row>
        <row r="847">
          <cell r="A847">
            <v>62579</v>
          </cell>
        </row>
        <row r="848">
          <cell r="A848">
            <v>62627</v>
          </cell>
        </row>
        <row r="849">
          <cell r="A849">
            <v>62708</v>
          </cell>
        </row>
        <row r="850">
          <cell r="A850">
            <v>62743</v>
          </cell>
        </row>
        <row r="851">
          <cell r="A851">
            <v>62764</v>
          </cell>
        </row>
        <row r="852">
          <cell r="A852">
            <v>62777</v>
          </cell>
        </row>
        <row r="853">
          <cell r="A853">
            <v>62817</v>
          </cell>
        </row>
        <row r="854">
          <cell r="A854">
            <v>62824</v>
          </cell>
        </row>
        <row r="855">
          <cell r="A855">
            <v>62876</v>
          </cell>
        </row>
        <row r="856">
          <cell r="A856">
            <v>62877</v>
          </cell>
        </row>
        <row r="857">
          <cell r="A857">
            <v>62922</v>
          </cell>
        </row>
        <row r="858">
          <cell r="A858">
            <v>62935</v>
          </cell>
        </row>
        <row r="859">
          <cell r="A859">
            <v>62945</v>
          </cell>
        </row>
        <row r="860">
          <cell r="A860">
            <v>62984</v>
          </cell>
        </row>
        <row r="861">
          <cell r="A861">
            <v>63074</v>
          </cell>
        </row>
        <row r="862">
          <cell r="A862">
            <v>63109</v>
          </cell>
        </row>
        <row r="863">
          <cell r="A863">
            <v>63130</v>
          </cell>
        </row>
        <row r="864">
          <cell r="A864">
            <v>63143</v>
          </cell>
        </row>
        <row r="865">
          <cell r="A865">
            <v>63183</v>
          </cell>
        </row>
        <row r="866">
          <cell r="A866">
            <v>63190</v>
          </cell>
        </row>
        <row r="867">
          <cell r="A867">
            <v>63226</v>
          </cell>
        </row>
        <row r="868">
          <cell r="A868">
            <v>63227</v>
          </cell>
        </row>
        <row r="869">
          <cell r="A869">
            <v>63272</v>
          </cell>
        </row>
        <row r="870">
          <cell r="A870">
            <v>63300</v>
          </cell>
        </row>
        <row r="871">
          <cell r="A871">
            <v>63310</v>
          </cell>
        </row>
        <row r="872">
          <cell r="A872">
            <v>63334</v>
          </cell>
        </row>
        <row r="873">
          <cell r="A873">
            <v>63439</v>
          </cell>
        </row>
        <row r="874">
          <cell r="A874">
            <v>63474</v>
          </cell>
        </row>
        <row r="875">
          <cell r="A875">
            <v>63495</v>
          </cell>
        </row>
        <row r="876">
          <cell r="A876">
            <v>63508</v>
          </cell>
        </row>
        <row r="877">
          <cell r="A877">
            <v>63548</v>
          </cell>
        </row>
        <row r="878">
          <cell r="A878">
            <v>63555</v>
          </cell>
        </row>
        <row r="879">
          <cell r="A879">
            <v>63611</v>
          </cell>
        </row>
        <row r="880">
          <cell r="A880">
            <v>63612</v>
          </cell>
        </row>
        <row r="881">
          <cell r="A881">
            <v>63657</v>
          </cell>
        </row>
        <row r="882">
          <cell r="A882">
            <v>63665</v>
          </cell>
        </row>
        <row r="883">
          <cell r="A883">
            <v>63675</v>
          </cell>
        </row>
        <row r="884">
          <cell r="A884">
            <v>63719</v>
          </cell>
        </row>
        <row r="885">
          <cell r="A885">
            <v>63804</v>
          </cell>
        </row>
        <row r="886">
          <cell r="A886">
            <v>63839</v>
          </cell>
        </row>
        <row r="887">
          <cell r="A887">
            <v>63860</v>
          </cell>
        </row>
        <row r="888">
          <cell r="A888">
            <v>63873</v>
          </cell>
        </row>
        <row r="889">
          <cell r="A889">
            <v>63913</v>
          </cell>
        </row>
        <row r="890">
          <cell r="A890">
            <v>63920</v>
          </cell>
        </row>
        <row r="891">
          <cell r="A891">
            <v>63968</v>
          </cell>
        </row>
        <row r="892">
          <cell r="A892">
            <v>63969</v>
          </cell>
        </row>
        <row r="893">
          <cell r="A893">
            <v>64014</v>
          </cell>
        </row>
        <row r="894">
          <cell r="A894">
            <v>64030</v>
          </cell>
        </row>
        <row r="895">
          <cell r="A895">
            <v>64040</v>
          </cell>
        </row>
        <row r="896">
          <cell r="A896">
            <v>64076</v>
          </cell>
        </row>
        <row r="897">
          <cell r="A897">
            <v>64169</v>
          </cell>
        </row>
        <row r="898">
          <cell r="A898">
            <v>64204</v>
          </cell>
        </row>
        <row r="899">
          <cell r="A899">
            <v>64225</v>
          </cell>
        </row>
        <row r="900">
          <cell r="A900">
            <v>64238</v>
          </cell>
        </row>
        <row r="901">
          <cell r="A901">
            <v>64278</v>
          </cell>
        </row>
        <row r="902">
          <cell r="A902">
            <v>64285</v>
          </cell>
        </row>
        <row r="903">
          <cell r="A903">
            <v>64346</v>
          </cell>
        </row>
        <row r="904">
          <cell r="A904">
            <v>64347</v>
          </cell>
        </row>
        <row r="905">
          <cell r="A905">
            <v>64392</v>
          </cell>
        </row>
        <row r="906">
          <cell r="A906">
            <v>64396</v>
          </cell>
        </row>
        <row r="907">
          <cell r="A907">
            <v>64406</v>
          </cell>
        </row>
        <row r="908">
          <cell r="A908">
            <v>64454</v>
          </cell>
        </row>
        <row r="909">
          <cell r="A909">
            <v>64535</v>
          </cell>
        </row>
        <row r="910">
          <cell r="A910">
            <v>64570</v>
          </cell>
        </row>
        <row r="911">
          <cell r="A911">
            <v>64591</v>
          </cell>
        </row>
        <row r="912">
          <cell r="A912">
            <v>64604</v>
          </cell>
        </row>
        <row r="913">
          <cell r="A913">
            <v>64644</v>
          </cell>
        </row>
        <row r="914">
          <cell r="A914">
            <v>64651</v>
          </cell>
        </row>
        <row r="915">
          <cell r="A915">
            <v>64703</v>
          </cell>
        </row>
        <row r="916">
          <cell r="A916">
            <v>64704</v>
          </cell>
        </row>
        <row r="917">
          <cell r="A917">
            <v>64749</v>
          </cell>
        </row>
        <row r="918">
          <cell r="A918">
            <v>64761</v>
          </cell>
        </row>
        <row r="919">
          <cell r="A919">
            <v>64771</v>
          </cell>
        </row>
        <row r="920">
          <cell r="A920">
            <v>64811</v>
          </cell>
        </row>
        <row r="921">
          <cell r="A921">
            <v>64900</v>
          </cell>
        </row>
        <row r="922">
          <cell r="A922">
            <v>64935</v>
          </cell>
        </row>
        <row r="923">
          <cell r="A923">
            <v>64956</v>
          </cell>
        </row>
        <row r="924">
          <cell r="A924">
            <v>64969</v>
          </cell>
        </row>
        <row r="925">
          <cell r="A925">
            <v>65009</v>
          </cell>
        </row>
        <row r="926">
          <cell r="A926">
            <v>65016</v>
          </cell>
        </row>
        <row r="927">
          <cell r="A927">
            <v>65060</v>
          </cell>
        </row>
        <row r="928">
          <cell r="A928">
            <v>65061</v>
          </cell>
        </row>
        <row r="929">
          <cell r="A929">
            <v>65106</v>
          </cell>
        </row>
        <row r="930">
          <cell r="A930">
            <v>65126</v>
          </cell>
        </row>
        <row r="931">
          <cell r="A931">
            <v>65136</v>
          </cell>
        </row>
        <row r="932">
          <cell r="A932">
            <v>65168</v>
          </cell>
        </row>
        <row r="933">
          <cell r="A933">
            <v>65265</v>
          </cell>
        </row>
        <row r="934">
          <cell r="A934">
            <v>65300</v>
          </cell>
        </row>
        <row r="935">
          <cell r="A935">
            <v>65321</v>
          </cell>
        </row>
        <row r="936">
          <cell r="A936">
            <v>65334</v>
          </cell>
        </row>
        <row r="937">
          <cell r="A937">
            <v>65374</v>
          </cell>
        </row>
      </sheetData>
    </sheetDataSet>
  </externalBook>
</externalLink>
</file>

<file path=xl/theme/theme1.xml><?xml version="1.0" encoding="utf-8"?>
<a:theme xmlns:a="http://schemas.openxmlformats.org/drawingml/2006/main" name="Tema do Office 2013 -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29FF86-A7A7-4799-95DB-E43F2B7444A0}">
  <sheetPr codeName="Planilha8"/>
  <dimension ref="A2:AF247"/>
  <sheetViews>
    <sheetView tabSelected="1" zoomScale="70" zoomScaleNormal="70" workbookViewId="0"/>
  </sheetViews>
  <sheetFormatPr defaultRowHeight="15" x14ac:dyDescent="0.25"/>
  <cols>
    <col min="1" max="1" width="11.85546875" bestFit="1" customWidth="1"/>
    <col min="2" max="2" width="8" bestFit="1" customWidth="1"/>
    <col min="3" max="3" width="10.7109375" bestFit="1" customWidth="1"/>
    <col min="4" max="4" width="5.140625" customWidth="1"/>
    <col min="5" max="5" width="9.140625" customWidth="1"/>
    <col min="8" max="8" width="10.140625" bestFit="1" customWidth="1"/>
    <col min="9" max="9" width="7.5703125" customWidth="1"/>
    <col min="10" max="10" width="9.5703125" bestFit="1" customWidth="1"/>
    <col min="11" max="14" width="11.85546875" bestFit="1" customWidth="1"/>
    <col min="15" max="15" width="11.28515625" bestFit="1" customWidth="1"/>
    <col min="22" max="32" width="9.5703125" customWidth="1"/>
  </cols>
  <sheetData>
    <row r="2" spans="8:32" x14ac:dyDescent="0.25">
      <c r="K2" s="23" t="s">
        <v>25</v>
      </c>
    </row>
    <row r="3" spans="8:32" ht="45" x14ac:dyDescent="0.25">
      <c r="H3" s="19"/>
      <c r="I3" s="19" t="s">
        <v>13</v>
      </c>
      <c r="J3" s="19" t="s">
        <v>14</v>
      </c>
      <c r="K3" s="21" t="s">
        <v>17</v>
      </c>
      <c r="L3" s="21" t="s">
        <v>22</v>
      </c>
      <c r="M3" s="21" t="s">
        <v>23</v>
      </c>
      <c r="N3" s="21" t="s">
        <v>24</v>
      </c>
      <c r="O3" s="21" t="str">
        <f t="shared" ref="O3:U3" si="0">"Focus"&amp;CHAR(10)&amp;O4&amp;"m"</f>
        <v>Focus
-15m</v>
      </c>
      <c r="P3" s="21" t="str">
        <f t="shared" si="0"/>
        <v>Focus
-12m</v>
      </c>
      <c r="Q3" s="21" t="str">
        <f t="shared" si="0"/>
        <v>Focus
-9m</v>
      </c>
      <c r="R3" s="21" t="str">
        <f t="shared" si="0"/>
        <v>Focus
-6m</v>
      </c>
      <c r="S3" s="21" t="str">
        <f t="shared" si="0"/>
        <v>Focus
-3m</v>
      </c>
      <c r="T3" s="21" t="str">
        <f t="shared" si="0"/>
        <v>Focus
0m</v>
      </c>
      <c r="U3" s="21" t="str">
        <f t="shared" si="0"/>
        <v>Focus
2m</v>
      </c>
      <c r="V3" s="20" t="s">
        <v>18</v>
      </c>
      <c r="W3" s="20" t="s">
        <v>26</v>
      </c>
      <c r="X3" s="20" t="s">
        <v>27</v>
      </c>
      <c r="Y3" s="20" t="s">
        <v>28</v>
      </c>
      <c r="Z3" s="20" t="str">
        <f t="shared" ref="Z3:AF3" si="1">"Erro Focus"&amp;CHAR(10)&amp;Z4&amp;"m"</f>
        <v>Erro Focus
-15m</v>
      </c>
      <c r="AA3" s="20" t="str">
        <f t="shared" si="1"/>
        <v>Erro Focus
-12m</v>
      </c>
      <c r="AB3" s="20" t="str">
        <f t="shared" si="1"/>
        <v>Erro Focus
-9m</v>
      </c>
      <c r="AC3" s="20" t="str">
        <f t="shared" si="1"/>
        <v>Erro Focus
-6m</v>
      </c>
      <c r="AD3" s="20" t="str">
        <f t="shared" si="1"/>
        <v>Erro Focus
-3m</v>
      </c>
      <c r="AE3" s="20" t="str">
        <f t="shared" si="1"/>
        <v>Erro Focus
0m</v>
      </c>
      <c r="AF3" s="20" t="str">
        <f t="shared" si="1"/>
        <v>Erro Focus
2m</v>
      </c>
    </row>
    <row r="4" spans="8:32" x14ac:dyDescent="0.25">
      <c r="H4" s="18"/>
      <c r="I4" s="17"/>
      <c r="J4" s="17"/>
      <c r="K4" s="17" t="s">
        <v>9</v>
      </c>
      <c r="L4" s="17" t="s">
        <v>19</v>
      </c>
      <c r="M4" s="17" t="s">
        <v>20</v>
      </c>
      <c r="N4" s="17" t="s">
        <v>21</v>
      </c>
      <c r="O4" s="22">
        <v>-15</v>
      </c>
      <c r="P4" s="22">
        <v>-12</v>
      </c>
      <c r="Q4" s="22">
        <v>-9</v>
      </c>
      <c r="R4" s="22">
        <v>-6</v>
      </c>
      <c r="S4" s="22">
        <v>-3</v>
      </c>
      <c r="T4" s="22">
        <v>0</v>
      </c>
      <c r="U4" s="22">
        <v>2</v>
      </c>
      <c r="V4" s="17"/>
      <c r="W4" s="17"/>
      <c r="X4" s="17"/>
      <c r="Y4" s="17"/>
      <c r="Z4" s="17">
        <f t="shared" ref="Z4:AF4" si="2">O4</f>
        <v>-15</v>
      </c>
      <c r="AA4" s="17">
        <f t="shared" si="2"/>
        <v>-12</v>
      </c>
      <c r="AB4" s="17">
        <f t="shared" si="2"/>
        <v>-9</v>
      </c>
      <c r="AC4" s="17">
        <f t="shared" si="2"/>
        <v>-6</v>
      </c>
      <c r="AD4" s="17">
        <f t="shared" si="2"/>
        <v>-3</v>
      </c>
      <c r="AE4" s="17">
        <f t="shared" si="2"/>
        <v>0</v>
      </c>
      <c r="AF4" s="17">
        <f t="shared" si="2"/>
        <v>2</v>
      </c>
    </row>
    <row r="5" spans="8:32" x14ac:dyDescent="0.25">
      <c r="H5" s="18">
        <v>0</v>
      </c>
      <c r="I5" s="16">
        <v>38718</v>
      </c>
      <c r="J5" s="6">
        <f>SUMIFS($B$29:$B$135, $A$29:$A$135, "&gt;=" &amp; DATE(YEAR($I5),1,1), $A$29:$A$135, "&lt;=" &amp; DATE(YEAR($I5),12,31))  / SUMIFS($B$29:$B$135, $A$29:$A$135, "&gt;=" &amp; DATE(YEAR($I5)-1,1,1), $A$29:$A$135, "&lt;=" &amp; DATE(YEAR($I5)-1,12,31)) - 1</f>
        <v>3.9766081871345005E-2</v>
      </c>
      <c r="K5" s="24">
        <v>2.6705653021442677E-2</v>
      </c>
      <c r="L5" s="24">
        <v>1.6374269005848152E-2</v>
      </c>
      <c r="M5" s="24">
        <v>1.2865497076023136E-2</v>
      </c>
      <c r="N5" s="24">
        <v>2.2222222222222143E-2</v>
      </c>
      <c r="O5" s="6" cm="1">
        <f t="array" ref="O5">UltimoValor(xlFOCUS_ExpectativasAnuais("PIB Total",,DATE(YEAR($I5),1,1),EDATE(DATE(YEAR($I5),12,1),O$4),EDATE(DATE(YEAR($I5),12,31),O$4),0,"Mediana"))/100</f>
        <v>3.5000000000000003E-2</v>
      </c>
      <c r="P5" s="6" cm="1">
        <f t="array" ref="P5">UltimoValor(xlFOCUS_ExpectativasAnuais("PIB Total",,DATE(YEAR($I5),1,1),EDATE(DATE(YEAR($I5),12,1),P$4),EDATE(DATE(YEAR($I5),12,31),P$4),0,"Mediana"))/100</f>
        <v>3.5000000000000003E-2</v>
      </c>
      <c r="Q5" s="6" cm="1">
        <f t="array" ref="Q5">UltimoValor(xlFOCUS_ExpectativasAnuais("PIB Total",,DATE(YEAR($I5),1,1),EDATE(DATE(YEAR($I5),12,1),Q$4),EDATE(DATE(YEAR($I5),12,31),Q$4),0,"Mediana"))/100</f>
        <v>3.5000000000000003E-2</v>
      </c>
      <c r="R5" s="6" cm="1">
        <f t="array" ref="R5">UltimoValor(xlFOCUS_ExpectativasAnuais("PIB Total",,DATE(YEAR($I5),1,1),EDATE(DATE(YEAR($I5),12,1),R$4),EDATE(DATE(YEAR($I5),12,31),R$4),0,"Mediana"))/100</f>
        <v>3.6000000000000004E-2</v>
      </c>
      <c r="S5" s="6" cm="1">
        <f t="array" ref="S5">UltimoValor(xlFOCUS_ExpectativasAnuais("PIB Total",,DATE(YEAR($I5),1,1),EDATE(DATE(YEAR($I5),12,1),S$4),EDATE(DATE(YEAR($I5),12,31),S$4),0,"Mediana"))/100</f>
        <v>3.0899999999999997E-2</v>
      </c>
      <c r="T5" s="6" cm="1">
        <f t="array" ref="T5">UltimoValor(xlFOCUS_ExpectativasAnuais("PIB Total",,DATE(YEAR($I5),1,1),EDATE(DATE(YEAR($I5),12,1),T$4),EDATE(DATE(YEAR($I5),12,31),T$4),0,"Mediana"))/100</f>
        <v>2.7400000000000001E-2</v>
      </c>
      <c r="U5" s="6" cm="1">
        <f t="array" ref="U5">UltimoValor(xlFOCUS_ExpectativasAnuais("PIB Total",,DATE(YEAR($I5),1,1),EDATE(DATE(YEAR($I5),12,1),U$4),EDATE(DATE(YEAR($I5),12,31),U$4),0,"Mediana"))/100</f>
        <v>2.7099999999999999E-2</v>
      </c>
      <c r="V5" s="11">
        <f t="shared" ref="V5:V19" si="3">$J5-K5</f>
        <v>1.3060428849902328E-2</v>
      </c>
      <c r="W5" s="11">
        <f t="shared" ref="W5:W19" si="4">$J5-L5</f>
        <v>2.3391812865496853E-2</v>
      </c>
      <c r="X5" s="11">
        <f t="shared" ref="X5:X19" si="5">$J5-M5</f>
        <v>2.6900584795321869E-2</v>
      </c>
      <c r="Y5" s="11">
        <f t="shared" ref="Y5:Y19" si="6">$J5-N5</f>
        <v>1.7543859649122862E-2</v>
      </c>
      <c r="Z5" s="11">
        <f t="shared" ref="Z5:Z19" si="7">$J5-O5</f>
        <v>4.7660818713450015E-3</v>
      </c>
      <c r="AA5" s="11">
        <f t="shared" ref="AA5:AA19" si="8">$J5-P5</f>
        <v>4.7660818713450015E-3</v>
      </c>
      <c r="AB5" s="11">
        <f t="shared" ref="AB5:AB19" si="9">$J5-Q5</f>
        <v>4.7660818713450015E-3</v>
      </c>
      <c r="AC5" s="11">
        <f t="shared" ref="AC5:AC19" si="10">$J5-R5</f>
        <v>3.7660818713450006E-3</v>
      </c>
      <c r="AD5" s="11">
        <f t="shared" ref="AD5:AD19" si="11">$J5-S5</f>
        <v>8.8660818713450079E-3</v>
      </c>
      <c r="AE5" s="11">
        <f t="shared" ref="AE5:AE19" si="12">$J5-T5</f>
        <v>1.2366081871345004E-2</v>
      </c>
      <c r="AF5" s="11">
        <f t="shared" ref="AF5:AF19" si="13">$J5-U5</f>
        <v>1.2666081871345006E-2</v>
      </c>
    </row>
    <row r="6" spans="8:32" x14ac:dyDescent="0.25">
      <c r="H6" s="18">
        <v>1</v>
      </c>
      <c r="I6" s="16">
        <v>39083</v>
      </c>
      <c r="J6" s="6">
        <f t="shared" ref="J5:J19" si="14">SUMIFS($B$29:$B$135, $A$29:$A$135, "&gt;=" &amp; DATE(YEAR($I6),1,1), $A$29:$A$135, "&lt;=" &amp; DATE(YEAR($I6),12,31))  / SUMIFS($B$29:$B$135, $A$29:$A$135, "&gt;=" &amp; DATE(YEAR($I6)-1,1,1), $A$29:$A$135, "&lt;=" &amp; DATE(YEAR($I6)-1,12,31)) - 1</f>
        <v>6.074240719910029E-2</v>
      </c>
      <c r="K6" s="24">
        <v>4.7619047619047672E-2</v>
      </c>
      <c r="L6" s="24">
        <v>3.3370828646419382E-2</v>
      </c>
      <c r="M6" s="24">
        <v>3.0183727034120755E-2</v>
      </c>
      <c r="N6" s="24">
        <v>4.0307461567304248E-2</v>
      </c>
      <c r="O6" s="6" cm="1">
        <f t="array" ref="O6">UltimoValor(xlFOCUS_ExpectativasAnuais("PIB Total",,DATE(YEAR($I6),1,1),EDATE(DATE(YEAR($I6),12,1),O$4),EDATE(DATE(YEAR($I6),12,31),O$4),0,"Mediana"))/100</f>
        <v>3.5000000000000003E-2</v>
      </c>
      <c r="P6" s="6" cm="1">
        <f t="array" ref="P6">UltimoValor(xlFOCUS_ExpectativasAnuais("PIB Total",,DATE(YEAR($I6),1,1),EDATE(DATE(YEAR($I6),12,1),P$4),EDATE(DATE(YEAR($I6),12,31),P$4),0,"Mediana"))/100</f>
        <v>3.5000000000000003E-2</v>
      </c>
      <c r="Q6" s="6" cm="1">
        <f t="array" ref="Q6">UltimoValor(xlFOCUS_ExpectativasAnuais("PIB Total",,DATE(YEAR($I6),1,1),EDATE(DATE(YEAR($I6),12,1),Q$4),EDATE(DATE(YEAR($I6),12,31),Q$4),0,"Mediana"))/100</f>
        <v>3.5099999999999999E-2</v>
      </c>
      <c r="R6" s="6" cm="1">
        <f t="array" ref="R6">UltimoValor(xlFOCUS_ExpectativasAnuais("PIB Total",,DATE(YEAR($I6),1,1),EDATE(DATE(YEAR($I6),12,1),R$4),EDATE(DATE(YEAR($I6),12,31),R$4),0,"Mediana"))/100</f>
        <v>4.3400000000000001E-2</v>
      </c>
      <c r="S6" s="6" cm="1">
        <f t="array" ref="S6">UltimoValor(xlFOCUS_ExpectativasAnuais("PIB Total",,DATE(YEAR($I6),1,1),EDATE(DATE(YEAR($I6),12,1),S$4),EDATE(DATE(YEAR($I6),12,31),S$4),0,"Mediana"))/100</f>
        <v>4.7E-2</v>
      </c>
      <c r="T6" s="6" cm="1">
        <f t="array" ref="T6">UltimoValor(xlFOCUS_ExpectativasAnuais("PIB Total",,DATE(YEAR($I6),1,1),EDATE(DATE(YEAR($I6),12,1),T$4),EDATE(DATE(YEAR($I6),12,31),T$4),0,"Mediana"))/100</f>
        <v>5.2000000000000005E-2</v>
      </c>
      <c r="U6" s="6" cm="1">
        <f t="array" ref="U6">UltimoValor(xlFOCUS_ExpectativasAnuais("PIB Total",,DATE(YEAR($I6),1,1),EDATE(DATE(YEAR($I6),12,1),U$4),EDATE(DATE(YEAR($I6),12,31),U$4),0,"Mediana"))/100</f>
        <v>5.2400000000000002E-2</v>
      </c>
      <c r="V6" s="11">
        <f t="shared" si="3"/>
        <v>1.3123359580052618E-2</v>
      </c>
      <c r="W6" s="11">
        <f t="shared" si="4"/>
        <v>2.7371578552680909E-2</v>
      </c>
      <c r="X6" s="11">
        <f t="shared" si="5"/>
        <v>3.0558680164979535E-2</v>
      </c>
      <c r="Y6" s="11">
        <f t="shared" si="6"/>
        <v>2.0434945631796042E-2</v>
      </c>
      <c r="Z6" s="11">
        <f t="shared" si="7"/>
        <v>2.5742407199100287E-2</v>
      </c>
      <c r="AA6" s="11">
        <f t="shared" si="8"/>
        <v>2.5742407199100287E-2</v>
      </c>
      <c r="AB6" s="11">
        <f t="shared" si="9"/>
        <v>2.5642407199100291E-2</v>
      </c>
      <c r="AC6" s="11">
        <f t="shared" si="10"/>
        <v>1.7342407199100289E-2</v>
      </c>
      <c r="AD6" s="11">
        <f t="shared" si="11"/>
        <v>1.374240719910029E-2</v>
      </c>
      <c r="AE6" s="11">
        <f t="shared" si="12"/>
        <v>8.7424071991002855E-3</v>
      </c>
      <c r="AF6" s="11">
        <f t="shared" si="13"/>
        <v>8.3424071991002879E-3</v>
      </c>
    </row>
    <row r="7" spans="8:32" x14ac:dyDescent="0.25">
      <c r="H7" s="18">
        <v>2</v>
      </c>
      <c r="I7" s="16">
        <v>39448</v>
      </c>
      <c r="J7" s="6">
        <f t="shared" si="14"/>
        <v>5.0901378579002898E-2</v>
      </c>
      <c r="K7" s="24">
        <v>5.3022269353128149E-2</v>
      </c>
      <c r="L7" s="24">
        <v>3.7645811240720972E-2</v>
      </c>
      <c r="M7" s="24">
        <v>3.30505478967833E-2</v>
      </c>
      <c r="N7" s="24">
        <v>4.5245669848002379E-2</v>
      </c>
      <c r="O7" s="6" cm="1">
        <f t="array" ref="O7">UltimoValor(xlFOCUS_ExpectativasAnuais("PIB Total",,DATE(YEAR($I7),1,1),EDATE(DATE(YEAR($I7),12,1),O$4),EDATE(DATE(YEAR($I7),12,31),O$4),0,"Mediana"))/100</f>
        <v>4.4000000000000004E-2</v>
      </c>
      <c r="P7" s="6" cm="1">
        <f t="array" ref="P7">UltimoValor(xlFOCUS_ExpectativasAnuais("PIB Total",,DATE(YEAR($I7),1,1),EDATE(DATE(YEAR($I7),12,1),P$4),EDATE(DATE(YEAR($I7),12,31),P$4),0,"Mediana"))/100</f>
        <v>4.4999999999999998E-2</v>
      </c>
      <c r="Q7" s="6" cm="1">
        <f t="array" ref="Q7">UltimoValor(xlFOCUS_ExpectativasAnuais("PIB Total",,DATE(YEAR($I7),1,1),EDATE(DATE(YEAR($I7),12,1),Q$4),EDATE(DATE(YEAR($I7),12,31),Q$4),0,"Mediana"))/100</f>
        <v>4.58E-2</v>
      </c>
      <c r="R7" s="6" cm="1">
        <f t="array" ref="R7">UltimoValor(xlFOCUS_ExpectativasAnuais("PIB Total",,DATE(YEAR($I7),1,1),EDATE(DATE(YEAR($I7),12,1),R$4),EDATE(DATE(YEAR($I7),12,31),R$4),0,"Mediana"))/100</f>
        <v>4.8000000000000001E-2</v>
      </c>
      <c r="S7" s="6" cm="1">
        <f t="array" ref="S7">UltimoValor(xlFOCUS_ExpectativasAnuais("PIB Total",,DATE(YEAR($I7),1,1),EDATE(DATE(YEAR($I7),12,1),S$4),EDATE(DATE(YEAR($I7),12,31),S$4),0,"Mediana"))/100</f>
        <v>5.2000000000000005E-2</v>
      </c>
      <c r="T7" s="6" cm="1">
        <f t="array" ref="T7">UltimoValor(xlFOCUS_ExpectativasAnuais("PIB Total",,DATE(YEAR($I7),1,1),EDATE(DATE(YEAR($I7),12,1),T$4),EDATE(DATE(YEAR($I7),12,31),T$4),0,"Mediana"))/100</f>
        <v>5.5999999999999994E-2</v>
      </c>
      <c r="U7" s="6" cm="1">
        <f t="array" ref="U7">UltimoValor(xlFOCUS_ExpectativasAnuais("PIB Total",,DATE(YEAR($I7),1,1),EDATE(DATE(YEAR($I7),12,1),U$4),EDATE(DATE(YEAR($I7),12,31),U$4),0,"Mediana"))/100</f>
        <v>5.21E-2</v>
      </c>
      <c r="V7" s="11">
        <f t="shared" si="3"/>
        <v>-2.1208907741252503E-3</v>
      </c>
      <c r="W7" s="11">
        <f t="shared" si="4"/>
        <v>1.3255567338281926E-2</v>
      </c>
      <c r="X7" s="11">
        <f t="shared" si="5"/>
        <v>1.7850830682219598E-2</v>
      </c>
      <c r="Y7" s="11">
        <f t="shared" si="6"/>
        <v>5.6557087310005194E-3</v>
      </c>
      <c r="Z7" s="11">
        <f t="shared" si="7"/>
        <v>6.9013785790028939E-3</v>
      </c>
      <c r="AA7" s="11">
        <f t="shared" si="8"/>
        <v>5.9013785790029E-3</v>
      </c>
      <c r="AB7" s="11">
        <f t="shared" si="9"/>
        <v>5.1013785790028979E-3</v>
      </c>
      <c r="AC7" s="11">
        <f t="shared" si="10"/>
        <v>2.9013785790028973E-3</v>
      </c>
      <c r="AD7" s="11">
        <f t="shared" si="11"/>
        <v>-1.0986214209971062E-3</v>
      </c>
      <c r="AE7" s="11">
        <f t="shared" si="12"/>
        <v>-5.0986214209970959E-3</v>
      </c>
      <c r="AF7" s="11">
        <f t="shared" si="13"/>
        <v>-1.1986214209971022E-3</v>
      </c>
    </row>
    <row r="8" spans="8:32" x14ac:dyDescent="0.25">
      <c r="H8" s="18">
        <v>3</v>
      </c>
      <c r="I8" s="16">
        <v>39814</v>
      </c>
      <c r="J8" s="6">
        <f t="shared" si="14"/>
        <v>-1.1772620248903243E-3</v>
      </c>
      <c r="K8" s="24">
        <v>1.1772620248907018E-2</v>
      </c>
      <c r="L8" s="24">
        <v>-7.3999327278840843E-3</v>
      </c>
      <c r="M8" s="24">
        <v>-2.102253615876204E-2</v>
      </c>
      <c r="N8" s="24">
        <v>-1.8668012108980725E-2</v>
      </c>
      <c r="O8" s="6" cm="1">
        <f t="array" ref="O8">UltimoValor(xlFOCUS_ExpectativasAnuais("PIB Total",,DATE(YEAR($I8),1,1),EDATE(DATE(YEAR($I8),12,1),O$4),EDATE(DATE(YEAR($I8),12,31),O$4),0,"Mediana"))/100</f>
        <v>3.5000000000000003E-2</v>
      </c>
      <c r="P8" s="6" cm="1">
        <f t="array" ref="P8">UltimoValor(xlFOCUS_ExpectativasAnuais("PIB Total",,DATE(YEAR($I8),1,1),EDATE(DATE(YEAR($I8),12,1),P$4),EDATE(DATE(YEAR($I8),12,31),P$4),0,"Mediana"))/100</f>
        <v>2.35E-2</v>
      </c>
      <c r="Q8" s="6" cm="1">
        <f t="array" ref="Q8">UltimoValor(xlFOCUS_ExpectativasAnuais("PIB Total",,DATE(YEAR($I8),1,1),EDATE(DATE(YEAR($I8),12,1),Q$4),EDATE(DATE(YEAR($I8),12,31),Q$4),0,"Mediana"))/100</f>
        <v>-2.0000000000000001E-4</v>
      </c>
      <c r="R8" s="6" cm="1">
        <f t="array" ref="R8">UltimoValor(xlFOCUS_ExpectativasAnuais("PIB Total",,DATE(YEAR($I8),1,1),EDATE(DATE(YEAR($I8),12,1),R$4),EDATE(DATE(YEAR($I8),12,31),R$4),0,"Mediana"))/100</f>
        <v>-4.8999999999999998E-3</v>
      </c>
      <c r="S8" s="6" cm="1">
        <f t="array" ref="S8">UltimoValor(xlFOCUS_ExpectativasAnuais("PIB Total",,DATE(YEAR($I8),1,1),EDATE(DATE(YEAR($I8),12,1),S$4),EDATE(DATE(YEAR($I8),12,31),S$4),0,"Mediana"))/100</f>
        <v>0</v>
      </c>
      <c r="T8" s="6" cm="1">
        <f t="array" ref="T8">UltimoValor(xlFOCUS_ExpectativasAnuais("PIB Total",,DATE(YEAR($I8),1,1),EDATE(DATE(YEAR($I8),12,1),T$4),EDATE(DATE(YEAR($I8),12,31),T$4),0,"Mediana"))/100</f>
        <v>-2.3999999999999998E-3</v>
      </c>
      <c r="U8" s="6" cm="1">
        <f t="array" ref="U8">UltimoValor(xlFOCUS_ExpectativasAnuais("PIB Total",,DATE(YEAR($I8),1,1),EDATE(DATE(YEAR($I8),12,1),U$4),EDATE(DATE(YEAR($I8),12,31),U$4),0,"Mediana"))/100</f>
        <v>-2E-3</v>
      </c>
      <c r="V8" s="11">
        <f t="shared" si="3"/>
        <v>-1.2949882273797342E-2</v>
      </c>
      <c r="W8" s="11">
        <f t="shared" si="4"/>
        <v>6.22267070299376E-3</v>
      </c>
      <c r="X8" s="11">
        <f t="shared" si="5"/>
        <v>1.9845274133871715E-2</v>
      </c>
      <c r="Y8" s="11">
        <f t="shared" si="6"/>
        <v>1.7490750084090401E-2</v>
      </c>
      <c r="Z8" s="11">
        <f t="shared" si="7"/>
        <v>-3.6177262024890328E-2</v>
      </c>
      <c r="AA8" s="11">
        <f t="shared" si="8"/>
        <v>-2.4677262024890324E-2</v>
      </c>
      <c r="AB8" s="11">
        <f t="shared" si="9"/>
        <v>-9.7726202489032419E-4</v>
      </c>
      <c r="AC8" s="11">
        <f t="shared" si="10"/>
        <v>3.7227379751096756E-3</v>
      </c>
      <c r="AD8" s="11">
        <f t="shared" si="11"/>
        <v>-1.1772620248903243E-3</v>
      </c>
      <c r="AE8" s="11">
        <f t="shared" si="12"/>
        <v>1.2227379751096755E-3</v>
      </c>
      <c r="AF8" s="11">
        <f t="shared" si="13"/>
        <v>8.2273797510967576E-4</v>
      </c>
    </row>
    <row r="9" spans="8:32" x14ac:dyDescent="0.25">
      <c r="H9" s="18">
        <v>4</v>
      </c>
      <c r="I9" s="16">
        <v>40179</v>
      </c>
      <c r="J9" s="6">
        <f t="shared" si="14"/>
        <v>7.5096817646068237E-2</v>
      </c>
      <c r="K9" s="24">
        <v>6.2300050513554472E-2</v>
      </c>
      <c r="L9" s="24">
        <v>4.5125441993601578E-2</v>
      </c>
      <c r="M9" s="24">
        <v>3.9232193972049023E-2</v>
      </c>
      <c r="N9" s="24">
        <v>5.135544704495687E-2</v>
      </c>
      <c r="O9" s="6" cm="1">
        <f t="array" ref="O9">UltimoValor(xlFOCUS_ExpectativasAnuais("PIB Total",,DATE(YEAR($I9),1,1),EDATE(DATE(YEAR($I9),12,1),O$4),EDATE(DATE(YEAR($I9),12,31),O$4),0,"Mediana"))/100</f>
        <v>4.4999999999999998E-2</v>
      </c>
      <c r="P9" s="6" cm="1">
        <f t="array" ref="P9">UltimoValor(xlFOCUS_ExpectativasAnuais("PIB Total",,DATE(YEAR($I9),1,1),EDATE(DATE(YEAR($I9),12,1),P$4),EDATE(DATE(YEAR($I9),12,31),P$4),0,"Mediana"))/100</f>
        <v>5.2000000000000005E-2</v>
      </c>
      <c r="Q9" s="6" cm="1">
        <f t="array" ref="Q9">UltimoValor(xlFOCUS_ExpectativasAnuais("PIB Total",,DATE(YEAR($I9),1,1),EDATE(DATE(YEAR($I9),12,1),Q$4),EDATE(DATE(YEAR($I9),12,31),Q$4),0,"Mediana"))/100</f>
        <v>5.5199999999999999E-2</v>
      </c>
      <c r="R9" s="6" cm="1">
        <f t="array" ref="R9">UltimoValor(xlFOCUS_ExpectativasAnuais("PIB Total",,DATE(YEAR($I9),1,1),EDATE(DATE(YEAR($I9),12,1),R$4),EDATE(DATE(YEAR($I9),12,31),R$4),0,"Mediana"))/100</f>
        <v>7.1800000000000003E-2</v>
      </c>
      <c r="S9" s="6" cm="1">
        <f t="array" ref="S9">UltimoValor(xlFOCUS_ExpectativasAnuais("PIB Total",,DATE(YEAR($I9),1,1),EDATE(DATE(YEAR($I9),12,1),S$4),EDATE(DATE(YEAR($I9),12,31),S$4),0,"Mediana"))/100</f>
        <v>7.5499999999999998E-2</v>
      </c>
      <c r="T9" s="6" cm="1">
        <f t="array" ref="T9">UltimoValor(xlFOCUS_ExpectativasAnuais("PIB Total",,DATE(YEAR($I9),1,1),EDATE(DATE(YEAR($I9),12,1),T$4),EDATE(DATE(YEAR($I9),12,31),T$4),0,"Mediana"))/100</f>
        <v>7.6100000000000001E-2</v>
      </c>
      <c r="U9" s="6" cm="1">
        <f t="array" ref="U9">UltimoValor(xlFOCUS_ExpectativasAnuais("PIB Total",,DATE(YEAR($I9),1,1),EDATE(DATE(YEAR($I9),12,1),U$4),EDATE(DATE(YEAR($I9),12,31),U$4),0,"Mediana"))/100</f>
        <v>7.5999999999999998E-2</v>
      </c>
      <c r="V9" s="11">
        <f t="shared" si="3"/>
        <v>1.2796767132513764E-2</v>
      </c>
      <c r="W9" s="11">
        <f t="shared" si="4"/>
        <v>2.9971375652466659E-2</v>
      </c>
      <c r="X9" s="11">
        <f t="shared" si="5"/>
        <v>3.5864623674019214E-2</v>
      </c>
      <c r="Y9" s="11">
        <f t="shared" si="6"/>
        <v>2.3741370601111367E-2</v>
      </c>
      <c r="Z9" s="11">
        <f t="shared" si="7"/>
        <v>3.0096817646068239E-2</v>
      </c>
      <c r="AA9" s="11">
        <f t="shared" si="8"/>
        <v>2.3096817646068232E-2</v>
      </c>
      <c r="AB9" s="11">
        <f t="shared" si="9"/>
        <v>1.9896817646068238E-2</v>
      </c>
      <c r="AC9" s="11">
        <f t="shared" si="10"/>
        <v>3.2968176460682341E-3</v>
      </c>
      <c r="AD9" s="11">
        <f t="shared" si="11"/>
        <v>-4.0318235393176083E-4</v>
      </c>
      <c r="AE9" s="11">
        <f t="shared" si="12"/>
        <v>-1.0031823539317641E-3</v>
      </c>
      <c r="AF9" s="11">
        <f t="shared" si="13"/>
        <v>-9.0318235393176127E-4</v>
      </c>
    </row>
    <row r="10" spans="8:32" x14ac:dyDescent="0.25">
      <c r="H10" s="18">
        <v>5</v>
      </c>
      <c r="I10" s="16">
        <v>40544</v>
      </c>
      <c r="J10" s="6">
        <f t="shared" si="14"/>
        <v>3.9780736100235137E-2</v>
      </c>
      <c r="K10" s="24">
        <v>4.6515270164447786E-2</v>
      </c>
      <c r="L10" s="24">
        <v>3.0227094753328076E-2</v>
      </c>
      <c r="M10" s="24">
        <v>2.1299921691464219E-2</v>
      </c>
      <c r="N10" s="24">
        <v>2.631166797180895E-2</v>
      </c>
      <c r="O10" s="6" cm="1">
        <f t="array" ref="O10">UltimoValor(xlFOCUS_ExpectativasAnuais("PIB Total",,DATE(YEAR($I10),1,1),EDATE(DATE(YEAR($I10),12,1),O$4),EDATE(DATE(YEAR($I10),12,31),O$4),0,"Mediana"))/100</f>
        <v>4.4999999999999998E-2</v>
      </c>
      <c r="P10" s="6" cm="1">
        <f t="array" ref="P10">UltimoValor(xlFOCUS_ExpectativasAnuais("PIB Total",,DATE(YEAR($I10),1,1),EDATE(DATE(YEAR($I10),12,1),P$4),EDATE(DATE(YEAR($I10),12,31),P$4),0,"Mediana"))/100</f>
        <v>4.4999999999999998E-2</v>
      </c>
      <c r="Q10" s="6" cm="1">
        <f t="array" ref="Q10">UltimoValor(xlFOCUS_ExpectativasAnuais("PIB Total",,DATE(YEAR($I10),1,1),EDATE(DATE(YEAR($I10),12,1),Q$4),EDATE(DATE(YEAR($I10),12,31),Q$4),0,"Mediana"))/100</f>
        <v>0.04</v>
      </c>
      <c r="R10" s="6" cm="1">
        <f t="array" ref="R10">UltimoValor(xlFOCUS_ExpectativasAnuais("PIB Total",,DATE(YEAR($I10),1,1),EDATE(DATE(YEAR($I10),12,1),R$4),EDATE(DATE(YEAR($I10),12,31),R$4),0,"Mediana"))/100</f>
        <v>3.9399999999999998E-2</v>
      </c>
      <c r="S10" s="6" cm="1">
        <f t="array" ref="S10">UltimoValor(xlFOCUS_ExpectativasAnuais("PIB Total",,DATE(YEAR($I10),1,1),EDATE(DATE(YEAR($I10),12,1),S$4),EDATE(DATE(YEAR($I10),12,31),S$4),0,"Mediana"))/100</f>
        <v>3.5099999999999999E-2</v>
      </c>
      <c r="T10" s="6" cm="1">
        <f t="array" ref="T10">UltimoValor(xlFOCUS_ExpectativasAnuais("PIB Total",,DATE(YEAR($I10),1,1),EDATE(DATE(YEAR($I10),12,1),T$4),EDATE(DATE(YEAR($I10),12,31),T$4),0,"Mediana"))/100</f>
        <v>2.87E-2</v>
      </c>
      <c r="U10" s="6" cm="1">
        <f t="array" ref="U10">UltimoValor(xlFOCUS_ExpectativasAnuais("PIB Total",,DATE(YEAR($I10),1,1),EDATE(DATE(YEAR($I10),12,1),U$4),EDATE(DATE(YEAR($I10),12,31),U$4),0,"Mediana"))/100</f>
        <v>2.8199999999999999E-2</v>
      </c>
      <c r="V10" s="11">
        <f t="shared" si="3"/>
        <v>-6.7345340642126494E-3</v>
      </c>
      <c r="W10" s="11">
        <f t="shared" si="4"/>
        <v>9.5536413469070602E-3</v>
      </c>
      <c r="X10" s="11">
        <f t="shared" si="5"/>
        <v>1.8480814408770918E-2</v>
      </c>
      <c r="Y10" s="11">
        <f t="shared" si="6"/>
        <v>1.3469068128426187E-2</v>
      </c>
      <c r="Z10" s="11">
        <f t="shared" si="7"/>
        <v>-5.2192638997648616E-3</v>
      </c>
      <c r="AA10" s="11">
        <f t="shared" si="8"/>
        <v>-5.2192638997648616E-3</v>
      </c>
      <c r="AB10" s="11">
        <f t="shared" si="9"/>
        <v>-2.192638997648641E-4</v>
      </c>
      <c r="AC10" s="11">
        <f t="shared" si="10"/>
        <v>3.8073610023513921E-4</v>
      </c>
      <c r="AD10" s="11">
        <f t="shared" si="11"/>
        <v>4.6807361002351375E-3</v>
      </c>
      <c r="AE10" s="11">
        <f t="shared" si="12"/>
        <v>1.1080736100235137E-2</v>
      </c>
      <c r="AF10" s="11">
        <f t="shared" si="13"/>
        <v>1.1580736100235137E-2</v>
      </c>
    </row>
    <row r="11" spans="8:32" x14ac:dyDescent="0.25">
      <c r="H11" s="18">
        <v>6</v>
      </c>
      <c r="I11" s="16">
        <v>40909</v>
      </c>
      <c r="J11" s="6">
        <f t="shared" si="14"/>
        <v>1.9280012050007178E-2</v>
      </c>
      <c r="K11" s="24">
        <v>3.765627353517087E-2</v>
      </c>
      <c r="L11" s="24">
        <v>1.8376261485163248E-2</v>
      </c>
      <c r="M11" s="24">
        <v>7.2300045187527751E-3</v>
      </c>
      <c r="N11" s="24">
        <v>1.0091881307425554E-2</v>
      </c>
      <c r="O11" s="6" cm="1">
        <f t="array" ref="O11">UltimoValor(xlFOCUS_ExpectativasAnuais("PIB Total",,DATE(YEAR($I11),1,1),EDATE(DATE(YEAR($I11),12,1),O$4),EDATE(DATE(YEAR($I11),12,31),O$4),0,"Mediana"))/100</f>
        <v>3.7000000000000005E-2</v>
      </c>
      <c r="P11" s="6" cm="1">
        <f t="array" ref="P11">UltimoValor(xlFOCUS_ExpectativasAnuais("PIB Total",,DATE(YEAR($I11),1,1),EDATE(DATE(YEAR($I11),12,1),P$4),EDATE(DATE(YEAR($I11),12,31),P$4),0,"Mediana"))/100</f>
        <v>3.3000000000000002E-2</v>
      </c>
      <c r="Q11" s="6" cm="1">
        <f t="array" ref="Q11">UltimoValor(xlFOCUS_ExpectativasAnuais("PIB Total",,DATE(YEAR($I11),1,1),EDATE(DATE(YEAR($I11),12,1),Q$4),EDATE(DATE(YEAR($I11),12,31),Q$4),0,"Mediana"))/100</f>
        <v>3.2000000000000001E-2</v>
      </c>
      <c r="R11" s="6" cm="1">
        <f t="array" ref="R11">UltimoValor(xlFOCUS_ExpectativasAnuais("PIB Total",,DATE(YEAR($I11),1,1),EDATE(DATE(YEAR($I11),12,1),R$4),EDATE(DATE(YEAR($I11),12,31),R$4),0,"Mediana"))/100</f>
        <v>2.0499999999999997E-2</v>
      </c>
      <c r="S11" s="6" cm="1">
        <f t="array" ref="S11">UltimoValor(xlFOCUS_ExpectativasAnuais("PIB Total",,DATE(YEAR($I11),1,1),EDATE(DATE(YEAR($I11),12,1),S$4),EDATE(DATE(YEAR($I11),12,31),S$4),0,"Mediana"))/100</f>
        <v>1.5700000000000002E-2</v>
      </c>
      <c r="T11" s="6" cm="1">
        <f t="array" ref="T11">UltimoValor(xlFOCUS_ExpectativasAnuais("PIB Total",,DATE(YEAR($I11),1,1),EDATE(DATE(YEAR($I11),12,1),T$4),EDATE(DATE(YEAR($I11),12,31),T$4),0,"Mediana"))/100</f>
        <v>9.7999999999999997E-3</v>
      </c>
      <c r="U11" s="6" cm="1">
        <f t="array" ref="U11">UltimoValor(xlFOCUS_ExpectativasAnuais("PIB Total",,DATE(YEAR($I11),1,1),EDATE(DATE(YEAR($I11),12,1),U$4),EDATE(DATE(YEAR($I11),12,31),U$4),0,"Mediana"))/100</f>
        <v>9.4999999999999998E-3</v>
      </c>
      <c r="V11" s="11">
        <f t="shared" si="3"/>
        <v>-1.8376261485163692E-2</v>
      </c>
      <c r="W11" s="11">
        <f t="shared" si="4"/>
        <v>9.0375056484393035E-4</v>
      </c>
      <c r="X11" s="11">
        <f t="shared" si="5"/>
        <v>1.2050007531254403E-2</v>
      </c>
      <c r="Y11" s="11">
        <f t="shared" si="6"/>
        <v>9.1881307425816239E-3</v>
      </c>
      <c r="Z11" s="11">
        <f t="shared" si="7"/>
        <v>-1.7719987949992827E-2</v>
      </c>
      <c r="AA11" s="11">
        <f t="shared" si="8"/>
        <v>-1.3719987949992823E-2</v>
      </c>
      <c r="AB11" s="11">
        <f t="shared" si="9"/>
        <v>-1.2719987949992823E-2</v>
      </c>
      <c r="AC11" s="11">
        <f t="shared" si="10"/>
        <v>-1.2199879499928193E-3</v>
      </c>
      <c r="AD11" s="11">
        <f t="shared" si="11"/>
        <v>3.580012050007176E-3</v>
      </c>
      <c r="AE11" s="11">
        <f t="shared" si="12"/>
        <v>9.4800120500071784E-3</v>
      </c>
      <c r="AF11" s="11">
        <f t="shared" si="13"/>
        <v>9.7800120500071783E-3</v>
      </c>
    </row>
    <row r="12" spans="8:32" x14ac:dyDescent="0.25">
      <c r="H12" s="18">
        <v>7</v>
      </c>
      <c r="I12" s="16">
        <v>41275</v>
      </c>
      <c r="J12" s="6">
        <f t="shared" si="14"/>
        <v>2.9998522240283876E-2</v>
      </c>
      <c r="K12" s="24">
        <v>3.1032954041672722E-2</v>
      </c>
      <c r="L12" s="24">
        <v>1.6255356878971394E-2</v>
      </c>
      <c r="M12" s="24">
        <v>1.0935421900398978E-2</v>
      </c>
      <c r="N12" s="24">
        <v>1.7880892566868756E-2</v>
      </c>
      <c r="O12" s="6" cm="1">
        <f t="array" ref="O12">UltimoValor(xlFOCUS_ExpectativasAnuais("PIB Total",,DATE(YEAR($I12),1,1),EDATE(DATE(YEAR($I12),12,1),O$4),EDATE(DATE(YEAR($I12),12,31),O$4),0,"Mediana"))/100</f>
        <v>0.04</v>
      </c>
      <c r="P12" s="6" cm="1">
        <f t="array" ref="P12">UltimoValor(xlFOCUS_ExpectativasAnuais("PIB Total",,DATE(YEAR($I12),1,1),EDATE(DATE(YEAR($I12),12,1),P$4),EDATE(DATE(YEAR($I12),12,31),P$4),0,"Mediana"))/100</f>
        <v>3.3000000000000002E-2</v>
      </c>
      <c r="Q12" s="6" cm="1">
        <f t="array" ref="Q12">UltimoValor(xlFOCUS_ExpectativasAnuais("PIB Total",,DATE(YEAR($I12),1,1),EDATE(DATE(YEAR($I12),12,1),Q$4),EDATE(DATE(YEAR($I12),12,31),Q$4),0,"Mediana"))/100</f>
        <v>3.0099999999999998E-2</v>
      </c>
      <c r="R12" s="6" cm="1">
        <f t="array" ref="R12">UltimoValor(xlFOCUS_ExpectativasAnuais("PIB Total",,DATE(YEAR($I12),1,1),EDATE(DATE(YEAR($I12),12,1),R$4),EDATE(DATE(YEAR($I12),12,31),R$4),0,"Mediana"))/100</f>
        <v>2.4E-2</v>
      </c>
      <c r="S12" s="6" cm="1">
        <f t="array" ref="S12">UltimoValor(xlFOCUS_ExpectativasAnuais("PIB Total",,DATE(YEAR($I12),1,1),EDATE(DATE(YEAR($I12),12,1),S$4),EDATE(DATE(YEAR($I12),12,31),S$4),0,"Mediana"))/100</f>
        <v>2.4500000000000001E-2</v>
      </c>
      <c r="T12" s="6" cm="1">
        <f t="array" ref="T12">UltimoValor(xlFOCUS_ExpectativasAnuais("PIB Total",,DATE(YEAR($I12),1,1),EDATE(DATE(YEAR($I12),12,1),T$4),EDATE(DATE(YEAR($I12),12,31),T$4),0,"Mediana"))/100</f>
        <v>2.3E-2</v>
      </c>
      <c r="U12" s="6" cm="1">
        <f t="array" ref="U12">UltimoValor(xlFOCUS_ExpectativasAnuais("PIB Total",,DATE(YEAR($I12),1,1),EDATE(DATE(YEAR($I12),12,1),U$4),EDATE(DATE(YEAR($I12),12,31),U$4),0,"Mediana"))/100</f>
        <v>2.2000000000000002E-2</v>
      </c>
      <c r="V12" s="11">
        <f t="shared" si="3"/>
        <v>-1.0344318013888465E-3</v>
      </c>
      <c r="W12" s="11">
        <f t="shared" si="4"/>
        <v>1.3743165361312482E-2</v>
      </c>
      <c r="X12" s="11">
        <f t="shared" si="5"/>
        <v>1.9063100339884897E-2</v>
      </c>
      <c r="Y12" s="11">
        <f t="shared" si="6"/>
        <v>1.211762967341512E-2</v>
      </c>
      <c r="Z12" s="11">
        <f t="shared" si="7"/>
        <v>-1.0001477759716125E-2</v>
      </c>
      <c r="AA12" s="11">
        <f t="shared" si="8"/>
        <v>-3.0014777597161257E-3</v>
      </c>
      <c r="AB12" s="11">
        <f t="shared" si="9"/>
        <v>-1.0147775971612247E-4</v>
      </c>
      <c r="AC12" s="11">
        <f t="shared" si="10"/>
        <v>5.9985222402838753E-3</v>
      </c>
      <c r="AD12" s="11">
        <f t="shared" si="11"/>
        <v>5.4985222402838749E-3</v>
      </c>
      <c r="AE12" s="11">
        <f t="shared" si="12"/>
        <v>6.9985222402838762E-3</v>
      </c>
      <c r="AF12" s="11">
        <f t="shared" si="13"/>
        <v>7.9985222402838736E-3</v>
      </c>
    </row>
    <row r="13" spans="8:32" x14ac:dyDescent="0.25">
      <c r="H13" s="18">
        <v>8</v>
      </c>
      <c r="I13" s="16">
        <v>41640</v>
      </c>
      <c r="J13" s="6">
        <f t="shared" si="14"/>
        <v>5.1649928263988176E-3</v>
      </c>
      <c r="K13" s="24">
        <v>2.81205164992826E-2</v>
      </c>
      <c r="L13" s="24">
        <v>1.6212338593974085E-2</v>
      </c>
      <c r="M13" s="24">
        <v>3.0129124820659214E-3</v>
      </c>
      <c r="N13" s="24">
        <v>1.0043041606886405E-3</v>
      </c>
      <c r="O13" s="6" cm="1">
        <f t="array" ref="O13">UltimoValor(xlFOCUS_ExpectativasAnuais("PIB Total",,DATE(YEAR($I13),1,1),EDATE(DATE(YEAR($I13),12,1),O$4),EDATE(DATE(YEAR($I13),12,31),O$4),0,"Mediana"))/100</f>
        <v>2.1700000000000001E-2</v>
      </c>
      <c r="P13" s="6" cm="1">
        <f t="array" ref="P13">UltimoValor(xlFOCUS_ExpectativasAnuais("PIB Total",,DATE(YEAR($I13),1,1),EDATE(DATE(YEAR($I13),12,1),P$4),EDATE(DATE(YEAR($I13),12,31),P$4),0,"Mediana"))/100</f>
        <v>0.02</v>
      </c>
      <c r="Q13" s="6" cm="1">
        <f t="array" ref="Q13">UltimoValor(xlFOCUS_ExpectativasAnuais("PIB Total",,DATE(YEAR($I13),1,1),EDATE(DATE(YEAR($I13),12,1),Q$4),EDATE(DATE(YEAR($I13),12,31),Q$4),0,"Mediana"))/100</f>
        <v>1.6500000000000001E-2</v>
      </c>
      <c r="R13" s="6" cm="1">
        <f t="array" ref="R13">UltimoValor(xlFOCUS_ExpectativasAnuais("PIB Total",,DATE(YEAR($I13),1,1),EDATE(DATE(YEAR($I13),12,1),R$4),EDATE(DATE(YEAR($I13),12,31),R$4),0,"Mediana"))/100</f>
        <v>1.0700000000000001E-2</v>
      </c>
      <c r="S13" s="6" cm="1">
        <f t="array" ref="S13">UltimoValor(xlFOCUS_ExpectativasAnuais("PIB Total",,DATE(YEAR($I13),1,1),EDATE(DATE(YEAR($I13),12,1),S$4),EDATE(DATE(YEAR($I13),12,31),S$4),0,"Mediana"))/100</f>
        <v>2.5999999999999999E-3</v>
      </c>
      <c r="T13" s="6" cm="1">
        <f t="array" ref="T13">UltimoValor(xlFOCUS_ExpectativasAnuais("PIB Total",,DATE(YEAR($I13),1,1),EDATE(DATE(YEAR($I13),12,1),T$4),EDATE(DATE(YEAR($I13),12,31),T$4),0,"Mediana"))/100</f>
        <v>1.5E-3</v>
      </c>
      <c r="U13" s="6" cm="1">
        <f t="array" ref="U13">UltimoValor(xlFOCUS_ExpectativasAnuais("PIB Total",,DATE(YEAR($I13),1,1),EDATE(DATE(YEAR($I13),12,1),U$4),EDATE(DATE(YEAR($I13),12,31),U$4),0,"Mediana"))/100</f>
        <v>0</v>
      </c>
      <c r="V13" s="11">
        <f t="shared" si="3"/>
        <v>-2.2955523672883782E-2</v>
      </c>
      <c r="W13" s="11">
        <f t="shared" si="4"/>
        <v>-1.1047345767575267E-2</v>
      </c>
      <c r="X13" s="11">
        <f t="shared" si="5"/>
        <v>2.1520803443328962E-3</v>
      </c>
      <c r="Y13" s="11">
        <f t="shared" si="6"/>
        <v>4.1606886657101771E-3</v>
      </c>
      <c r="Z13" s="11">
        <f t="shared" si="7"/>
        <v>-1.6535007173601183E-2</v>
      </c>
      <c r="AA13" s="11">
        <f t="shared" si="8"/>
        <v>-1.4835007173601183E-2</v>
      </c>
      <c r="AB13" s="11">
        <f t="shared" si="9"/>
        <v>-1.1335007173601183E-2</v>
      </c>
      <c r="AC13" s="11">
        <f t="shared" si="10"/>
        <v>-5.5350071736011835E-3</v>
      </c>
      <c r="AD13" s="11">
        <f t="shared" si="11"/>
        <v>2.5649928263988177E-3</v>
      </c>
      <c r="AE13" s="11">
        <f t="shared" si="12"/>
        <v>3.6649928263988176E-3</v>
      </c>
      <c r="AF13" s="11">
        <f t="shared" si="13"/>
        <v>5.1649928263988176E-3</v>
      </c>
    </row>
    <row r="14" spans="8:32" x14ac:dyDescent="0.25">
      <c r="H14" s="18">
        <v>9</v>
      </c>
      <c r="I14" s="16">
        <v>42005</v>
      </c>
      <c r="J14" s="6">
        <f t="shared" si="14"/>
        <v>-3.5540964887239679E-2</v>
      </c>
      <c r="K14" s="24">
        <v>1.4416214673137251E-2</v>
      </c>
      <c r="L14" s="24">
        <v>7.1367399371968787E-4</v>
      </c>
      <c r="M14" s="24">
        <v>-1.6414501855552599E-2</v>
      </c>
      <c r="N14" s="24">
        <v>-2.7262346560091411E-2</v>
      </c>
      <c r="O14" s="6" cm="1">
        <f t="array" ref="O14">UltimoValor(xlFOCUS_ExpectativasAnuais("PIB Total",,DATE(YEAR($I14),1,1),EDATE(DATE(YEAR($I14),12,1),O$4),EDATE(DATE(YEAR($I14),12,31),O$4),0,"Mediana"))/100</f>
        <v>0.01</v>
      </c>
      <c r="P14" s="6" cm="1">
        <f t="array" ref="P14">UltimoValor(xlFOCUS_ExpectativasAnuais("PIB Total",,DATE(YEAR($I14),1,1),EDATE(DATE(YEAR($I14),12,1),P$4),EDATE(DATE(YEAR($I14),12,31),P$4),0,"Mediana"))/100</f>
        <v>5.0000000000000001E-3</v>
      </c>
      <c r="Q14" s="6" cm="1">
        <f t="array" ref="Q14">UltimoValor(xlFOCUS_ExpectativasAnuais("PIB Total",,DATE(YEAR($I14),1,1),EDATE(DATE(YEAR($I14),12,1),Q$4),EDATE(DATE(YEAR($I14),12,31),Q$4),0,"Mediana"))/100</f>
        <v>-0.01</v>
      </c>
      <c r="R14" s="6" cm="1">
        <f t="array" ref="R14">UltimoValor(xlFOCUS_ExpectativasAnuais("PIB Total",,DATE(YEAR($I14),1,1),EDATE(DATE(YEAR($I14),12,1),R$4),EDATE(DATE(YEAR($I14),12,31),R$4),0,"Mediana"))/100</f>
        <v>-1.4999999999999999E-2</v>
      </c>
      <c r="S14" s="6" cm="1">
        <f t="array" ref="S14">UltimoValor(xlFOCUS_ExpectativasAnuais("PIB Total",,DATE(YEAR($I14),1,1),EDATE(DATE(YEAR($I14),12,1),S$4),EDATE(DATE(YEAR($I14),12,31),S$4),0,"Mediana"))/100</f>
        <v>-2.8199999999999999E-2</v>
      </c>
      <c r="T14" s="6" cm="1">
        <f t="array" ref="T14">UltimoValor(xlFOCUS_ExpectativasAnuais("PIB Total",,DATE(YEAR($I14),1,1),EDATE(DATE(YEAR($I14),12,1),T$4),EDATE(DATE(YEAR($I14),12,31),T$4),0,"Mediana"))/100</f>
        <v>-3.7100000000000001E-2</v>
      </c>
      <c r="U14" s="6" cm="1">
        <f t="array" ref="U14">UltimoValor(xlFOCUS_ExpectativasAnuais("PIB Total",,DATE(YEAR($I14),1,1),EDATE(DATE(YEAR($I14),12,1),U$4),EDATE(DATE(YEAR($I14),12,31),U$4),0,"Mediana"))/100</f>
        <v>-3.8199999999999998E-2</v>
      </c>
      <c r="V14" s="11">
        <f t="shared" si="3"/>
        <v>-4.995717956037693E-2</v>
      </c>
      <c r="W14" s="11">
        <f t="shared" si="4"/>
        <v>-3.6254638880959367E-2</v>
      </c>
      <c r="X14" s="11">
        <f t="shared" si="5"/>
        <v>-1.912646303168708E-2</v>
      </c>
      <c r="Y14" s="11">
        <f t="shared" si="6"/>
        <v>-8.2786183271482683E-3</v>
      </c>
      <c r="Z14" s="11">
        <f t="shared" si="7"/>
        <v>-4.5540964887239681E-2</v>
      </c>
      <c r="AA14" s="11">
        <f t="shared" si="8"/>
        <v>-4.0540964887239676E-2</v>
      </c>
      <c r="AB14" s="11">
        <f t="shared" si="9"/>
        <v>-2.5540964887239677E-2</v>
      </c>
      <c r="AC14" s="11">
        <f t="shared" si="10"/>
        <v>-2.0540964887239679E-2</v>
      </c>
      <c r="AD14" s="11">
        <f t="shared" si="11"/>
        <v>-7.3409648872396795E-3</v>
      </c>
      <c r="AE14" s="11">
        <f t="shared" si="12"/>
        <v>1.5590351127603222E-3</v>
      </c>
      <c r="AF14" s="11">
        <f t="shared" si="13"/>
        <v>2.659035112760319E-3</v>
      </c>
    </row>
    <row r="15" spans="8:32" x14ac:dyDescent="0.25">
      <c r="H15" s="18">
        <v>10</v>
      </c>
      <c r="I15" s="16">
        <v>42370</v>
      </c>
      <c r="J15" s="6">
        <f t="shared" si="14"/>
        <v>-3.2558827882196106E-2</v>
      </c>
      <c r="K15" s="24">
        <v>-2.8414977060825741E-2</v>
      </c>
      <c r="L15" s="24">
        <v>-3.2410833210004264E-2</v>
      </c>
      <c r="M15" s="24">
        <v>-3.6702678703566471E-2</v>
      </c>
      <c r="N15" s="24">
        <v>-3.4926742637264807E-2</v>
      </c>
      <c r="O15" s="6" cm="1">
        <f t="array" ref="O15">UltimoValor(xlFOCUS_ExpectativasAnuais("PIB Total",,DATE(YEAR($I15),1,1),EDATE(DATE(YEAR($I15),12,1),O$4),EDATE(DATE(YEAR($I15),12,31),O$4),0,"Mediana"))/100</f>
        <v>-0.01</v>
      </c>
      <c r="P15" s="6" cm="1">
        <f t="array" ref="P15">UltimoValor(xlFOCUS_ExpectativasAnuais("PIB Total",,DATE(YEAR($I15),1,1),EDATE(DATE(YEAR($I15),12,1),P$4),EDATE(DATE(YEAR($I15),12,31),P$4),0,"Mediana"))/100</f>
        <v>-2.9500000000000002E-2</v>
      </c>
      <c r="Q15" s="6" cm="1">
        <f t="array" ref="Q15">UltimoValor(xlFOCUS_ExpectativasAnuais("PIB Total",,DATE(YEAR($I15),1,1),EDATE(DATE(YEAR($I15),12,1),Q$4),EDATE(DATE(YEAR($I15),12,31),Q$4),0,"Mediana"))/100</f>
        <v>-3.7100000000000001E-2</v>
      </c>
      <c r="R15" s="6" cm="1">
        <f t="array" ref="R15">UltimoValor(xlFOCUS_ExpectativasAnuais("PIB Total",,DATE(YEAR($I15),1,1),EDATE(DATE(YEAR($I15),12,1),R$4),EDATE(DATE(YEAR($I15),12,31),R$4),0,"Mediana"))/100</f>
        <v>-3.39E-2</v>
      </c>
      <c r="S15" s="6" cm="1">
        <f t="array" ref="S15">UltimoValor(xlFOCUS_ExpectativasAnuais("PIB Total",,DATE(YEAR($I15),1,1),EDATE(DATE(YEAR($I15),12,1),S$4),EDATE(DATE(YEAR($I15),12,31),S$4),0,"Mediana"))/100</f>
        <v>-3.1400000000000004E-2</v>
      </c>
      <c r="T15" s="6" cm="1">
        <f t="array" ref="T15">UltimoValor(xlFOCUS_ExpectativasAnuais("PIB Total",,DATE(YEAR($I15),1,1),EDATE(DATE(YEAR($I15),12,1),T$4),EDATE(DATE(YEAR($I15),12,31),T$4),0,"Mediana"))/100</f>
        <v>-3.49E-2</v>
      </c>
      <c r="U15" s="6" cm="1">
        <f t="array" ref="U15">UltimoValor(xlFOCUS_ExpectativasAnuais("PIB Total",,DATE(YEAR($I15),1,1),EDATE(DATE(YEAR($I15),12,1),U$4),EDATE(DATE(YEAR($I15),12,31),U$4),0,"Mediana"))/100</f>
        <v>-3.5000000000000003E-2</v>
      </c>
      <c r="V15" s="11">
        <f t="shared" si="3"/>
        <v>-4.1438508213703651E-3</v>
      </c>
      <c r="W15" s="11">
        <f t="shared" si="4"/>
        <v>-1.4799467219184237E-4</v>
      </c>
      <c r="X15" s="11">
        <f t="shared" si="5"/>
        <v>4.1438508213703651E-3</v>
      </c>
      <c r="Y15" s="11">
        <f t="shared" si="6"/>
        <v>2.3679147550687007E-3</v>
      </c>
      <c r="Z15" s="11">
        <f t="shared" si="7"/>
        <v>-2.2558827882196104E-2</v>
      </c>
      <c r="AA15" s="11">
        <f t="shared" si="8"/>
        <v>-3.0588278821961044E-3</v>
      </c>
      <c r="AB15" s="11">
        <f t="shared" si="9"/>
        <v>4.5411721178038947E-3</v>
      </c>
      <c r="AC15" s="11">
        <f t="shared" si="10"/>
        <v>1.3411721178038932E-3</v>
      </c>
      <c r="AD15" s="11">
        <f t="shared" si="11"/>
        <v>-1.1588278821961021E-3</v>
      </c>
      <c r="AE15" s="11">
        <f t="shared" si="12"/>
        <v>2.3411721178038941E-3</v>
      </c>
      <c r="AF15" s="11">
        <f t="shared" si="13"/>
        <v>2.441172117803897E-3</v>
      </c>
    </row>
    <row r="16" spans="8:32" x14ac:dyDescent="0.25">
      <c r="H16" s="18">
        <v>11</v>
      </c>
      <c r="I16" s="16">
        <v>42736</v>
      </c>
      <c r="J16" s="6">
        <f t="shared" si="14"/>
        <v>1.3155881903013533E-2</v>
      </c>
      <c r="K16" s="24">
        <v>-3.1818877160777248E-2</v>
      </c>
      <c r="L16" s="24">
        <v>-2.3864157870582825E-2</v>
      </c>
      <c r="M16" s="24">
        <v>-1.6368364693284398E-2</v>
      </c>
      <c r="N16" s="24">
        <v>-1.6827290806180617E-3</v>
      </c>
      <c r="O16" s="6" cm="1">
        <f t="array" ref="O16">UltimoValor(xlFOCUS_ExpectativasAnuais("PIB Total",,DATE(YEAR($I16),1,1),EDATE(DATE(YEAR($I16),12,1),O$4),EDATE(DATE(YEAR($I16),12,31),O$4),0,"Mediana"))/100</f>
        <v>1.3000000000000001E-2</v>
      </c>
      <c r="P16" s="6" cm="1">
        <f t="array" ref="P16">UltimoValor(xlFOCUS_ExpectativasAnuais("PIB Total",,DATE(YEAR($I16),1,1),EDATE(DATE(YEAR($I16),12,1),P$4),EDATE(DATE(YEAR($I16),12,31),P$4),0,"Mediana"))/100</f>
        <v>5.0000000000000001E-3</v>
      </c>
      <c r="Q16" s="6" cm="1">
        <f t="array" ref="Q16">UltimoValor(xlFOCUS_ExpectativasAnuais("PIB Total",,DATE(YEAR($I16),1,1),EDATE(DATE(YEAR($I16),12,1),Q$4),EDATE(DATE(YEAR($I16),12,31),Q$4),0,"Mediana"))/100</f>
        <v>4.6999999999999993E-3</v>
      </c>
      <c r="R16" s="6" cm="1">
        <f t="array" ref="R16">UltimoValor(xlFOCUS_ExpectativasAnuais("PIB Total",,DATE(YEAR($I16),1,1),EDATE(DATE(YEAR($I16),12,1),R$4),EDATE(DATE(YEAR($I16),12,31),R$4),0,"Mediana"))/100</f>
        <v>3.9000000000000003E-3</v>
      </c>
      <c r="S16" s="6" cm="1">
        <f t="array" ref="S16">UltimoValor(xlFOCUS_ExpectativasAnuais("PIB Total",,DATE(YEAR($I16),1,1),EDATE(DATE(YEAR($I16),12,1),S$4),EDATE(DATE(YEAR($I16),12,31),S$4),0,"Mediana"))/100</f>
        <v>6.9999999999999993E-3</v>
      </c>
      <c r="T16" s="6" cm="1">
        <f t="array" ref="T16">UltimoValor(xlFOCUS_ExpectativasAnuais("PIB Total",,DATE(YEAR($I16),1,1),EDATE(DATE(YEAR($I16),12,1),T$4),EDATE(DATE(YEAR($I16),12,31),T$4),0,"Mediana"))/100</f>
        <v>0.01</v>
      </c>
      <c r="U16" s="6" cm="1">
        <f t="array" ref="U16">UltimoValor(xlFOCUS_ExpectativasAnuais("PIB Total",,DATE(YEAR($I16),1,1),EDATE(DATE(YEAR($I16),12,1),U$4),EDATE(DATE(YEAR($I16),12,31),U$4),0,"Mediana"))/100</f>
        <v>1.06E-2</v>
      </c>
      <c r="V16" s="11">
        <f t="shared" si="3"/>
        <v>4.4974759063790781E-2</v>
      </c>
      <c r="W16" s="11">
        <f t="shared" si="4"/>
        <v>3.7020039773596358E-2</v>
      </c>
      <c r="X16" s="11">
        <f t="shared" si="5"/>
        <v>2.9524246596297932E-2</v>
      </c>
      <c r="Y16" s="11">
        <f t="shared" si="6"/>
        <v>1.4838610983631595E-2</v>
      </c>
      <c r="Z16" s="11">
        <f t="shared" si="7"/>
        <v>1.5588190301353208E-4</v>
      </c>
      <c r="AA16" s="11">
        <f t="shared" si="8"/>
        <v>8.1558819030135322E-3</v>
      </c>
      <c r="AB16" s="11">
        <f t="shared" si="9"/>
        <v>8.4558819030135339E-3</v>
      </c>
      <c r="AC16" s="11">
        <f t="shared" si="10"/>
        <v>9.2558819030135325E-3</v>
      </c>
      <c r="AD16" s="11">
        <f t="shared" si="11"/>
        <v>6.1558819030135339E-3</v>
      </c>
      <c r="AE16" s="11">
        <f t="shared" si="12"/>
        <v>3.155881903013533E-3</v>
      </c>
      <c r="AF16" s="11">
        <f t="shared" si="13"/>
        <v>2.5558819030135332E-3</v>
      </c>
    </row>
    <row r="17" spans="1:32" x14ac:dyDescent="0.25">
      <c r="H17" s="18">
        <v>12</v>
      </c>
      <c r="I17" s="16">
        <v>43101</v>
      </c>
      <c r="J17" s="6">
        <f t="shared" si="14"/>
        <v>1.7665710403140578E-2</v>
      </c>
      <c r="K17" s="24">
        <v>6.492526045598801E-3</v>
      </c>
      <c r="L17" s="24">
        <v>3.7747244451156181E-3</v>
      </c>
      <c r="M17" s="24">
        <v>1.5098897780463361E-3</v>
      </c>
      <c r="N17" s="24">
        <v>9.5123056016912511E-3</v>
      </c>
      <c r="O17" s="6" cm="1">
        <f t="array" ref="O17">UltimoValor(xlFOCUS_ExpectativasAnuais("PIB Total",,DATE(YEAR($I17),1,1),EDATE(DATE(YEAR($I17),12,1),O$4),EDATE(DATE(YEAR($I17),12,31),O$4),0,"Mediana"))/100</f>
        <v>2.3799999999999998E-2</v>
      </c>
      <c r="P17" s="6" cm="1">
        <f t="array" ref="P17">UltimoValor(xlFOCUS_ExpectativasAnuais("PIB Total",,DATE(YEAR($I17),1,1),EDATE(DATE(YEAR($I17),12,1),P$4),EDATE(DATE(YEAR($I17),12,31),P$4),0,"Mediana"))/100</f>
        <v>2.7000000000000003E-2</v>
      </c>
      <c r="Q17" s="6" cm="1">
        <f t="array" ref="Q17">UltimoValor(xlFOCUS_ExpectativasAnuais("PIB Total",,DATE(YEAR($I17),1,1),EDATE(DATE(YEAR($I17),12,1),Q$4),EDATE(DATE(YEAR($I17),12,31),Q$4),0,"Mediana"))/100</f>
        <v>2.8399999999999998E-2</v>
      </c>
      <c r="R17" s="6" cm="1">
        <f t="array" ref="R17">UltimoValor(xlFOCUS_ExpectativasAnuais("PIB Total",,DATE(YEAR($I17),1,1),EDATE(DATE(YEAR($I17),12,1),R$4),EDATE(DATE(YEAR($I17),12,31),R$4),0,"Mediana"))/100</f>
        <v>1.55E-2</v>
      </c>
      <c r="S17" s="6" cm="1">
        <f t="array" ref="S17">UltimoValor(xlFOCUS_ExpectativasAnuais("PIB Total",,DATE(YEAR($I17),1,1),EDATE(DATE(YEAR($I17),12,1),S$4),EDATE(DATE(YEAR($I17),12,31),S$4),0,"Mediana"))/100</f>
        <v>1.3500000000000002E-2</v>
      </c>
      <c r="T17" s="6" cm="1">
        <f t="array" ref="T17">UltimoValor(xlFOCUS_ExpectativasAnuais("PIB Total",,DATE(YEAR($I17),1,1),EDATE(DATE(YEAR($I17),12,1),T$4),EDATE(DATE(YEAR($I17),12,31),T$4),0,"Mediana"))/100</f>
        <v>1.3000000000000001E-2</v>
      </c>
      <c r="U17" s="6" cm="1">
        <f t="array" ref="U17">UltimoValor(xlFOCUS_ExpectativasAnuais("PIB Total",,DATE(YEAR($I17),1,1),EDATE(DATE(YEAR($I17),12,1),U$4),EDATE(DATE(YEAR($I17),12,31),U$4),0,"Mediana"))/100</f>
        <v>1.2E-2</v>
      </c>
      <c r="V17" s="11">
        <f t="shared" si="3"/>
        <v>1.1173184357541777E-2</v>
      </c>
      <c r="W17" s="11">
        <f t="shared" si="4"/>
        <v>1.389098595802496E-2</v>
      </c>
      <c r="X17" s="11">
        <f t="shared" si="5"/>
        <v>1.6155820625094242E-2</v>
      </c>
      <c r="Y17" s="11">
        <f t="shared" si="6"/>
        <v>8.1534048014493266E-3</v>
      </c>
      <c r="Z17" s="11">
        <f t="shared" si="7"/>
        <v>-6.1342895968594206E-3</v>
      </c>
      <c r="AA17" s="11">
        <f t="shared" si="8"/>
        <v>-9.3342895968594256E-3</v>
      </c>
      <c r="AB17" s="11">
        <f t="shared" si="9"/>
        <v>-1.0734289596859421E-2</v>
      </c>
      <c r="AC17" s="11">
        <f t="shared" si="10"/>
        <v>2.1657104031405777E-3</v>
      </c>
      <c r="AD17" s="11">
        <f t="shared" si="11"/>
        <v>4.165710403140576E-3</v>
      </c>
      <c r="AE17" s="11">
        <f t="shared" si="12"/>
        <v>4.6657104031405765E-3</v>
      </c>
      <c r="AF17" s="11">
        <f t="shared" si="13"/>
        <v>5.6657104031405774E-3</v>
      </c>
    </row>
    <row r="18" spans="1:32" x14ac:dyDescent="0.25">
      <c r="H18" s="18">
        <v>13</v>
      </c>
      <c r="I18" s="16">
        <v>43466</v>
      </c>
      <c r="J18" s="6">
        <f t="shared" si="14"/>
        <v>1.2166172106824913E-2</v>
      </c>
      <c r="K18" s="24">
        <v>7.8635014836794248E-3</v>
      </c>
      <c r="L18" s="24">
        <v>3.264094955489627E-3</v>
      </c>
      <c r="M18" s="24">
        <v>-8.902077151335952E-4</v>
      </c>
      <c r="N18" s="24">
        <v>5.3412462908011271E-3</v>
      </c>
      <c r="O18" s="6" cm="1">
        <f t="array" ref="O18">UltimoValor(xlFOCUS_ExpectativasAnuais("PIB Total",,DATE(YEAR($I18),1,1),EDATE(DATE(YEAR($I18),12,1),O$4),EDATE(DATE(YEAR($I18),12,31),O$4),0,"Mediana"))/100</f>
        <v>2.5000000000000001E-2</v>
      </c>
      <c r="P18" s="6" cm="1">
        <f t="array" ref="P18">UltimoValor(xlFOCUS_ExpectativasAnuais("PIB Total",,DATE(YEAR($I18),1,1),EDATE(DATE(YEAR($I18),12,1),P$4),EDATE(DATE(YEAR($I18),12,31),P$4),0,"Mediana"))/100</f>
        <v>2.53E-2</v>
      </c>
      <c r="Q18" s="6" cm="1">
        <f t="array" ref="Q18">UltimoValor(xlFOCUS_ExpectativasAnuais("PIB Total",,DATE(YEAR($I18),1,1),EDATE(DATE(YEAR($I18),12,1),Q$4),EDATE(DATE(YEAR($I18),12,31),Q$4),0,"Mediana"))/100</f>
        <v>1.9799999999999998E-2</v>
      </c>
      <c r="R18" s="6" cm="1">
        <f t="array" ref="R18">UltimoValor(xlFOCUS_ExpectativasAnuais("PIB Total",,DATE(YEAR($I18),1,1),EDATE(DATE(YEAR($I18),12,1),R$4),EDATE(DATE(YEAR($I18),12,31),R$4),0,"Mediana"))/100</f>
        <v>8.5000000000000006E-3</v>
      </c>
      <c r="S18" s="6" cm="1">
        <f t="array" ref="S18">UltimoValor(xlFOCUS_ExpectativasAnuais("PIB Total",,DATE(YEAR($I18),1,1),EDATE(DATE(YEAR($I18),12,1),S$4),EDATE(DATE(YEAR($I18),12,31),S$4),0,"Mediana"))/100</f>
        <v>8.6999999999999994E-3</v>
      </c>
      <c r="T18" s="6" cm="1">
        <f t="array" ref="T18">UltimoValor(xlFOCUS_ExpectativasAnuais("PIB Total",,DATE(YEAR($I18),1,1),EDATE(DATE(YEAR($I18),12,1),T$4),EDATE(DATE(YEAR($I18),12,31),T$4),0,"Mediana"))/100</f>
        <v>1.1699999999999999E-2</v>
      </c>
      <c r="U18" s="6" cm="1">
        <f t="array" ref="U18">UltimoValor(xlFOCUS_ExpectativasAnuais("PIB Total",,DATE(YEAR($I18),1,1),EDATE(DATE(YEAR($I18),12,1),U$4),EDATE(DATE(YEAR($I18),12,31),U$4),0,"Mediana"))/100</f>
        <v>1.1200000000000002E-2</v>
      </c>
      <c r="V18" s="11">
        <f t="shared" si="3"/>
        <v>4.3026706231454881E-3</v>
      </c>
      <c r="W18" s="11">
        <f t="shared" si="4"/>
        <v>8.9020771513352859E-3</v>
      </c>
      <c r="X18" s="11">
        <f t="shared" si="5"/>
        <v>1.3056379821958508E-2</v>
      </c>
      <c r="Y18" s="11">
        <f t="shared" si="6"/>
        <v>6.8249258160237858E-3</v>
      </c>
      <c r="Z18" s="11">
        <f t="shared" si="7"/>
        <v>-1.2833827893175088E-2</v>
      </c>
      <c r="AA18" s="11">
        <f t="shared" si="8"/>
        <v>-1.3133827893175087E-2</v>
      </c>
      <c r="AB18" s="11">
        <f t="shared" si="9"/>
        <v>-7.6338278931750853E-3</v>
      </c>
      <c r="AC18" s="11">
        <f t="shared" si="10"/>
        <v>3.6661721068249123E-3</v>
      </c>
      <c r="AD18" s="11">
        <f t="shared" si="11"/>
        <v>3.4661721068249135E-3</v>
      </c>
      <c r="AE18" s="11">
        <f t="shared" si="12"/>
        <v>4.6617210682491431E-4</v>
      </c>
      <c r="AF18" s="11">
        <f t="shared" si="13"/>
        <v>9.6617210682491128E-4</v>
      </c>
    </row>
    <row r="19" spans="1:32" x14ac:dyDescent="0.25">
      <c r="H19" s="18">
        <v>14</v>
      </c>
      <c r="I19" s="16">
        <v>43831</v>
      </c>
      <c r="J19" s="6">
        <f t="shared" si="14"/>
        <v>-3.8698328935796056E-2</v>
      </c>
      <c r="K19" s="24">
        <v>1.2752858399296185E-2</v>
      </c>
      <c r="L19" s="24">
        <v>3.2248607446496713E-3</v>
      </c>
      <c r="M19" s="24">
        <v>-3.1955438287892157E-2</v>
      </c>
      <c r="N19" s="24">
        <v>-3.9284667253005057E-2</v>
      </c>
      <c r="O19" s="6" cm="1">
        <f t="array" ref="O19">UltimoValor(xlFOCUS_ExpectativasAnuais("PIB Total",,DATE(YEAR($I19),1,1),EDATE(DATE(YEAR($I19),12,1),O$4),EDATE(DATE(YEAR($I19),12,31),O$4),0,"Mediana"))/100</f>
        <v>0.02</v>
      </c>
      <c r="P19" s="6" cm="1">
        <f t="array" ref="P19">UltimoValor(xlFOCUS_ExpectativasAnuais("PIB Total",,DATE(YEAR($I19),1,1),EDATE(DATE(YEAR($I19),12,1),P$4),EDATE(DATE(YEAR($I19),12,31),P$4),0,"Mediana"))/100</f>
        <v>2.3E-2</v>
      </c>
      <c r="Q19" s="6" cm="1">
        <f t="array" ref="Q19">UltimoValor(xlFOCUS_ExpectativasAnuais("PIB Total",,DATE(YEAR($I19),1,1),EDATE(DATE(YEAR($I19),12,1),Q$4),EDATE(DATE(YEAR($I19),12,31),Q$4),0,"Mediana"))/100</f>
        <v>-9.0000000000000011E-3</v>
      </c>
      <c r="R19" s="6" cm="1">
        <f t="array" ref="R19">UltimoValor(xlFOCUS_ExpectativasAnuais("PIB Total",,DATE(YEAR($I19),1,1),EDATE(DATE(YEAR($I19),12,1),R$4),EDATE(DATE(YEAR($I19),12,31),R$4),0,"Mediana"))/100</f>
        <v>-6.6000000000000003E-2</v>
      </c>
      <c r="S19" s="6" cm="1">
        <f t="array" ref="S19">UltimoValor(xlFOCUS_ExpectativasAnuais("PIB Total",,DATE(YEAR($I19),1,1),EDATE(DATE(YEAR($I19),12,1),S$4),EDATE(DATE(YEAR($I19),12,31),S$4),0,"Mediana"))/100</f>
        <v>-5.0199999999999995E-2</v>
      </c>
      <c r="T19" s="6" cm="1">
        <f t="array" ref="T19">UltimoValor(xlFOCUS_ExpectativasAnuais("PIB Total",,DATE(YEAR($I19),1,1),EDATE(DATE(YEAR($I19),12,1),T$4),EDATE(DATE(YEAR($I19),12,31),T$4),0,"Mediana"))/100</f>
        <v>-4.36E-2</v>
      </c>
      <c r="U19" s="6" cm="1">
        <f t="array" ref="U19">UltimoValor(xlFOCUS_ExpectativasAnuais("PIB Total",,DATE(YEAR($I19),1,1),EDATE(DATE(YEAR($I19),12,1),U$4),EDATE(DATE(YEAR($I19),12,31),U$4),0,"Mediana"))/100</f>
        <v>-4.2199999999999994E-2</v>
      </c>
      <c r="V19" s="11">
        <f t="shared" si="3"/>
        <v>-5.1451187335092241E-2</v>
      </c>
      <c r="W19" s="11">
        <f t="shared" si="4"/>
        <v>-4.1923189680445727E-2</v>
      </c>
      <c r="X19" s="11">
        <f t="shared" si="5"/>
        <v>-6.7428906479038986E-3</v>
      </c>
      <c r="Y19" s="11">
        <f t="shared" si="6"/>
        <v>5.8633831720900087E-4</v>
      </c>
      <c r="Z19" s="11">
        <f t="shared" si="7"/>
        <v>-5.869832893579606E-2</v>
      </c>
      <c r="AA19" s="11">
        <f t="shared" si="8"/>
        <v>-6.1698328935796055E-2</v>
      </c>
      <c r="AB19" s="11">
        <f t="shared" si="9"/>
        <v>-2.9698328935796055E-2</v>
      </c>
      <c r="AC19" s="11">
        <f t="shared" si="10"/>
        <v>2.7301671064203947E-2</v>
      </c>
      <c r="AD19" s="11">
        <f t="shared" si="11"/>
        <v>1.1501671064203939E-2</v>
      </c>
      <c r="AE19" s="11">
        <f t="shared" si="12"/>
        <v>4.9016710642039441E-3</v>
      </c>
      <c r="AF19" s="11">
        <f t="shared" si="13"/>
        <v>3.5016710642039386E-3</v>
      </c>
    </row>
    <row r="20" spans="1:32" x14ac:dyDescent="0.25">
      <c r="H20" s="18">
        <v>15</v>
      </c>
      <c r="I20" s="16">
        <v>44197</v>
      </c>
      <c r="J20" s="6"/>
      <c r="K20" s="6"/>
      <c r="L20" s="6"/>
      <c r="M20" s="6"/>
      <c r="N20" s="6"/>
      <c r="O20" s="6"/>
      <c r="P20" s="15"/>
      <c r="Q20" s="15"/>
      <c r="R20" s="15"/>
      <c r="S20" s="15"/>
      <c r="T20" s="15"/>
      <c r="U20" s="15"/>
      <c r="V20" s="11"/>
      <c r="W20" s="11"/>
      <c r="X20" s="11"/>
      <c r="Y20" s="11"/>
      <c r="Z20" s="11"/>
      <c r="AA20" s="11"/>
      <c r="AB20" s="11"/>
      <c r="AC20" s="11"/>
      <c r="AD20" s="11"/>
      <c r="AE20" s="11"/>
      <c r="AF20" s="11"/>
    </row>
    <row r="21" spans="1:32" x14ac:dyDescent="0.25">
      <c r="O21" s="13" t="s">
        <v>16</v>
      </c>
      <c r="V21" s="14">
        <f t="shared" ref="V21:AF21" si="15">ABS(AVERAGE(V$5:V$19))</f>
        <v>4.6861714787642898E-3</v>
      </c>
      <c r="W21" s="14">
        <f t="shared" si="15"/>
        <v>6.3235664177845319E-3</v>
      </c>
      <c r="X21" s="14">
        <f t="shared" si="15"/>
        <v>1.4651796017319007E-2</v>
      </c>
      <c r="Y21" s="14">
        <f t="shared" si="15"/>
        <v>9.8863152168992292E-3</v>
      </c>
      <c r="Z21" s="14">
        <f t="shared" si="15"/>
        <v>1.0917111386980117E-2</v>
      </c>
      <c r="AA21" s="14">
        <f t="shared" si="15"/>
        <v>8.1037780536467822E-3</v>
      </c>
      <c r="AB21" s="14">
        <f t="shared" si="15"/>
        <v>2.0371113869801136E-3</v>
      </c>
      <c r="AC21" s="14">
        <f t="shared" si="15"/>
        <v>3.5895552796865529E-3</v>
      </c>
      <c r="AD21" s="14">
        <f t="shared" si="15"/>
        <v>3.5362219463532193E-3</v>
      </c>
      <c r="AE21" s="14">
        <f t="shared" si="15"/>
        <v>4.3028886130198861E-3</v>
      </c>
      <c r="AF21" s="14">
        <f t="shared" si="15"/>
        <v>4.8028886130198865E-3</v>
      </c>
    </row>
    <row r="22" spans="1:32" x14ac:dyDescent="0.25">
      <c r="O22" s="7" t="s">
        <v>15</v>
      </c>
      <c r="V22" s="12">
        <f t="shared" ref="V22:AF22" si="16">SQRT(SUMSQ(V$5:V$19)/COUNT(V$5:V$19))</f>
        <v>2.438034350453918E-2</v>
      </c>
      <c r="W22" s="12">
        <f t="shared" si="16"/>
        <v>2.2400546029195893E-2</v>
      </c>
      <c r="X22" s="12">
        <f t="shared" si="16"/>
        <v>2.0400375011008436E-2</v>
      </c>
      <c r="Y22" s="12">
        <f t="shared" si="16"/>
        <v>1.2818357217917464E-2</v>
      </c>
      <c r="Z22" s="12">
        <f t="shared" si="16"/>
        <v>2.5681431013998904E-2</v>
      </c>
      <c r="AA22" s="12">
        <f t="shared" si="16"/>
        <v>2.3227804508736041E-2</v>
      </c>
      <c r="AB22" s="12">
        <f t="shared" si="16"/>
        <v>1.459087844993436E-2</v>
      </c>
      <c r="AC22" s="12">
        <f t="shared" si="16"/>
        <v>1.061211207307863E-2</v>
      </c>
      <c r="AD22" s="12">
        <f t="shared" si="16"/>
        <v>6.3062868371096511E-3</v>
      </c>
      <c r="AE22" s="12">
        <f t="shared" si="16"/>
        <v>6.3076446317177843E-3</v>
      </c>
      <c r="AF22" s="12">
        <f t="shared" si="16"/>
        <v>6.419907034845098E-3</v>
      </c>
    </row>
    <row r="26" spans="1:32" x14ac:dyDescent="0.25">
      <c r="A26" s="7" t="s">
        <v>5</v>
      </c>
      <c r="E26" s="7" t="s">
        <v>6</v>
      </c>
    </row>
    <row r="27" spans="1:32" x14ac:dyDescent="0.25">
      <c r="A27" s="8" t="s">
        <v>2</v>
      </c>
      <c r="B27" s="8" t="s">
        <v>4</v>
      </c>
      <c r="C27" s="8" t="s">
        <v>7</v>
      </c>
      <c r="E27" s="8" t="s">
        <v>11</v>
      </c>
      <c r="F27" s="8" t="s">
        <v>11</v>
      </c>
    </row>
    <row r="28" spans="1:32" x14ac:dyDescent="0.25">
      <c r="A28" s="8"/>
      <c r="B28" s="8"/>
      <c r="C28" s="8"/>
      <c r="E28" s="8" t="s">
        <v>10</v>
      </c>
      <c r="F28" s="8" t="s">
        <v>1</v>
      </c>
    </row>
    <row r="29" spans="1:32" x14ac:dyDescent="0.25">
      <c r="A29" s="9">
        <v>35065</v>
      </c>
      <c r="B29" s="5">
        <v>96.8</v>
      </c>
      <c r="C29" s="5">
        <v>99.5</v>
      </c>
      <c r="E29" s="5" cm="1">
        <f t="array" ref="E29:E135">ROUND(xlDESSAZ($A$29:$A$131,$B$29:$B$131,$E$28,,,Specs!$D$3),1)</f>
        <v>96.8</v>
      </c>
      <c r="F29" cm="1">
        <f t="array" ref="F29:F135">ROUND(xlDESSAZ($A$29:$A$135,_xlfn.ANCHORARRAY(E29),$F$28,,,Specs!$D$3),1)</f>
        <v>99.4</v>
      </c>
    </row>
    <row r="30" spans="1:32" x14ac:dyDescent="0.25">
      <c r="A30" s="9">
        <v>35156</v>
      </c>
      <c r="B30">
        <v>100.1</v>
      </c>
      <c r="C30" s="5">
        <v>100.4</v>
      </c>
      <c r="E30" s="5">
        <v>100.1</v>
      </c>
      <c r="F30">
        <v>100.5</v>
      </c>
    </row>
    <row r="31" spans="1:32" x14ac:dyDescent="0.25">
      <c r="A31" s="9">
        <v>35247</v>
      </c>
      <c r="B31">
        <v>107.6</v>
      </c>
      <c r="C31">
        <v>104.4</v>
      </c>
      <c r="E31" s="5">
        <v>107.6</v>
      </c>
      <c r="F31">
        <v>104.4</v>
      </c>
    </row>
    <row r="32" spans="1:32" x14ac:dyDescent="0.25">
      <c r="A32" s="9">
        <v>35339</v>
      </c>
      <c r="B32">
        <v>104.3</v>
      </c>
      <c r="C32">
        <v>103.3</v>
      </c>
      <c r="E32" s="5">
        <v>104.3</v>
      </c>
      <c r="F32">
        <v>103.3</v>
      </c>
    </row>
    <row r="33" spans="1:6" x14ac:dyDescent="0.25">
      <c r="A33" s="9">
        <v>35431</v>
      </c>
      <c r="B33">
        <v>100.1</v>
      </c>
      <c r="C33">
        <v>104.3</v>
      </c>
      <c r="E33" s="5">
        <v>100.1</v>
      </c>
      <c r="F33">
        <v>104.4</v>
      </c>
    </row>
    <row r="34" spans="1:6" x14ac:dyDescent="0.25">
      <c r="A34" s="9">
        <v>35521</v>
      </c>
      <c r="B34">
        <v>104.9</v>
      </c>
      <c r="C34">
        <v>105</v>
      </c>
      <c r="E34" s="5">
        <v>104.9</v>
      </c>
      <c r="F34">
        <v>105</v>
      </c>
    </row>
    <row r="35" spans="1:6" x14ac:dyDescent="0.25">
      <c r="A35" s="9">
        <v>35612</v>
      </c>
      <c r="B35">
        <v>109.5</v>
      </c>
      <c r="C35">
        <v>106.3</v>
      </c>
      <c r="E35" s="5">
        <v>109.5</v>
      </c>
      <c r="F35">
        <v>106.3</v>
      </c>
    </row>
    <row r="36" spans="1:6" x14ac:dyDescent="0.25">
      <c r="A36" s="9">
        <v>35704</v>
      </c>
      <c r="B36">
        <v>108.2</v>
      </c>
      <c r="C36">
        <v>107.1</v>
      </c>
      <c r="E36" s="5">
        <v>108.2</v>
      </c>
      <c r="F36">
        <v>107.1</v>
      </c>
    </row>
    <row r="37" spans="1:6" x14ac:dyDescent="0.25">
      <c r="A37" s="9">
        <v>35796</v>
      </c>
      <c r="B37">
        <v>101.1</v>
      </c>
      <c r="C37">
        <v>105.1</v>
      </c>
      <c r="E37" s="5">
        <v>101.1</v>
      </c>
      <c r="F37">
        <v>105</v>
      </c>
    </row>
    <row r="38" spans="1:6" x14ac:dyDescent="0.25">
      <c r="A38" s="9">
        <v>35886</v>
      </c>
      <c r="B38">
        <v>106.5</v>
      </c>
      <c r="C38">
        <v>106.8</v>
      </c>
      <c r="E38" s="5">
        <v>106.5</v>
      </c>
      <c r="F38">
        <v>106.9</v>
      </c>
    </row>
    <row r="39" spans="1:6" x14ac:dyDescent="0.25">
      <c r="A39" s="9">
        <v>35977</v>
      </c>
      <c r="B39">
        <v>109.9</v>
      </c>
      <c r="C39">
        <v>106.9</v>
      </c>
      <c r="E39" s="5">
        <v>109.9</v>
      </c>
      <c r="F39">
        <v>106.8</v>
      </c>
    </row>
    <row r="40" spans="1:6" x14ac:dyDescent="0.25">
      <c r="A40" s="9">
        <v>36069</v>
      </c>
      <c r="B40">
        <v>106.7</v>
      </c>
      <c r="C40">
        <v>105.6</v>
      </c>
      <c r="E40" s="5">
        <v>106.7</v>
      </c>
      <c r="F40">
        <v>105.6</v>
      </c>
    </row>
    <row r="41" spans="1:6" x14ac:dyDescent="0.25">
      <c r="A41" s="9">
        <v>36161</v>
      </c>
      <c r="B41">
        <v>101.9</v>
      </c>
      <c r="C41">
        <v>105.9</v>
      </c>
      <c r="E41" s="5">
        <v>101.9</v>
      </c>
      <c r="F41">
        <v>105.8</v>
      </c>
    </row>
    <row r="42" spans="1:6" x14ac:dyDescent="0.25">
      <c r="A42" s="9">
        <v>36251</v>
      </c>
      <c r="B42">
        <v>106</v>
      </c>
      <c r="C42">
        <v>106.2</v>
      </c>
      <c r="E42" s="5">
        <v>106</v>
      </c>
      <c r="F42">
        <v>106.3</v>
      </c>
    </row>
    <row r="43" spans="1:6" x14ac:dyDescent="0.25">
      <c r="A43" s="9">
        <v>36342</v>
      </c>
      <c r="B43">
        <v>109.2</v>
      </c>
      <c r="C43">
        <v>106.4</v>
      </c>
      <c r="E43" s="5">
        <v>109.2</v>
      </c>
      <c r="F43">
        <v>106.3</v>
      </c>
    </row>
    <row r="44" spans="1:6" x14ac:dyDescent="0.25">
      <c r="A44" s="9">
        <v>36434</v>
      </c>
      <c r="B44">
        <v>109</v>
      </c>
      <c r="C44">
        <v>107.8</v>
      </c>
      <c r="E44" s="5">
        <v>109</v>
      </c>
      <c r="F44">
        <v>107.9</v>
      </c>
    </row>
    <row r="45" spans="1:6" x14ac:dyDescent="0.25">
      <c r="A45" s="9">
        <v>36526</v>
      </c>
      <c r="B45">
        <v>106.4</v>
      </c>
      <c r="C45">
        <v>109</v>
      </c>
      <c r="E45" s="5">
        <v>106.4</v>
      </c>
      <c r="F45">
        <v>109</v>
      </c>
    </row>
    <row r="46" spans="1:6" x14ac:dyDescent="0.25">
      <c r="A46" s="9">
        <v>36617</v>
      </c>
      <c r="B46">
        <v>110.3</v>
      </c>
      <c r="C46">
        <v>110.5</v>
      </c>
      <c r="E46" s="5">
        <v>110.3</v>
      </c>
      <c r="F46">
        <v>110.6</v>
      </c>
    </row>
    <row r="47" spans="1:6" x14ac:dyDescent="0.25">
      <c r="A47" s="9">
        <v>36708</v>
      </c>
      <c r="B47">
        <v>114.2</v>
      </c>
      <c r="C47">
        <v>111.8</v>
      </c>
      <c r="E47" s="5">
        <v>114.2</v>
      </c>
      <c r="F47">
        <v>111.8</v>
      </c>
    </row>
    <row r="48" spans="1:6" x14ac:dyDescent="0.25">
      <c r="A48" s="9">
        <v>36800</v>
      </c>
      <c r="B48">
        <v>114</v>
      </c>
      <c r="C48">
        <v>113.2</v>
      </c>
      <c r="E48" s="5">
        <v>114</v>
      </c>
      <c r="F48">
        <v>113.2</v>
      </c>
    </row>
    <row r="49" spans="1:6" x14ac:dyDescent="0.25">
      <c r="A49" s="9">
        <v>36892</v>
      </c>
      <c r="B49">
        <v>110.1</v>
      </c>
      <c r="C49">
        <v>113.6</v>
      </c>
      <c r="E49" s="5">
        <v>110.1</v>
      </c>
      <c r="F49">
        <v>113.6</v>
      </c>
    </row>
    <row r="50" spans="1:6" x14ac:dyDescent="0.25">
      <c r="A50" s="9">
        <v>36982</v>
      </c>
      <c r="B50">
        <v>112.8</v>
      </c>
      <c r="C50">
        <v>113.1</v>
      </c>
      <c r="E50" s="5">
        <v>112.8</v>
      </c>
      <c r="F50">
        <v>113</v>
      </c>
    </row>
    <row r="51" spans="1:6" x14ac:dyDescent="0.25">
      <c r="A51" s="9">
        <v>37073</v>
      </c>
      <c r="B51">
        <v>114.7</v>
      </c>
      <c r="C51">
        <v>112.5</v>
      </c>
      <c r="E51" s="5">
        <v>114.7</v>
      </c>
      <c r="F51">
        <v>112.5</v>
      </c>
    </row>
    <row r="52" spans="1:6" x14ac:dyDescent="0.25">
      <c r="A52" s="9">
        <v>37165</v>
      </c>
      <c r="B52">
        <v>113.4</v>
      </c>
      <c r="C52">
        <v>112.2</v>
      </c>
      <c r="E52" s="5">
        <v>113.4</v>
      </c>
      <c r="F52">
        <v>112.2</v>
      </c>
    </row>
    <row r="53" spans="1:6" x14ac:dyDescent="0.25">
      <c r="A53" s="9">
        <v>37257</v>
      </c>
      <c r="B53">
        <v>110.6</v>
      </c>
      <c r="C53">
        <v>114.7</v>
      </c>
      <c r="E53" s="5">
        <v>110.6</v>
      </c>
      <c r="F53">
        <v>114.9</v>
      </c>
    </row>
    <row r="54" spans="1:6" x14ac:dyDescent="0.25">
      <c r="A54" s="9">
        <v>37347</v>
      </c>
      <c r="B54">
        <v>115.4</v>
      </c>
      <c r="C54">
        <v>115.4</v>
      </c>
      <c r="E54" s="5">
        <v>115.4</v>
      </c>
      <c r="F54">
        <v>115.2</v>
      </c>
    </row>
    <row r="55" spans="1:6" x14ac:dyDescent="0.25">
      <c r="A55" s="9">
        <v>37438</v>
      </c>
      <c r="B55">
        <v>119.5</v>
      </c>
      <c r="C55">
        <v>116.8</v>
      </c>
      <c r="E55" s="5">
        <v>119.5</v>
      </c>
      <c r="F55">
        <v>116.8</v>
      </c>
    </row>
    <row r="56" spans="1:6" x14ac:dyDescent="0.25">
      <c r="A56" s="9">
        <v>37530</v>
      </c>
      <c r="B56">
        <v>119.2</v>
      </c>
      <c r="C56">
        <v>118</v>
      </c>
      <c r="E56" s="5">
        <v>119.2</v>
      </c>
      <c r="F56">
        <v>118</v>
      </c>
    </row>
    <row r="57" spans="1:6" x14ac:dyDescent="0.25">
      <c r="A57" s="9">
        <v>37622</v>
      </c>
      <c r="B57">
        <v>113.6</v>
      </c>
      <c r="C57">
        <v>117.5</v>
      </c>
      <c r="E57" s="5">
        <v>113.6</v>
      </c>
      <c r="F57">
        <v>117.5</v>
      </c>
    </row>
    <row r="58" spans="1:6" x14ac:dyDescent="0.25">
      <c r="A58" s="9">
        <v>37712</v>
      </c>
      <c r="B58">
        <v>116.3</v>
      </c>
      <c r="C58">
        <v>116.5</v>
      </c>
      <c r="E58" s="5">
        <v>116.3</v>
      </c>
      <c r="F58">
        <v>116.5</v>
      </c>
    </row>
    <row r="59" spans="1:6" x14ac:dyDescent="0.25">
      <c r="A59" s="9">
        <v>37803</v>
      </c>
      <c r="B59">
        <v>120.2</v>
      </c>
      <c r="C59">
        <v>117.6</v>
      </c>
      <c r="E59" s="5">
        <v>120.2</v>
      </c>
      <c r="F59">
        <v>117.5</v>
      </c>
    </row>
    <row r="60" spans="1:6" x14ac:dyDescent="0.25">
      <c r="A60" s="9">
        <v>37895</v>
      </c>
      <c r="B60">
        <v>119.9</v>
      </c>
      <c r="C60">
        <v>118.8</v>
      </c>
      <c r="E60" s="5">
        <v>119.9</v>
      </c>
      <c r="F60">
        <v>118.8</v>
      </c>
    </row>
    <row r="61" spans="1:6" x14ac:dyDescent="0.25">
      <c r="A61" s="9">
        <v>37987</v>
      </c>
      <c r="B61">
        <v>118</v>
      </c>
      <c r="C61">
        <v>120.5</v>
      </c>
      <c r="E61" s="5">
        <v>118</v>
      </c>
      <c r="F61">
        <v>120.4</v>
      </c>
    </row>
    <row r="62" spans="1:6" x14ac:dyDescent="0.25">
      <c r="A62" s="9">
        <v>38078</v>
      </c>
      <c r="B62">
        <v>123.7</v>
      </c>
      <c r="C62">
        <v>123.8</v>
      </c>
      <c r="E62" s="5">
        <v>123.7</v>
      </c>
      <c r="F62">
        <v>123.8</v>
      </c>
    </row>
    <row r="63" spans="1:6" x14ac:dyDescent="0.25">
      <c r="A63" s="9">
        <v>38169</v>
      </c>
      <c r="B63">
        <v>128.1</v>
      </c>
      <c r="C63">
        <v>125.3</v>
      </c>
      <c r="E63" s="5">
        <v>128.1</v>
      </c>
      <c r="F63">
        <v>125.3</v>
      </c>
    </row>
    <row r="64" spans="1:6" x14ac:dyDescent="0.25">
      <c r="A64" s="9">
        <v>38261</v>
      </c>
      <c r="B64">
        <v>127.4</v>
      </c>
      <c r="C64">
        <v>126.3</v>
      </c>
      <c r="E64" s="5">
        <v>127.4</v>
      </c>
      <c r="F64">
        <v>126.3</v>
      </c>
    </row>
    <row r="65" spans="1:6" x14ac:dyDescent="0.25">
      <c r="A65" s="9">
        <v>38353</v>
      </c>
      <c r="B65">
        <v>122.9</v>
      </c>
      <c r="C65">
        <v>127.2</v>
      </c>
      <c r="E65" s="5">
        <v>122.9</v>
      </c>
      <c r="F65">
        <v>127.3</v>
      </c>
    </row>
    <row r="66" spans="1:6" x14ac:dyDescent="0.25">
      <c r="A66" s="9">
        <v>38443</v>
      </c>
      <c r="B66">
        <v>129.19999999999999</v>
      </c>
      <c r="C66">
        <v>129</v>
      </c>
      <c r="E66" s="5">
        <v>129.19999999999999</v>
      </c>
      <c r="F66">
        <v>128.80000000000001</v>
      </c>
    </row>
    <row r="67" spans="1:6" x14ac:dyDescent="0.25">
      <c r="A67" s="9">
        <v>38534</v>
      </c>
      <c r="B67">
        <v>130.80000000000001</v>
      </c>
      <c r="C67">
        <v>128</v>
      </c>
      <c r="E67" s="5">
        <v>130.80000000000001</v>
      </c>
      <c r="F67">
        <v>128</v>
      </c>
    </row>
    <row r="68" spans="1:6" x14ac:dyDescent="0.25">
      <c r="A68" s="9">
        <v>38626</v>
      </c>
      <c r="B68">
        <v>130.1</v>
      </c>
      <c r="C68">
        <v>129.6</v>
      </c>
      <c r="E68" s="5">
        <v>130.1</v>
      </c>
      <c r="F68">
        <v>129.6</v>
      </c>
    </row>
    <row r="69" spans="1:6" x14ac:dyDescent="0.25">
      <c r="A69" s="9">
        <v>38718</v>
      </c>
      <c r="B69">
        <v>128.19999999999999</v>
      </c>
      <c r="C69">
        <v>131.80000000000001</v>
      </c>
      <c r="E69" s="5">
        <v>128.19999999999999</v>
      </c>
      <c r="F69">
        <v>131.80000000000001</v>
      </c>
    </row>
    <row r="70" spans="1:6" x14ac:dyDescent="0.25">
      <c r="A70" s="9">
        <v>38808</v>
      </c>
      <c r="B70">
        <v>132.1</v>
      </c>
      <c r="C70">
        <v>132.1</v>
      </c>
      <c r="E70" s="5">
        <v>132.1</v>
      </c>
      <c r="F70">
        <v>132.1</v>
      </c>
    </row>
    <row r="71" spans="1:6" x14ac:dyDescent="0.25">
      <c r="A71" s="9">
        <v>38899</v>
      </c>
      <c r="B71">
        <v>136.69999999999999</v>
      </c>
      <c r="C71">
        <v>134.30000000000001</v>
      </c>
      <c r="E71" s="5">
        <v>136.69999999999999</v>
      </c>
      <c r="F71">
        <v>134.30000000000001</v>
      </c>
    </row>
    <row r="72" spans="1:6" x14ac:dyDescent="0.25">
      <c r="A72" s="9">
        <v>38991</v>
      </c>
      <c r="B72">
        <v>136.4</v>
      </c>
      <c r="C72">
        <v>135.9</v>
      </c>
      <c r="E72" s="5">
        <v>136.4</v>
      </c>
      <c r="F72">
        <v>135.9</v>
      </c>
    </row>
    <row r="73" spans="1:6" x14ac:dyDescent="0.25">
      <c r="A73" s="9">
        <v>39083</v>
      </c>
      <c r="B73">
        <v>134.80000000000001</v>
      </c>
      <c r="C73">
        <v>138.6</v>
      </c>
      <c r="E73" s="5">
        <v>134.80000000000001</v>
      </c>
      <c r="F73">
        <v>138.5</v>
      </c>
    </row>
    <row r="74" spans="1:6" x14ac:dyDescent="0.25">
      <c r="A74" s="9">
        <v>39173</v>
      </c>
      <c r="B74">
        <v>140.80000000000001</v>
      </c>
      <c r="C74">
        <v>140.80000000000001</v>
      </c>
      <c r="E74" s="5">
        <v>140.80000000000001</v>
      </c>
      <c r="F74">
        <v>140.80000000000001</v>
      </c>
    </row>
    <row r="75" spans="1:6" x14ac:dyDescent="0.25">
      <c r="A75" s="9">
        <v>39264</v>
      </c>
      <c r="B75">
        <v>144.80000000000001</v>
      </c>
      <c r="C75">
        <v>142.19999999999999</v>
      </c>
      <c r="E75" s="5">
        <v>144.80000000000001</v>
      </c>
      <c r="F75">
        <v>142.30000000000001</v>
      </c>
    </row>
    <row r="76" spans="1:6" x14ac:dyDescent="0.25">
      <c r="A76" s="9">
        <v>39356</v>
      </c>
      <c r="B76">
        <v>145.4</v>
      </c>
      <c r="C76">
        <v>144.4</v>
      </c>
      <c r="E76" s="5">
        <v>145.4</v>
      </c>
      <c r="F76">
        <v>144.4</v>
      </c>
    </row>
    <row r="77" spans="1:6" x14ac:dyDescent="0.25">
      <c r="A77" s="9">
        <v>39448</v>
      </c>
      <c r="B77">
        <v>143.1</v>
      </c>
      <c r="C77">
        <v>146.1</v>
      </c>
      <c r="E77" s="5">
        <v>143.1</v>
      </c>
      <c r="F77">
        <v>146.19999999999999</v>
      </c>
    </row>
    <row r="78" spans="1:6" x14ac:dyDescent="0.25">
      <c r="A78" s="9">
        <v>39539</v>
      </c>
      <c r="B78">
        <v>149.69999999999999</v>
      </c>
      <c r="C78">
        <v>149.4</v>
      </c>
      <c r="E78" s="5">
        <v>149.69999999999999</v>
      </c>
      <c r="F78">
        <v>149.19999999999999</v>
      </c>
    </row>
    <row r="79" spans="1:6" x14ac:dyDescent="0.25">
      <c r="A79" s="9">
        <v>39630</v>
      </c>
      <c r="B79">
        <v>154.9</v>
      </c>
      <c r="C79">
        <v>151.6</v>
      </c>
      <c r="E79" s="5">
        <v>154.9</v>
      </c>
      <c r="F79">
        <v>151.69999999999999</v>
      </c>
    </row>
    <row r="80" spans="1:6" x14ac:dyDescent="0.25">
      <c r="A80" s="9">
        <v>39722</v>
      </c>
      <c r="B80">
        <v>146.9</v>
      </c>
      <c r="C80">
        <v>145.9</v>
      </c>
      <c r="E80" s="5">
        <v>146.9</v>
      </c>
      <c r="F80">
        <v>145.9</v>
      </c>
    </row>
    <row r="81" spans="1:6" x14ac:dyDescent="0.25">
      <c r="A81" s="9">
        <v>39814</v>
      </c>
      <c r="B81">
        <v>139.69999999999999</v>
      </c>
      <c r="C81">
        <v>143.9</v>
      </c>
      <c r="E81" s="5">
        <v>139.69999999999999</v>
      </c>
      <c r="F81">
        <v>143.9</v>
      </c>
    </row>
    <row r="82" spans="1:6" x14ac:dyDescent="0.25">
      <c r="A82" s="9">
        <v>39904</v>
      </c>
      <c r="B82">
        <v>146.4</v>
      </c>
      <c r="C82">
        <v>146.5</v>
      </c>
      <c r="E82" s="5">
        <v>146.4</v>
      </c>
      <c r="F82">
        <v>146.5</v>
      </c>
    </row>
    <row r="83" spans="1:6" x14ac:dyDescent="0.25">
      <c r="A83" s="9">
        <v>39995</v>
      </c>
      <c r="B83">
        <v>153.1</v>
      </c>
      <c r="C83">
        <v>149.9</v>
      </c>
      <c r="E83" s="5">
        <v>153.1</v>
      </c>
      <c r="F83">
        <v>149.9</v>
      </c>
    </row>
    <row r="84" spans="1:6" x14ac:dyDescent="0.25">
      <c r="A84" s="9">
        <v>40087</v>
      </c>
      <c r="B84">
        <v>154.69999999999999</v>
      </c>
      <c r="C84">
        <v>153.69999999999999</v>
      </c>
      <c r="E84" s="5">
        <v>154.69999999999999</v>
      </c>
      <c r="F84">
        <v>153.69999999999999</v>
      </c>
    </row>
    <row r="85" spans="1:6" x14ac:dyDescent="0.25">
      <c r="A85" s="9">
        <v>40179</v>
      </c>
      <c r="B85">
        <v>152.5</v>
      </c>
      <c r="C85">
        <v>157.19999999999999</v>
      </c>
      <c r="E85" s="5">
        <v>152.5</v>
      </c>
      <c r="F85">
        <v>156.9</v>
      </c>
    </row>
    <row r="86" spans="1:6" x14ac:dyDescent="0.25">
      <c r="A86" s="9">
        <v>40269</v>
      </c>
      <c r="B86">
        <v>158.9</v>
      </c>
      <c r="C86">
        <v>158.69999999999999</v>
      </c>
      <c r="E86" s="5">
        <v>158.9</v>
      </c>
      <c r="F86">
        <v>159</v>
      </c>
    </row>
    <row r="87" spans="1:6" x14ac:dyDescent="0.25">
      <c r="A87" s="9">
        <v>40360</v>
      </c>
      <c r="B87">
        <v>163.6</v>
      </c>
      <c r="C87">
        <v>160.4</v>
      </c>
      <c r="E87" s="5">
        <v>163.6</v>
      </c>
      <c r="F87">
        <v>160.30000000000001</v>
      </c>
    </row>
    <row r="88" spans="1:6" x14ac:dyDescent="0.25">
      <c r="A88" s="9">
        <v>40452</v>
      </c>
      <c r="B88">
        <v>163.5</v>
      </c>
      <c r="C88">
        <v>162.5</v>
      </c>
      <c r="E88" s="5">
        <v>163.5</v>
      </c>
      <c r="F88">
        <v>162.6</v>
      </c>
    </row>
    <row r="89" spans="1:6" x14ac:dyDescent="0.25">
      <c r="A89" s="9">
        <v>40544</v>
      </c>
      <c r="B89">
        <v>160.5</v>
      </c>
      <c r="C89">
        <v>164.9</v>
      </c>
      <c r="E89" s="5">
        <v>160.5</v>
      </c>
      <c r="F89">
        <v>164.9</v>
      </c>
    </row>
    <row r="90" spans="1:6" x14ac:dyDescent="0.25">
      <c r="A90" s="9">
        <v>40634</v>
      </c>
      <c r="B90">
        <v>166.3</v>
      </c>
      <c r="C90">
        <v>166.5</v>
      </c>
      <c r="E90" s="5">
        <v>166.3</v>
      </c>
      <c r="F90">
        <v>166.4</v>
      </c>
    </row>
    <row r="91" spans="1:6" x14ac:dyDescent="0.25">
      <c r="A91" s="9">
        <v>40725</v>
      </c>
      <c r="B91">
        <v>169.4</v>
      </c>
      <c r="C91">
        <v>166.1</v>
      </c>
      <c r="E91" s="5">
        <v>169.4</v>
      </c>
      <c r="F91">
        <v>166.1</v>
      </c>
    </row>
    <row r="92" spans="1:6" x14ac:dyDescent="0.25">
      <c r="A92" s="9">
        <v>40817</v>
      </c>
      <c r="B92">
        <v>167.7</v>
      </c>
      <c r="C92">
        <v>167.5</v>
      </c>
      <c r="E92" s="5">
        <v>167.7</v>
      </c>
      <c r="F92">
        <v>167.5</v>
      </c>
    </row>
    <row r="93" spans="1:6" x14ac:dyDescent="0.25">
      <c r="A93" s="9">
        <v>40909</v>
      </c>
      <c r="B93">
        <v>163.19999999999999</v>
      </c>
      <c r="C93">
        <v>165.3</v>
      </c>
      <c r="E93" s="5">
        <v>163.19999999999999</v>
      </c>
      <c r="F93">
        <v>165.3</v>
      </c>
    </row>
    <row r="94" spans="1:6" x14ac:dyDescent="0.25">
      <c r="A94" s="9">
        <v>41000</v>
      </c>
      <c r="B94">
        <v>168</v>
      </c>
      <c r="C94">
        <v>168.2</v>
      </c>
      <c r="E94" s="5">
        <v>168</v>
      </c>
      <c r="F94">
        <v>168.2</v>
      </c>
    </row>
    <row r="95" spans="1:6" x14ac:dyDescent="0.25">
      <c r="A95" s="9">
        <v>41091</v>
      </c>
      <c r="B95">
        <v>173.6</v>
      </c>
      <c r="C95">
        <v>171.1</v>
      </c>
      <c r="E95" s="5">
        <v>173.6</v>
      </c>
      <c r="F95">
        <v>171.1</v>
      </c>
    </row>
    <row r="96" spans="1:6" x14ac:dyDescent="0.25">
      <c r="A96" s="9">
        <v>41183</v>
      </c>
      <c r="B96">
        <v>171.9</v>
      </c>
      <c r="C96">
        <v>171.1</v>
      </c>
      <c r="E96" s="5">
        <v>171.9</v>
      </c>
      <c r="F96">
        <v>171.1</v>
      </c>
    </row>
    <row r="97" spans="1:6" x14ac:dyDescent="0.25">
      <c r="A97" s="9">
        <v>41275</v>
      </c>
      <c r="B97">
        <v>167.6</v>
      </c>
      <c r="C97">
        <v>171.8</v>
      </c>
      <c r="E97" s="5">
        <v>167.6</v>
      </c>
      <c r="F97">
        <v>172</v>
      </c>
    </row>
    <row r="98" spans="1:6" x14ac:dyDescent="0.25">
      <c r="A98" s="9">
        <v>41365</v>
      </c>
      <c r="B98">
        <v>174.7</v>
      </c>
      <c r="C98">
        <v>174.7</v>
      </c>
      <c r="E98" s="5">
        <v>174.7</v>
      </c>
      <c r="F98">
        <v>174.5</v>
      </c>
    </row>
    <row r="99" spans="1:6" x14ac:dyDescent="0.25">
      <c r="A99" s="9">
        <v>41456</v>
      </c>
      <c r="B99">
        <v>178.4</v>
      </c>
      <c r="C99">
        <v>175.3</v>
      </c>
      <c r="E99" s="5">
        <v>178.4</v>
      </c>
      <c r="F99">
        <v>175.3</v>
      </c>
    </row>
    <row r="100" spans="1:6" x14ac:dyDescent="0.25">
      <c r="A100" s="9">
        <v>41548</v>
      </c>
      <c r="B100">
        <v>176.3</v>
      </c>
      <c r="C100">
        <v>175.5</v>
      </c>
      <c r="E100" s="5">
        <v>176.3</v>
      </c>
      <c r="F100">
        <v>175.6</v>
      </c>
    </row>
    <row r="101" spans="1:6" x14ac:dyDescent="0.25">
      <c r="A101" s="9">
        <v>41640</v>
      </c>
      <c r="B101">
        <v>173.4</v>
      </c>
      <c r="C101">
        <v>177.1</v>
      </c>
      <c r="E101" s="5">
        <v>173.4</v>
      </c>
      <c r="F101">
        <v>177</v>
      </c>
    </row>
    <row r="102" spans="1:6" x14ac:dyDescent="0.25">
      <c r="A102" s="9">
        <v>41730</v>
      </c>
      <c r="B102">
        <v>174</v>
      </c>
      <c r="C102">
        <v>174.4</v>
      </c>
      <c r="E102" s="5">
        <v>174</v>
      </c>
      <c r="F102">
        <v>174.4</v>
      </c>
    </row>
    <row r="103" spans="1:6" x14ac:dyDescent="0.25">
      <c r="A103" s="9">
        <v>41821</v>
      </c>
      <c r="B103">
        <v>177.3</v>
      </c>
      <c r="C103">
        <v>174.4</v>
      </c>
      <c r="E103" s="5">
        <v>177.3</v>
      </c>
      <c r="F103">
        <v>174.4</v>
      </c>
    </row>
    <row r="104" spans="1:6" x14ac:dyDescent="0.25">
      <c r="A104" s="9">
        <v>41913</v>
      </c>
      <c r="B104">
        <v>175.9</v>
      </c>
      <c r="C104">
        <v>175.2</v>
      </c>
      <c r="E104" s="5">
        <v>175.9</v>
      </c>
      <c r="F104">
        <v>175.3</v>
      </c>
    </row>
    <row r="105" spans="1:6" x14ac:dyDescent="0.25">
      <c r="A105" s="9">
        <v>42005</v>
      </c>
      <c r="B105">
        <v>170.6</v>
      </c>
      <c r="C105">
        <v>174.1</v>
      </c>
      <c r="E105" s="5">
        <v>170.6</v>
      </c>
      <c r="F105">
        <v>173.8</v>
      </c>
    </row>
    <row r="106" spans="1:6" x14ac:dyDescent="0.25">
      <c r="A106" s="9">
        <v>42095</v>
      </c>
      <c r="B106">
        <v>169.2</v>
      </c>
      <c r="C106">
        <v>169.5</v>
      </c>
      <c r="E106" s="5">
        <v>169.2</v>
      </c>
      <c r="F106">
        <v>169.7</v>
      </c>
    </row>
    <row r="107" spans="1:6" x14ac:dyDescent="0.25">
      <c r="A107" s="9">
        <v>42186</v>
      </c>
      <c r="B107">
        <v>169.7</v>
      </c>
      <c r="C107">
        <v>167</v>
      </c>
      <c r="E107" s="5">
        <v>169.7</v>
      </c>
      <c r="F107">
        <v>167</v>
      </c>
    </row>
    <row r="108" spans="1:6" x14ac:dyDescent="0.25">
      <c r="A108" s="9">
        <v>42278</v>
      </c>
      <c r="B108">
        <v>166.2</v>
      </c>
      <c r="C108">
        <v>165.7</v>
      </c>
      <c r="E108" s="5">
        <v>166.2</v>
      </c>
      <c r="F108">
        <v>165.7</v>
      </c>
    </row>
    <row r="109" spans="1:6" x14ac:dyDescent="0.25">
      <c r="A109" s="9">
        <v>42370</v>
      </c>
      <c r="B109">
        <v>161.9</v>
      </c>
      <c r="C109">
        <v>163</v>
      </c>
      <c r="E109" s="5">
        <v>161.9</v>
      </c>
      <c r="F109">
        <v>163.30000000000001</v>
      </c>
    </row>
    <row r="110" spans="1:6" x14ac:dyDescent="0.25">
      <c r="A110" s="9">
        <v>42461</v>
      </c>
      <c r="B110">
        <v>163.80000000000001</v>
      </c>
      <c r="C110">
        <v>164</v>
      </c>
      <c r="E110" s="5">
        <v>163.80000000000001</v>
      </c>
      <c r="F110">
        <v>163.80000000000001</v>
      </c>
    </row>
    <row r="111" spans="1:6" x14ac:dyDescent="0.25">
      <c r="A111" s="9">
        <v>42552</v>
      </c>
      <c r="B111">
        <v>165.6</v>
      </c>
      <c r="C111">
        <v>162.9</v>
      </c>
      <c r="E111" s="5">
        <v>165.6</v>
      </c>
      <c r="F111">
        <v>163</v>
      </c>
    </row>
    <row r="112" spans="1:6" x14ac:dyDescent="0.25">
      <c r="A112" s="9">
        <v>42644</v>
      </c>
      <c r="B112">
        <v>162.4</v>
      </c>
      <c r="C112">
        <v>162.6</v>
      </c>
      <c r="E112" s="5">
        <v>162.4</v>
      </c>
      <c r="F112">
        <v>162.6</v>
      </c>
    </row>
    <row r="113" spans="1:6" x14ac:dyDescent="0.25">
      <c r="A113" s="9">
        <v>42736</v>
      </c>
      <c r="B113">
        <v>162.30000000000001</v>
      </c>
      <c r="C113">
        <v>164.4</v>
      </c>
      <c r="E113" s="5">
        <v>162.30000000000001</v>
      </c>
      <c r="F113">
        <v>164.4</v>
      </c>
    </row>
    <row r="114" spans="1:6" x14ac:dyDescent="0.25">
      <c r="A114" s="9">
        <v>42826</v>
      </c>
      <c r="B114">
        <v>165.1</v>
      </c>
      <c r="C114">
        <v>165.7</v>
      </c>
      <c r="E114" s="5">
        <v>165.1</v>
      </c>
      <c r="F114">
        <v>165.7</v>
      </c>
    </row>
    <row r="115" spans="1:6" x14ac:dyDescent="0.25">
      <c r="A115" s="9">
        <v>42917</v>
      </c>
      <c r="B115">
        <v>168.3</v>
      </c>
      <c r="C115">
        <v>166.2</v>
      </c>
      <c r="E115" s="5">
        <v>168.3</v>
      </c>
      <c r="F115">
        <v>166.2</v>
      </c>
    </row>
    <row r="116" spans="1:6" x14ac:dyDescent="0.25">
      <c r="A116" s="9">
        <v>43009</v>
      </c>
      <c r="B116">
        <v>166.6</v>
      </c>
      <c r="C116">
        <v>166.9</v>
      </c>
      <c r="E116" s="5">
        <v>166.6</v>
      </c>
      <c r="F116">
        <v>166.9</v>
      </c>
    </row>
    <row r="117" spans="1:6" x14ac:dyDescent="0.25">
      <c r="A117" s="9">
        <v>43101</v>
      </c>
      <c r="B117">
        <v>165.4</v>
      </c>
      <c r="C117">
        <v>167.8</v>
      </c>
      <c r="E117" s="5">
        <v>165.4</v>
      </c>
      <c r="F117">
        <v>168</v>
      </c>
    </row>
    <row r="118" spans="1:6" x14ac:dyDescent="0.25">
      <c r="A118" s="9">
        <v>43191</v>
      </c>
      <c r="B118">
        <v>167.7</v>
      </c>
      <c r="C118">
        <v>168.1</v>
      </c>
      <c r="E118" s="5">
        <v>167.7</v>
      </c>
      <c r="F118">
        <v>167.9</v>
      </c>
    </row>
    <row r="119" spans="1:6" x14ac:dyDescent="0.25">
      <c r="A119" s="9">
        <v>43282</v>
      </c>
      <c r="B119">
        <v>171.7</v>
      </c>
      <c r="C119">
        <v>169.5</v>
      </c>
      <c r="E119" s="5">
        <v>171.7</v>
      </c>
      <c r="F119">
        <v>169.5</v>
      </c>
    </row>
    <row r="120" spans="1:6" x14ac:dyDescent="0.25">
      <c r="A120" s="9">
        <v>43374</v>
      </c>
      <c r="B120">
        <v>169.2</v>
      </c>
      <c r="C120">
        <v>168.9</v>
      </c>
      <c r="E120" s="5">
        <v>169.2</v>
      </c>
      <c r="F120">
        <v>168.9</v>
      </c>
    </row>
    <row r="121" spans="1:6" x14ac:dyDescent="0.25">
      <c r="A121" s="9">
        <v>43466</v>
      </c>
      <c r="B121">
        <v>167.1</v>
      </c>
      <c r="C121">
        <v>169.8</v>
      </c>
      <c r="E121" s="5">
        <v>167.1</v>
      </c>
      <c r="F121">
        <v>169.7</v>
      </c>
    </row>
    <row r="122" spans="1:6" x14ac:dyDescent="0.25">
      <c r="A122" s="9">
        <v>43556</v>
      </c>
      <c r="B122">
        <v>169.8</v>
      </c>
      <c r="C122">
        <v>170.7</v>
      </c>
      <c r="E122" s="5">
        <v>169.8</v>
      </c>
      <c r="F122">
        <v>170.7</v>
      </c>
    </row>
    <row r="123" spans="1:6" x14ac:dyDescent="0.25">
      <c r="A123" s="9">
        <v>43647</v>
      </c>
      <c r="B123">
        <v>173.6</v>
      </c>
      <c r="C123">
        <v>170.7</v>
      </c>
      <c r="E123" s="5">
        <v>173.6</v>
      </c>
      <c r="F123">
        <v>170.7</v>
      </c>
    </row>
    <row r="124" spans="1:6" x14ac:dyDescent="0.25">
      <c r="A124" s="9">
        <v>43739</v>
      </c>
      <c r="B124">
        <v>171.7</v>
      </c>
      <c r="C124">
        <v>171.3</v>
      </c>
      <c r="E124" s="5">
        <v>171.7</v>
      </c>
      <c r="F124">
        <v>171.3</v>
      </c>
    </row>
    <row r="125" spans="1:6" x14ac:dyDescent="0.25">
      <c r="A125" s="9">
        <v>43831</v>
      </c>
      <c r="B125">
        <v>166.9</v>
      </c>
      <c r="C125">
        <v>167.4</v>
      </c>
      <c r="E125" s="5">
        <v>166.9</v>
      </c>
      <c r="F125">
        <v>167.4</v>
      </c>
    </row>
    <row r="126" spans="1:6" x14ac:dyDescent="0.25">
      <c r="A126" s="9">
        <v>43922</v>
      </c>
      <c r="B126">
        <v>151.6</v>
      </c>
      <c r="C126">
        <v>152.6</v>
      </c>
      <c r="E126" s="5">
        <v>151.6</v>
      </c>
      <c r="F126">
        <v>152.5</v>
      </c>
    </row>
    <row r="127" spans="1:6" x14ac:dyDescent="0.25">
      <c r="A127" s="9">
        <v>44013</v>
      </c>
      <c r="B127">
        <v>167.2</v>
      </c>
      <c r="C127">
        <v>164.4</v>
      </c>
      <c r="E127" s="5">
        <v>167.2</v>
      </c>
      <c r="F127">
        <v>164.5</v>
      </c>
    </row>
    <row r="128" spans="1:6" x14ac:dyDescent="0.25">
      <c r="A128" s="9">
        <v>44105</v>
      </c>
      <c r="B128">
        <v>170.1</v>
      </c>
      <c r="C128">
        <v>169.5</v>
      </c>
      <c r="E128" s="5">
        <v>170.1</v>
      </c>
      <c r="F128">
        <v>169.5</v>
      </c>
    </row>
    <row r="129" spans="1:6" x14ac:dyDescent="0.25">
      <c r="A129" s="9">
        <v>44197</v>
      </c>
      <c r="B129">
        <v>169</v>
      </c>
      <c r="C129">
        <v>171.8</v>
      </c>
      <c r="E129" s="5">
        <v>169</v>
      </c>
      <c r="F129">
        <v>171.6</v>
      </c>
    </row>
    <row r="130" spans="1:6" x14ac:dyDescent="0.25">
      <c r="A130" s="9">
        <v>44287</v>
      </c>
      <c r="B130">
        <v>170.3</v>
      </c>
      <c r="C130">
        <v>171.2</v>
      </c>
      <c r="E130" s="5">
        <v>170.3</v>
      </c>
      <c r="F130">
        <v>171.4</v>
      </c>
    </row>
    <row r="131" spans="1:6" x14ac:dyDescent="0.25">
      <c r="A131" s="9">
        <v>44378</v>
      </c>
      <c r="B131">
        <v>173.9</v>
      </c>
      <c r="C131">
        <v>171.1</v>
      </c>
      <c r="E131" s="5">
        <v>173.9</v>
      </c>
      <c r="F131">
        <v>171.1</v>
      </c>
    </row>
    <row r="132" spans="1:6" x14ac:dyDescent="0.25">
      <c r="A132" s="9">
        <v>44470</v>
      </c>
      <c r="E132">
        <v>172</v>
      </c>
      <c r="F132">
        <v>171.3</v>
      </c>
    </row>
    <row r="133" spans="1:6" x14ac:dyDescent="0.25">
      <c r="A133" s="9">
        <v>44562</v>
      </c>
      <c r="E133">
        <v>168.9</v>
      </c>
      <c r="F133">
        <v>171.5</v>
      </c>
    </row>
    <row r="134" spans="1:6" x14ac:dyDescent="0.25">
      <c r="A134" s="9">
        <v>44652</v>
      </c>
      <c r="E134">
        <v>170.4</v>
      </c>
      <c r="F134">
        <v>171.6</v>
      </c>
    </row>
    <row r="135" spans="1:6" x14ac:dyDescent="0.25">
      <c r="A135" s="9">
        <v>44743</v>
      </c>
      <c r="E135">
        <v>174.5</v>
      </c>
      <c r="F135">
        <v>171.7</v>
      </c>
    </row>
    <row r="136" spans="1:6" x14ac:dyDescent="0.25">
      <c r="A136" s="1"/>
    </row>
    <row r="137" spans="1:6" x14ac:dyDescent="0.25">
      <c r="A137" s="1"/>
    </row>
    <row r="138" spans="1:6" x14ac:dyDescent="0.25">
      <c r="A138" s="1"/>
    </row>
    <row r="139" spans="1:6" x14ac:dyDescent="0.25">
      <c r="A139" s="1"/>
    </row>
    <row r="140" spans="1:6" x14ac:dyDescent="0.25">
      <c r="A140" s="1"/>
    </row>
    <row r="141" spans="1:6" x14ac:dyDescent="0.25">
      <c r="A141" s="1"/>
    </row>
    <row r="142" spans="1:6" x14ac:dyDescent="0.25">
      <c r="A142" s="1"/>
    </row>
    <row r="143" spans="1:6" x14ac:dyDescent="0.25">
      <c r="A143" s="1"/>
    </row>
    <row r="144" spans="1:6" x14ac:dyDescent="0.25">
      <c r="A144" s="1"/>
    </row>
    <row r="145" spans="1:1" x14ac:dyDescent="0.25">
      <c r="A145" s="1"/>
    </row>
    <row r="146" spans="1:1" x14ac:dyDescent="0.25">
      <c r="A146" s="1"/>
    </row>
    <row r="147" spans="1:1" x14ac:dyDescent="0.25">
      <c r="A147" s="1"/>
    </row>
    <row r="148" spans="1:1" x14ac:dyDescent="0.25">
      <c r="A148" s="1"/>
    </row>
    <row r="149" spans="1:1" x14ac:dyDescent="0.25">
      <c r="A149" s="1"/>
    </row>
    <row r="150" spans="1:1" x14ac:dyDescent="0.25">
      <c r="A150" s="1"/>
    </row>
    <row r="151" spans="1:1" x14ac:dyDescent="0.25">
      <c r="A151" s="1"/>
    </row>
    <row r="152" spans="1:1" x14ac:dyDescent="0.25">
      <c r="A152" s="1"/>
    </row>
    <row r="153" spans="1:1" x14ac:dyDescent="0.25">
      <c r="A153" s="1"/>
    </row>
    <row r="154" spans="1:1" x14ac:dyDescent="0.25">
      <c r="A154" s="1"/>
    </row>
    <row r="155" spans="1:1" x14ac:dyDescent="0.25">
      <c r="A155" s="1"/>
    </row>
    <row r="156" spans="1:1" x14ac:dyDescent="0.25">
      <c r="A156" s="1"/>
    </row>
    <row r="157" spans="1:1" x14ac:dyDescent="0.25">
      <c r="A157" s="1"/>
    </row>
    <row r="158" spans="1:1" x14ac:dyDescent="0.25">
      <c r="A158" s="1"/>
    </row>
    <row r="159" spans="1:1" x14ac:dyDescent="0.25">
      <c r="A159" s="1"/>
    </row>
    <row r="160" spans="1:1" x14ac:dyDescent="0.25">
      <c r="A160" s="1"/>
    </row>
    <row r="161" spans="1:1" x14ac:dyDescent="0.25">
      <c r="A161" s="1"/>
    </row>
    <row r="162" spans="1:1" x14ac:dyDescent="0.25">
      <c r="A162" s="1"/>
    </row>
    <row r="163" spans="1:1" x14ac:dyDescent="0.25">
      <c r="A163" s="1"/>
    </row>
    <row r="164" spans="1:1" x14ac:dyDescent="0.25">
      <c r="A164" s="1"/>
    </row>
    <row r="165" spans="1:1" x14ac:dyDescent="0.25">
      <c r="A165" s="1"/>
    </row>
    <row r="166" spans="1:1" x14ac:dyDescent="0.25">
      <c r="A166" s="1"/>
    </row>
    <row r="167" spans="1:1" x14ac:dyDescent="0.25">
      <c r="A167" s="1"/>
    </row>
    <row r="168" spans="1:1" x14ac:dyDescent="0.25">
      <c r="A168" s="1"/>
    </row>
    <row r="169" spans="1:1" x14ac:dyDescent="0.25">
      <c r="A169" s="1"/>
    </row>
    <row r="170" spans="1:1" x14ac:dyDescent="0.25">
      <c r="A170" s="1"/>
    </row>
    <row r="171" spans="1:1" x14ac:dyDescent="0.25">
      <c r="A171" s="1"/>
    </row>
    <row r="172" spans="1:1" x14ac:dyDescent="0.25">
      <c r="A172" s="1"/>
    </row>
    <row r="173" spans="1:1" x14ac:dyDescent="0.25">
      <c r="A173" s="1"/>
    </row>
    <row r="174" spans="1:1" x14ac:dyDescent="0.25">
      <c r="A174" s="1"/>
    </row>
    <row r="175" spans="1:1" x14ac:dyDescent="0.25">
      <c r="A175" s="1"/>
    </row>
    <row r="176" spans="1:1" x14ac:dyDescent="0.25">
      <c r="A176" s="1"/>
    </row>
    <row r="177" spans="1:1" x14ac:dyDescent="0.25">
      <c r="A177" s="1"/>
    </row>
    <row r="178" spans="1:1" x14ac:dyDescent="0.25">
      <c r="A178" s="1"/>
    </row>
    <row r="179" spans="1:1" x14ac:dyDescent="0.25">
      <c r="A179" s="1"/>
    </row>
    <row r="180" spans="1:1" x14ac:dyDescent="0.25">
      <c r="A180" s="1"/>
    </row>
    <row r="181" spans="1:1" x14ac:dyDescent="0.25">
      <c r="A181" s="1"/>
    </row>
    <row r="182" spans="1:1" x14ac:dyDescent="0.25">
      <c r="A182" s="1"/>
    </row>
    <row r="183" spans="1:1" x14ac:dyDescent="0.25">
      <c r="A183" s="1"/>
    </row>
    <row r="184" spans="1:1" x14ac:dyDescent="0.25">
      <c r="A184" s="1"/>
    </row>
    <row r="185" spans="1:1" x14ac:dyDescent="0.25">
      <c r="A185" s="1"/>
    </row>
    <row r="186" spans="1:1" x14ac:dyDescent="0.25">
      <c r="A186" s="1"/>
    </row>
    <row r="187" spans="1:1" x14ac:dyDescent="0.25">
      <c r="A187" s="1"/>
    </row>
    <row r="188" spans="1:1" x14ac:dyDescent="0.25">
      <c r="A188" s="1"/>
    </row>
    <row r="189" spans="1:1" x14ac:dyDescent="0.25">
      <c r="A189" s="1"/>
    </row>
    <row r="190" spans="1:1" x14ac:dyDescent="0.25">
      <c r="A190" s="1"/>
    </row>
    <row r="191" spans="1:1" x14ac:dyDescent="0.25">
      <c r="A191" s="1"/>
    </row>
    <row r="192" spans="1:1" x14ac:dyDescent="0.25">
      <c r="A192" s="1"/>
    </row>
    <row r="193" spans="1:1" x14ac:dyDescent="0.25">
      <c r="A193" s="1"/>
    </row>
    <row r="194" spans="1:1" x14ac:dyDescent="0.25">
      <c r="A194" s="1"/>
    </row>
    <row r="195" spans="1:1" x14ac:dyDescent="0.25">
      <c r="A195" s="1"/>
    </row>
    <row r="196" spans="1:1" x14ac:dyDescent="0.25">
      <c r="A196" s="1"/>
    </row>
    <row r="197" spans="1:1" x14ac:dyDescent="0.25">
      <c r="A197" s="1"/>
    </row>
    <row r="198" spans="1:1" x14ac:dyDescent="0.25">
      <c r="A198" s="1"/>
    </row>
    <row r="199" spans="1:1" x14ac:dyDescent="0.25">
      <c r="A199" s="1"/>
    </row>
    <row r="200" spans="1:1" x14ac:dyDescent="0.25">
      <c r="A200" s="1"/>
    </row>
    <row r="201" spans="1:1" x14ac:dyDescent="0.25">
      <c r="A201" s="1"/>
    </row>
    <row r="202" spans="1:1" x14ac:dyDescent="0.25">
      <c r="A202" s="1"/>
    </row>
    <row r="203" spans="1:1" x14ac:dyDescent="0.25">
      <c r="A203" s="1"/>
    </row>
    <row r="204" spans="1:1" x14ac:dyDescent="0.25">
      <c r="A204" s="1"/>
    </row>
    <row r="205" spans="1:1" x14ac:dyDescent="0.25">
      <c r="A205" s="1"/>
    </row>
    <row r="206" spans="1:1" x14ac:dyDescent="0.25">
      <c r="A206" s="1"/>
    </row>
    <row r="207" spans="1:1" x14ac:dyDescent="0.25">
      <c r="A207" s="1"/>
    </row>
    <row r="208" spans="1:1" x14ac:dyDescent="0.25">
      <c r="A208" s="1"/>
    </row>
    <row r="209" spans="1:1" x14ac:dyDescent="0.25">
      <c r="A209" s="1"/>
    </row>
    <row r="210" spans="1:1" x14ac:dyDescent="0.25">
      <c r="A210" s="1"/>
    </row>
    <row r="211" spans="1:1" x14ac:dyDescent="0.25">
      <c r="A211" s="1"/>
    </row>
    <row r="212" spans="1:1" x14ac:dyDescent="0.25">
      <c r="A212" s="1"/>
    </row>
    <row r="213" spans="1:1" x14ac:dyDescent="0.25">
      <c r="A213" s="1"/>
    </row>
    <row r="214" spans="1:1" x14ac:dyDescent="0.25">
      <c r="A214" s="1"/>
    </row>
    <row r="215" spans="1:1" x14ac:dyDescent="0.25">
      <c r="A215" s="1"/>
    </row>
    <row r="216" spans="1:1" x14ac:dyDescent="0.25">
      <c r="A216" s="1"/>
    </row>
    <row r="217" spans="1:1" x14ac:dyDescent="0.25">
      <c r="A217" s="1"/>
    </row>
    <row r="218" spans="1:1" x14ac:dyDescent="0.25">
      <c r="A218" s="1"/>
    </row>
    <row r="219" spans="1:1" x14ac:dyDescent="0.25">
      <c r="A219" s="1"/>
    </row>
    <row r="220" spans="1:1" x14ac:dyDescent="0.25">
      <c r="A220" s="1"/>
    </row>
    <row r="221" spans="1:1" x14ac:dyDescent="0.25">
      <c r="A221" s="1"/>
    </row>
    <row r="222" spans="1:1" x14ac:dyDescent="0.25">
      <c r="A222" s="1"/>
    </row>
    <row r="223" spans="1:1" x14ac:dyDescent="0.25">
      <c r="A223" s="1"/>
    </row>
    <row r="224" spans="1:1" x14ac:dyDescent="0.25">
      <c r="A224" s="1"/>
    </row>
    <row r="225" spans="1:1" x14ac:dyDescent="0.25">
      <c r="A225" s="1"/>
    </row>
    <row r="226" spans="1:1" x14ac:dyDescent="0.25">
      <c r="A226" s="1"/>
    </row>
    <row r="227" spans="1:1" x14ac:dyDescent="0.25">
      <c r="A227" s="1"/>
    </row>
    <row r="228" spans="1:1" x14ac:dyDescent="0.25">
      <c r="A228" s="1"/>
    </row>
    <row r="229" spans="1:1" x14ac:dyDescent="0.25">
      <c r="A229" s="1"/>
    </row>
    <row r="230" spans="1:1" x14ac:dyDescent="0.25">
      <c r="A230" s="1"/>
    </row>
    <row r="231" spans="1:1" x14ac:dyDescent="0.25">
      <c r="A231" s="1"/>
    </row>
    <row r="232" spans="1:1" x14ac:dyDescent="0.25">
      <c r="A232" s="1"/>
    </row>
    <row r="233" spans="1:1" x14ac:dyDescent="0.25">
      <c r="A233" s="1"/>
    </row>
    <row r="234" spans="1:1" x14ac:dyDescent="0.25">
      <c r="A234" s="1"/>
    </row>
    <row r="235" spans="1:1" x14ac:dyDescent="0.25">
      <c r="A235" s="1"/>
    </row>
    <row r="236" spans="1:1" x14ac:dyDescent="0.25">
      <c r="A236" s="1"/>
    </row>
    <row r="237" spans="1:1" x14ac:dyDescent="0.25">
      <c r="A237" s="1"/>
    </row>
    <row r="238" spans="1:1" x14ac:dyDescent="0.25">
      <c r="A238" s="1"/>
    </row>
    <row r="239" spans="1:1" x14ac:dyDescent="0.25">
      <c r="A239" s="1"/>
    </row>
    <row r="240" spans="1:1" x14ac:dyDescent="0.25">
      <c r="A240" s="1"/>
    </row>
    <row r="241" spans="1:1" x14ac:dyDescent="0.25">
      <c r="A241" s="1"/>
    </row>
    <row r="242" spans="1:1" x14ac:dyDescent="0.25">
      <c r="A242" s="1"/>
    </row>
    <row r="243" spans="1:1" x14ac:dyDescent="0.25">
      <c r="A243" s="1"/>
    </row>
    <row r="244" spans="1:1" x14ac:dyDescent="0.25">
      <c r="A244" s="1"/>
    </row>
    <row r="245" spans="1:1" x14ac:dyDescent="0.25">
      <c r="A245" s="1"/>
    </row>
    <row r="246" spans="1:1" x14ac:dyDescent="0.25">
      <c r="A246" s="1"/>
    </row>
    <row r="247" spans="1:1" x14ac:dyDescent="0.25">
      <c r="A247" s="1"/>
    </row>
  </sheetData>
  <pageMargins left="0.511811024" right="0.511811024" top="0.78740157499999996" bottom="0.78740157499999996" header="0.31496062000000002" footer="0.31496062000000002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C7B296-BA8B-496B-9E84-1FE170AD2882}">
  <sheetPr codeName="Planilha2">
    <tabColor theme="4" tint="0.59999389629810485"/>
  </sheetPr>
  <dimension ref="A1:H5"/>
  <sheetViews>
    <sheetView showGridLines="0" zoomScale="85" zoomScaleNormal="85" workbookViewId="0">
      <selection activeCell="D3" sqref="D3"/>
    </sheetView>
  </sheetViews>
  <sheetFormatPr defaultColWidth="0" defaultRowHeight="15" x14ac:dyDescent="0.25"/>
  <cols>
    <col min="1" max="1" width="12.140625" customWidth="1"/>
    <col min="2" max="2" width="68.28515625" customWidth="1"/>
    <col min="3" max="3" width="12.140625" customWidth="1"/>
    <col min="4" max="4" width="52" customWidth="1"/>
    <col min="5" max="5" width="12.140625" customWidth="1"/>
    <col min="6" max="6" width="52" customWidth="1"/>
    <col min="7" max="7" width="2.42578125" customWidth="1"/>
    <col min="8" max="8" width="0" hidden="1" customWidth="1"/>
    <col min="9" max="16384" width="9.140625" hidden="1"/>
  </cols>
  <sheetData>
    <row r="1" spans="1:6" ht="48.75" customHeight="1" x14ac:dyDescent="0.35">
      <c r="A1" s="25" t="s">
        <v>12</v>
      </c>
      <c r="B1" s="25"/>
      <c r="C1" s="25"/>
      <c r="D1" s="25"/>
      <c r="E1" s="25"/>
      <c r="F1" s="25"/>
    </row>
    <row r="2" spans="1:6" x14ac:dyDescent="0.25">
      <c r="A2" s="2" t="s">
        <v>3</v>
      </c>
      <c r="B2" s="2" t="s">
        <v>0</v>
      </c>
      <c r="C2" s="2" t="s">
        <v>3</v>
      </c>
      <c r="D2" s="2" t="s">
        <v>0</v>
      </c>
      <c r="E2" s="2" t="s">
        <v>3</v>
      </c>
      <c r="F2" s="2" t="s">
        <v>0</v>
      </c>
    </row>
    <row r="3" spans="1:6" ht="405" x14ac:dyDescent="0.25">
      <c r="A3" s="10" t="s">
        <v>29</v>
      </c>
      <c r="B3" s="3" t="s">
        <v>30</v>
      </c>
      <c r="C3" s="10" t="s">
        <v>32</v>
      </c>
      <c r="D3" s="3" t="s">
        <v>8</v>
      </c>
      <c r="E3" s="10" t="s">
        <v>31</v>
      </c>
      <c r="F3" s="3" t="s">
        <v>33</v>
      </c>
    </row>
    <row r="5" spans="1:6" x14ac:dyDescent="0.25">
      <c r="B5" s="4"/>
    </row>
  </sheetData>
  <mergeCells count="1">
    <mergeCell ref="A1:F1"/>
  </mergeCells>
  <pageMargins left="0.511811024" right="0.511811024" top="0.78740157499999996" bottom="0.78740157499999996" header="0.31496062000000002" footer="0.31496062000000002"/>
  <pageSetup paperSize="9"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2</vt:i4>
      </vt:variant>
    </vt:vector>
  </HeadingPairs>
  <TitlesOfParts>
    <vt:vector size="2" baseType="lpstr">
      <vt:lpstr>GDP Forecasts</vt:lpstr>
      <vt:lpstr>Specs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Eduardo</dc:creator>
  <cp:lastModifiedBy>Eduardo Goncalves Costa Amaral</cp:lastModifiedBy>
  <dcterms:created xsi:type="dcterms:W3CDTF">2022-01-12T01:16:32Z</dcterms:created>
  <dcterms:modified xsi:type="dcterms:W3CDTF">2024-03-23T17:41:09Z</dcterms:modified>
</cp:coreProperties>
</file>