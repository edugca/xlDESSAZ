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09" codeName="{1BF75E64-36B4-4512-B9E4-3ED0869CA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DESSAZ\"/>
    </mc:Choice>
  </mc:AlternateContent>
  <xr:revisionPtr revIDLastSave="0" documentId="13_ncr:1_{D8418BBA-5586-4E96-9F50-5010586B2E51}" xr6:coauthVersionLast="47" xr6:coauthVersionMax="47" xr10:uidLastSave="{00000000-0000-0000-0000-000000000000}"/>
  <bookViews>
    <workbookView xWindow="-120" yWindow="-120" windowWidth="26760" windowHeight="14520" xr2:uid="{F29B9D70-8009-4EED-BCE5-54F79349A668}"/>
  </bookViews>
  <sheets>
    <sheet name="GDP Forecasts" sheetId="9" r:id="rId1"/>
    <sheet name="Specs" sheetId="2" r:id="rId2"/>
  </sheets>
  <functionGroups builtInGroupCount="19"/>
  <externalReferences>
    <externalReference r:id="rId3"/>
  </externalReferences>
  <definedNames>
    <definedName name="_xlpm.x" hidden="1" xlm="1">#NAME?</definedName>
    <definedName name="Holidays">[1]Holidays!$A$2:$A$937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9" i="9" l="1"/>
  <c r="J18" i="9"/>
  <c r="J17" i="9"/>
  <c r="J16" i="9"/>
  <c r="X16" i="9" s="1"/>
  <c r="J15" i="9"/>
  <c r="J14" i="9"/>
  <c r="J13" i="9"/>
  <c r="V13" i="9" s="1"/>
  <c r="J12" i="9"/>
  <c r="J11" i="9"/>
  <c r="J10" i="9"/>
  <c r="J9" i="9"/>
  <c r="J8" i="9"/>
  <c r="X8" i="9" s="1"/>
  <c r="J7" i="9"/>
  <c r="J6" i="9"/>
  <c r="J5" i="9"/>
  <c r="V5" i="9" s="1"/>
  <c r="AF4" i="9"/>
  <c r="AE4" i="9"/>
  <c r="AE3" i="9" s="1"/>
  <c r="AD4" i="9"/>
  <c r="AC4" i="9"/>
  <c r="AC3" i="9" s="1"/>
  <c r="AB4" i="9"/>
  <c r="AA4" i="9"/>
  <c r="AA3" i="9" s="1"/>
  <c r="Z4" i="9"/>
  <c r="AF3" i="9"/>
  <c r="AD3" i="9"/>
  <c r="AB3" i="9"/>
  <c r="Z3" i="9"/>
  <c r="U3" i="9"/>
  <c r="T3" i="9"/>
  <c r="S3" i="9"/>
  <c r="R3" i="9"/>
  <c r="Q3" i="9"/>
  <c r="P3" i="9"/>
  <c r="O3" i="9"/>
  <c r="P19" i="9" a="1"/>
  <c r="U18" i="9" a="1"/>
  <c r="R17" i="9" a="1"/>
  <c r="O16" i="9" a="1"/>
  <c r="T15" i="9" a="1"/>
  <c r="Q14" i="9" a="1"/>
  <c r="S12" i="9" a="1"/>
  <c r="P11" i="9" a="1"/>
  <c r="U10" i="9" a="1"/>
  <c r="R9" i="9" a="1"/>
  <c r="O8" i="9" a="1"/>
  <c r="T7" i="9" a="1"/>
  <c r="Q6" i="9" a="1"/>
  <c r="O19" i="9" a="1"/>
  <c r="T18" i="9" a="1"/>
  <c r="Q17" i="9" a="1"/>
  <c r="S15" i="9" a="1"/>
  <c r="P14" i="9" a="1"/>
  <c r="U13" i="9" a="1"/>
  <c r="R12" i="9" a="1"/>
  <c r="O11" i="9" a="1"/>
  <c r="T10" i="9" a="1"/>
  <c r="Q9" i="9" a="1"/>
  <c r="S7" i="9" a="1"/>
  <c r="P6" i="9" a="1"/>
  <c r="U5" i="9" a="1"/>
  <c r="E29" i="9" a="1"/>
  <c r="S18" i="9" a="1"/>
  <c r="P17" i="9" a="1"/>
  <c r="U16" i="9" a="1"/>
  <c r="R15" i="9" a="1"/>
  <c r="O14" i="9" a="1"/>
  <c r="T13" i="9" a="1"/>
  <c r="Q12" i="9" a="1"/>
  <c r="S10" i="9" a="1"/>
  <c r="P9" i="9" a="1"/>
  <c r="U8" i="9" a="1"/>
  <c r="R7" i="9" a="1"/>
  <c r="O6" i="9" a="1"/>
  <c r="T5" i="9" a="1"/>
  <c r="U19" i="9" a="1"/>
  <c r="R18" i="9" a="1"/>
  <c r="O17" i="9" a="1"/>
  <c r="T16" i="9" a="1"/>
  <c r="Q15" i="9" a="1"/>
  <c r="S13" i="9" a="1"/>
  <c r="P12" i="9" a="1"/>
  <c r="U11" i="9" a="1"/>
  <c r="R10" i="9" a="1"/>
  <c r="O9" i="9" a="1"/>
  <c r="T8" i="9" a="1"/>
  <c r="Q7" i="9" a="1"/>
  <c r="S5" i="9" a="1"/>
  <c r="T19" i="9" a="1"/>
  <c r="Q18" i="9" a="1"/>
  <c r="S16" i="9" a="1"/>
  <c r="P15" i="9" a="1"/>
  <c r="U14" i="9" a="1"/>
  <c r="R13" i="9" a="1"/>
  <c r="O12" i="9" a="1"/>
  <c r="T11" i="9" a="1"/>
  <c r="Q10" i="9" a="1"/>
  <c r="S8" i="9" a="1"/>
  <c r="P7" i="9" a="1"/>
  <c r="U6" i="9" a="1"/>
  <c r="R5" i="9" a="1"/>
  <c r="O5" i="9" a="1"/>
  <c r="S19" i="9" a="1"/>
  <c r="P18" i="9" a="1"/>
  <c r="U17" i="9" a="1"/>
  <c r="R16" i="9" a="1"/>
  <c r="O15" i="9" a="1"/>
  <c r="T14" i="9" a="1"/>
  <c r="Q13" i="9" a="1"/>
  <c r="S11" i="9" a="1"/>
  <c r="P10" i="9" a="1"/>
  <c r="U9" i="9" a="1"/>
  <c r="R8" i="9" a="1"/>
  <c r="O7" i="9" a="1"/>
  <c r="T6" i="9" a="1"/>
  <c r="Q5" i="9" a="1"/>
  <c r="R19" i="9" a="1"/>
  <c r="O18" i="9" a="1"/>
  <c r="T17" i="9" a="1"/>
  <c r="Q16" i="9" a="1"/>
  <c r="S14" i="9" a="1"/>
  <c r="P13" i="9" a="1"/>
  <c r="U12" i="9" a="1"/>
  <c r="R11" i="9" a="1"/>
  <c r="O10" i="9" a="1"/>
  <c r="T9" i="9" a="1"/>
  <c r="Q8" i="9" a="1"/>
  <c r="S6" i="9" a="1"/>
  <c r="P5" i="9" a="1"/>
  <c r="Q19" i="9" a="1"/>
  <c r="S17" i="9" a="1"/>
  <c r="P16" i="9" a="1"/>
  <c r="U15" i="9" a="1"/>
  <c r="R14" i="9" a="1"/>
  <c r="O13" i="9" a="1"/>
  <c r="T12" i="9" a="1"/>
  <c r="Q11" i="9" a="1"/>
  <c r="S9" i="9" a="1"/>
  <c r="P8" i="9" a="1"/>
  <c r="U7" i="9" a="1"/>
  <c r="R6" i="9" a="1"/>
  <c r="R6" i="9" l="1"/>
  <c r="U7" i="9"/>
  <c r="P8" i="9"/>
  <c r="AA8" i="9" s="1"/>
  <c r="S9" i="9"/>
  <c r="AD9" i="9" s="1"/>
  <c r="Q11" i="9"/>
  <c r="T12" i="9"/>
  <c r="O13" i="9"/>
  <c r="R14" i="9"/>
  <c r="AC14" i="9" s="1"/>
  <c r="U15" i="9"/>
  <c r="P16" i="9"/>
  <c r="S17" i="9"/>
  <c r="Q19" i="9"/>
  <c r="AB19" i="9" s="1"/>
  <c r="P5" i="9"/>
  <c r="AA5" i="9" s="1"/>
  <c r="S6" i="9"/>
  <c r="Q8" i="9"/>
  <c r="T9" i="9"/>
  <c r="O10" i="9"/>
  <c r="R11" i="9"/>
  <c r="U12" i="9"/>
  <c r="P13" i="9"/>
  <c r="S14" i="9"/>
  <c r="Q16" i="9"/>
  <c r="T17" i="9"/>
  <c r="O18" i="9"/>
  <c r="R19" i="9"/>
  <c r="Q5" i="9"/>
  <c r="T6" i="9"/>
  <c r="O7" i="9"/>
  <c r="R8" i="9"/>
  <c r="U9" i="9"/>
  <c r="AF9" i="9" s="1"/>
  <c r="P10" i="9"/>
  <c r="AA10" i="9" s="1"/>
  <c r="S11" i="9"/>
  <c r="Q13" i="9"/>
  <c r="T14" i="9"/>
  <c r="O15" i="9"/>
  <c r="R16" i="9"/>
  <c r="U17" i="9"/>
  <c r="P18" i="9"/>
  <c r="S19" i="9"/>
  <c r="O5" i="9"/>
  <c r="Z5" i="9" s="1"/>
  <c r="R5" i="9"/>
  <c r="AC5" i="9" s="1"/>
  <c r="U6" i="9"/>
  <c r="AF6" i="9" s="1"/>
  <c r="P7" i="9"/>
  <c r="AA7" i="9" s="1"/>
  <c r="S8" i="9"/>
  <c r="AD8" i="9" s="1"/>
  <c r="Q10" i="9"/>
  <c r="T11" i="9"/>
  <c r="AE11" i="9" s="1"/>
  <c r="O12" i="9"/>
  <c r="Z12" i="9" s="1"/>
  <c r="R13" i="9"/>
  <c r="U14" i="9"/>
  <c r="P15" i="9"/>
  <c r="S16" i="9"/>
  <c r="Q18" i="9"/>
  <c r="T19" i="9"/>
  <c r="S5" i="9"/>
  <c r="Q7" i="9"/>
  <c r="T8" i="9"/>
  <c r="O9" i="9"/>
  <c r="R10" i="9"/>
  <c r="U11" i="9"/>
  <c r="P12" i="9"/>
  <c r="S13" i="9"/>
  <c r="Q15" i="9"/>
  <c r="T16" i="9"/>
  <c r="AE16" i="9" s="1"/>
  <c r="O17" i="9"/>
  <c r="R18" i="9"/>
  <c r="U19" i="9"/>
  <c r="T5" i="9"/>
  <c r="O6" i="9"/>
  <c r="R7" i="9"/>
  <c r="U8" i="9"/>
  <c r="P9" i="9"/>
  <c r="S10" i="9"/>
  <c r="Q12" i="9"/>
  <c r="T13" i="9"/>
  <c r="O14" i="9"/>
  <c r="R15" i="9"/>
  <c r="U16" i="9"/>
  <c r="P17" i="9"/>
  <c r="AA17" i="9" s="1"/>
  <c r="S18" i="9"/>
  <c r="AD18" i="9" s="1"/>
  <c r="E29" i="9"/>
  <c r="U5" i="9"/>
  <c r="P6" i="9"/>
  <c r="S7" i="9"/>
  <c r="Q9" i="9"/>
  <c r="T10" i="9"/>
  <c r="O11" i="9"/>
  <c r="Z11" i="9" s="1"/>
  <c r="R12" i="9"/>
  <c r="U13" i="9"/>
  <c r="P14" i="9"/>
  <c r="S15" i="9"/>
  <c r="AD15" i="9" s="1"/>
  <c r="Q17" i="9"/>
  <c r="AB17" i="9" s="1"/>
  <c r="T18" i="9"/>
  <c r="O19" i="9"/>
  <c r="Q6" i="9"/>
  <c r="T7" i="9"/>
  <c r="AE7" i="9" s="1"/>
  <c r="O8" i="9"/>
  <c r="R9" i="9"/>
  <c r="U10" i="9"/>
  <c r="P11" i="9"/>
  <c r="S12" i="9"/>
  <c r="Q14" i="9"/>
  <c r="T15" i="9"/>
  <c r="AE15" i="9" s="1"/>
  <c r="O16" i="9"/>
  <c r="R17" i="9"/>
  <c r="U18" i="9"/>
  <c r="P19" i="9"/>
  <c r="AB6" i="9"/>
  <c r="AF12" i="9"/>
  <c r="AB14" i="9"/>
  <c r="AD17" i="9"/>
  <c r="AF10" i="9"/>
  <c r="AF18" i="9"/>
  <c r="AF15" i="9"/>
  <c r="Z19" i="9"/>
  <c r="W13" i="9"/>
  <c r="Y16" i="9"/>
  <c r="AE17" i="9"/>
  <c r="AA19" i="9"/>
  <c r="W5" i="9"/>
  <c r="AD6" i="9"/>
  <c r="Z8" i="9"/>
  <c r="V10" i="9"/>
  <c r="AB11" i="9"/>
  <c r="X13" i="9"/>
  <c r="AD14" i="9"/>
  <c r="Z16" i="9"/>
  <c r="AF17" i="9"/>
  <c r="V18" i="9"/>
  <c r="W18" i="9"/>
  <c r="AC19" i="9"/>
  <c r="W10" i="9"/>
  <c r="AC11" i="9"/>
  <c r="Y13" i="9"/>
  <c r="AE14" i="9"/>
  <c r="AA16" i="9"/>
  <c r="V7" i="9"/>
  <c r="V22" i="9" s="1"/>
  <c r="AB8" i="9"/>
  <c r="X10" i="9"/>
  <c r="AD11" i="9"/>
  <c r="Z13" i="9"/>
  <c r="AF14" i="9"/>
  <c r="V15" i="9"/>
  <c r="AB16" i="9"/>
  <c r="X18" i="9"/>
  <c r="AD19" i="9"/>
  <c r="AC6" i="9"/>
  <c r="Y8" i="9"/>
  <c r="AE9" i="9"/>
  <c r="AA11" i="9"/>
  <c r="W15" i="9"/>
  <c r="AC16" i="9"/>
  <c r="Y18" i="9"/>
  <c r="AE19" i="9"/>
  <c r="W7" i="9"/>
  <c r="AC8" i="9"/>
  <c r="Y10" i="9"/>
  <c r="AA13" i="9"/>
  <c r="AB5" i="9"/>
  <c r="X7" i="9"/>
  <c r="Z10" i="9"/>
  <c r="AF11" i="9"/>
  <c r="V12" i="9"/>
  <c r="AB13" i="9"/>
  <c r="X15" i="9"/>
  <c r="AD16" i="9"/>
  <c r="Z18" i="9"/>
  <c r="AF19" i="9"/>
  <c r="W12" i="9"/>
  <c r="AC13" i="9"/>
  <c r="Y15" i="9"/>
  <c r="AA18" i="9"/>
  <c r="AE5" i="9"/>
  <c r="Y6" i="9"/>
  <c r="AA6" i="9"/>
  <c r="X5" i="9"/>
  <c r="Y5" i="9"/>
  <c r="AE6" i="9"/>
  <c r="Y7" i="9"/>
  <c r="AE8" i="9"/>
  <c r="AD5" i="9"/>
  <c r="Z7" i="9"/>
  <c r="AF8" i="9"/>
  <c r="V9" i="9"/>
  <c r="AB10" i="9"/>
  <c r="X12" i="9"/>
  <c r="AD13" i="9"/>
  <c r="Z15" i="9"/>
  <c r="AF16" i="9"/>
  <c r="V17" i="9"/>
  <c r="AB18" i="9"/>
  <c r="W17" i="9"/>
  <c r="AC18" i="9"/>
  <c r="W9" i="9"/>
  <c r="AC10" i="9"/>
  <c r="Y12" i="9"/>
  <c r="AE13" i="9"/>
  <c r="AA15" i="9"/>
  <c r="AF5" i="9"/>
  <c r="V6" i="9"/>
  <c r="AB7" i="9"/>
  <c r="X9" i="9"/>
  <c r="AD10" i="9"/>
  <c r="AF13" i="9"/>
  <c r="V14" i="9"/>
  <c r="AB15" i="9"/>
  <c r="X17" i="9"/>
  <c r="W14" i="9"/>
  <c r="AC15" i="9"/>
  <c r="Y17" i="9"/>
  <c r="AE18" i="9"/>
  <c r="W6" i="9"/>
  <c r="AC7" i="9"/>
  <c r="Y9" i="9"/>
  <c r="AE10" i="9"/>
  <c r="AA12" i="9"/>
  <c r="X6" i="9"/>
  <c r="AD7" i="9"/>
  <c r="Z9" i="9"/>
  <c r="V11" i="9"/>
  <c r="AB12" i="9"/>
  <c r="X14" i="9"/>
  <c r="Z17" i="9"/>
  <c r="V19" i="9"/>
  <c r="W19" i="9"/>
  <c r="W11" i="9"/>
  <c r="AC12" i="9"/>
  <c r="Y14" i="9"/>
  <c r="Z6" i="9"/>
  <c r="AF7" i="9"/>
  <c r="V8" i="9"/>
  <c r="V21" i="9" s="1"/>
  <c r="AB9" i="9"/>
  <c r="X11" i="9"/>
  <c r="AD12" i="9"/>
  <c r="Z14" i="9"/>
  <c r="V16" i="9"/>
  <c r="X19" i="9"/>
  <c r="AA9" i="9"/>
  <c r="W16" i="9"/>
  <c r="AC17" i="9"/>
  <c r="Y19" i="9"/>
  <c r="W8" i="9"/>
  <c r="AC9" i="9"/>
  <c r="Y11" i="9"/>
  <c r="AE12" i="9"/>
  <c r="AA14" i="9"/>
  <c r="F29" i="9" a="1"/>
  <c r="F29" i="9" l="1"/>
  <c r="AA21" i="9"/>
  <c r="AA22" i="9"/>
  <c r="AC21" i="9"/>
  <c r="AC22" i="9"/>
  <c r="Z21" i="9"/>
  <c r="Z22" i="9"/>
  <c r="Y21" i="9"/>
  <c r="Y22" i="9"/>
  <c r="X21" i="9"/>
  <c r="X22" i="9"/>
  <c r="W21" i="9"/>
  <c r="W22" i="9"/>
  <c r="AE21" i="9"/>
  <c r="AE22" i="9"/>
  <c r="AB21" i="9"/>
  <c r="AB22" i="9"/>
  <c r="AF22" i="9"/>
  <c r="AF21" i="9"/>
  <c r="AD21" i="9"/>
  <c r="AD2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<sst xmlns="http://schemas.openxmlformats.org/spreadsheetml/2006/main" count="39" uniqueCount="34">
  <si>
    <t>Spec</t>
  </si>
  <si>
    <t>SA</t>
  </si>
  <si>
    <t>Date</t>
  </si>
  <si>
    <t>Name</t>
  </si>
  <si>
    <t>BR GDP</t>
  </si>
  <si>
    <t>Official data</t>
  </si>
  <si>
    <t>xlDESSAZ</t>
  </si>
  <si>
    <t>Official SA</t>
  </si>
  <si>
    <t>series{
    start= 1996.1
    period = 4
    format = free
}
transform{ 
    function = auto
}
pickmdl{
   method = best
   identify = all
}
outlier{ 
    types = all
}
forecast {
   maxlead = 6
   maxback = 0
}
regression {
   aictest = (td easter)
}
estimate{ }
x11{
save=(d11 d12 d13)
savelog = q
}</t>
  </si>
  <si>
    <t>F4</t>
  </si>
  <si>
    <t>OBS;F4</t>
  </si>
  <si>
    <t>Forecast</t>
  </si>
  <si>
    <t>X13-ARIMA-SEATS specifications (with minor adaptations from original ones)
make sure that x11{ save=(d11 d12 d13) } is specified</t>
  </si>
  <si>
    <t>Ano</t>
  </si>
  <si>
    <t>Realizado</t>
  </si>
  <si>
    <t>EQM</t>
  </si>
  <si>
    <t>EMA</t>
  </si>
  <si>
    <t>X13: IBGE Spec (-12m)</t>
  </si>
  <si>
    <t>Erro X13: IBGE Spec (-12m)</t>
  </si>
  <si>
    <t>F3</t>
  </si>
  <si>
    <t>F2</t>
  </si>
  <si>
    <t>F1</t>
  </si>
  <si>
    <t>X13: IBGE Spec (-9m)</t>
  </si>
  <si>
    <t>X13: IBGE Spec (-6m)</t>
  </si>
  <si>
    <t>X13: IBGE Spec (-3m)</t>
  </si>
  <si>
    <t>=( SOMASES($B$29:$B$135; $A$29:$A$135; "&gt;=" &amp; DATA(ANO($I5);1;1); $A$29:$A$135; "&lt;=" &amp; (-1 + DATAM( DATA(ANO($I5);1;1); 3*(4-DIREITA(K$4;1)) ) ) ) + SOMA(ARRED(xlDESSAZ(DESLOC($A$29;0;0;40+4*$H5);DESLOC($B$29;0;0;40+4*$H5);K$4;;;Specs!$D$3);1)) ) /  SOMASES($B$29:$B$135; $A$29:$A$135; "&gt;=" &amp; DATA(ANO($I5)-1;1;1); $A$29:$A$135; "&lt;=" &amp; DATA(ANO($I5)-1;12;31)) - 1</t>
  </si>
  <si>
    <t>Erro X13: IBGE Spec (-9m)</t>
  </si>
  <si>
    <t>Erro X13: IBGE Spec (-6m)</t>
  </si>
  <si>
    <t>Erro X13: IBGE Spec (-3m)</t>
  </si>
  <si>
    <t>PIB: Tramo</t>
  </si>
  <si>
    <t>series{
    start= 1996.1
    period = 4
    format = free
}
transform{ 
    function = auto
}
automdl{
maxorder = (4 2)
}
outlier{ 
    types = all
}
forecast {
   maxlead = 6
   maxback = 0
}
regression {
   aictest = (td easter)
}
estimate{ }
x11{
save=(d11 d12 d13)
savelog = q
}</t>
  </si>
  <si>
    <t>PIB: X11 AR(1)</t>
  </si>
  <si>
    <t>PIB: X11 (IBGE)</t>
  </si>
  <si>
    <t>series{
    start= 1996.1
    period = 4
    format = free
}
transform{ 
    function = auto
}
arima{
model= (1 1 0)
}
outlier{ 
    types = all
}
forecast {
   maxlead = 6
   maxback = 0
}
regression {
   aictest = (td easter)
}
estimate{ }
x11{
save=(d11 d12 d13)
savelog = q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</si>
</sst>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$-416]mmm\-yy;@"/>
    <numFmt numFmtId="165" formatCode="0.0"/>
    <numFmt numFmtId="166" formatCode="0.0%"/>
    <numFmt numFmtId="167" formatCode="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26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1" xfId="0" applyBorder="1" applyAlignment="1">
      <alignment vertical="top" wrapText="1"/>
    </xf>
    <xf numFmtId="0" fontId="0" fillId="0" borderId="0" xfId="0" applyAlignment="1">
      <alignment wrapText="1"/>
    </xf>
    <xf numFmtId="165" fontId="0" fillId="0" borderId="0" xfId="0" applyNumberFormat="1"/>
    <xf numFmtId="166" fontId="0" fillId="0" borderId="0" xfId="1" applyNumberFormat="1" applyFon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0" fillId="3" borderId="1" xfId="0" applyFill="1" applyBorder="1" applyAlignment="1">
      <alignment horizontal="center" vertical="top" wrapText="1"/>
    </xf>
    <xf numFmtId="166" fontId="0" fillId="0" borderId="0" xfId="0" applyNumberFormat="1"/>
    <xf numFmtId="10" fontId="0" fillId="0" borderId="0" xfId="0" applyNumberFormat="1"/>
    <xf numFmtId="0" fontId="2" fillId="0" borderId="3" xfId="0" applyFont="1" applyBorder="1"/>
    <xf numFmtId="166" fontId="0" fillId="0" borderId="3" xfId="0" applyNumberFormat="1" applyBorder="1"/>
    <xf numFmtId="166" fontId="0" fillId="0" borderId="2" xfId="1" applyNumberFormat="1" applyFont="1" applyBorder="1"/>
    <xf numFmtId="167" fontId="0" fillId="0" borderId="0" xfId="0" applyNumberFormat="1"/>
    <xf numFmtId="0" fontId="0" fillId="0" borderId="0" xfId="0" applyAlignment="1">
      <alignment horizontal="center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6" fillId="4" borderId="0" xfId="0" applyFont="1" applyFill="1" applyAlignment="1">
      <alignment wrapText="1"/>
    </xf>
    <xf numFmtId="0" fontId="6" fillId="7" borderId="0" xfId="0" applyFont="1" applyFill="1" applyAlignment="1">
      <alignment wrapText="1"/>
    </xf>
    <xf numFmtId="0" fontId="0" fillId="6" borderId="0" xfId="0" applyFill="1" applyAlignment="1">
      <alignment horizontal="center"/>
    </xf>
    <xf numFmtId="0" fontId="0" fillId="8" borderId="0" xfId="0" quotePrefix="1" applyFill="1"/>
    <xf numFmtId="166" fontId="0" fillId="9" borderId="0" xfId="1" applyNumberFormat="1" applyFont="1" applyFill="1"/>
    <xf numFmtId="0" fontId="4" fillId="5" borderId="0" xfId="0" applyFont="1" applyFill="1" applyAlignment="1">
      <alignment horizontal="left" wrapText="1"/>
    </xf>
  </cellXfs>
  <cellStyles count="3">
    <cellStyle name="Normal" xfId="0" builtinId="0"/>
    <cellStyle name="Normal 2" xfId="2" xr:uid="{37EFEC2C-8610-4B1A-AD95-746AA27D3980}"/>
    <cellStyle name="Porcentagem" xfId="1" builtinId="5"/>
  </cellStyles>
  <dxfs count="0"/>
  <tableStyles count="1" defaultTableStyle="TableStyleMedium2" defaultPivotStyle="PivotStyleLight16">
    <tableStyle name="Invisible" pivot="0" table="0" count="0" xr9:uid="{592CD688-896F-47FF-B94D-7EA471DC78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100"/>
              <a:t>PIB Brasil: Erro quadrático médio das projeções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1857106589201376E-2"/>
          <c:y val="0.26353633084603245"/>
          <c:w val="0.8771948829668974"/>
          <c:h val="0.55299602009742077"/>
        </c:manualLayout>
      </c:layout>
      <c:lineChart>
        <c:grouping val="standard"/>
        <c:varyColors val="0"/>
        <c:ser>
          <c:idx val="0"/>
          <c:order val="0"/>
          <c:tx>
            <c:v>X13: IBGE Spec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'GDP Forecasts'!$K$4:$N$4</c:f>
              <c:strCache>
                <c:ptCount val="4"/>
                <c:pt idx="0">
                  <c:v>F4</c:v>
                </c:pt>
                <c:pt idx="1">
                  <c:v>F3</c:v>
                </c:pt>
                <c:pt idx="2">
                  <c:v>F2</c:v>
                </c:pt>
                <c:pt idx="3">
                  <c:v>F1</c:v>
                </c:pt>
              </c:strCache>
            </c:strRef>
          </c:cat>
          <c:val>
            <c:numRef>
              <c:f>'GDP Forecasts'!$V$22:$Y$22</c:f>
              <c:numCache>
                <c:formatCode>0.00%</c:formatCode>
                <c:ptCount val="4"/>
                <c:pt idx="0">
                  <c:v>2.438034350453918E-2</c:v>
                </c:pt>
                <c:pt idx="1">
                  <c:v>2.2400546029195893E-2</c:v>
                </c:pt>
                <c:pt idx="2">
                  <c:v>2.0400375011008436E-2</c:v>
                </c:pt>
                <c:pt idx="3">
                  <c:v>1.2818357217917464E-2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D1-4903-8552-C4FF7A5B2193}"/>
            </c:ext>
          </c:extLst>
        </c:ser>
        <c:ser>
          <c:idx val="1"/>
          <c:order val="1"/>
          <c:tx>
            <c:v>Focus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'GDP Forecasts'!$K$4:$N$4</c:f>
              <c:strCache>
                <c:ptCount val="4"/>
                <c:pt idx="0">
                  <c:v>F4</c:v>
                </c:pt>
                <c:pt idx="1">
                  <c:v>F3</c:v>
                </c:pt>
                <c:pt idx="2">
                  <c:v>F2</c:v>
                </c:pt>
                <c:pt idx="3">
                  <c:v>F1</c:v>
                </c:pt>
              </c:strCache>
            </c:strRef>
          </c:cat>
          <c:val>
            <c:numRef>
              <c:f>'GDP Forecasts'!$AA$22:$AD$22</c:f>
              <c:numCache>
                <c:formatCode>0.00%</c:formatCode>
                <c:ptCount val="4"/>
                <c:pt idx="0">
                  <c:v>2.3227804508736041E-2</c:v>
                </c:pt>
                <c:pt idx="1">
                  <c:v>1.459087844993436E-2</c:v>
                </c:pt>
                <c:pt idx="2">
                  <c:v>1.061211207307863E-2</c:v>
                </c:pt>
                <c:pt idx="3">
                  <c:v>6.3062868371096511E-3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D1-4903-8552-C4FF7A5B2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357472"/>
        <c:axId val="822354144"/>
      </c:lineChart>
      <c:catAx>
        <c:axId val="82235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2354144"/>
        <c:crosses val="autoZero"/>
        <c:auto val="1"/>
        <c:lblAlgn val="ctr"/>
        <c:lblOffset val="100"/>
        <c:noMultiLvlLbl val="0"/>
      </c:catAx>
      <c:valAx>
        <c:axId val="82235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235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115957</xdr:colOff>
      <xdr:row>23</xdr:row>
      <xdr:rowOff>33129</xdr:rowOff>
    </xdr:from>
    <xdr:to>
      <xdr:col>16</xdr:col>
      <xdr:colOff>115957</xdr:colOff>
      <xdr:row>37</xdr:row>
      <xdr:rowOff>79512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A118FB2-2AF2-4CCB-AC27-46FF7E6C3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19</xdr:col>
      <xdr:colOff>0</xdr:colOff>
      <xdr:row>25</xdr:row>
      <xdr:rowOff>0</xdr:rowOff>
    </xdr:from>
    <xdr:to>
      <xdr:col>26</xdr:col>
      <xdr:colOff>104774</xdr:colOff>
      <xdr:row>39</xdr:row>
      <xdr:rowOff>47625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FA9FA09-F155-4D71-99D3-86783D3C5C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49150" y="5143500"/>
          <a:ext cx="4514850" cy="2714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0.08073</cdr:x>
      <cdr:y>0.90965</cdr:y>
    </cdr:from>
    <cdr:to>
      <cdr:x>0.22385</cdr:x>
      <cdr:y>0.96459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BBD8AB6D-0035-4C4E-836B-7EB960375C41}"/>
            </a:ext>
          </a:extLst>
        </cdr:cNvPr>
        <cdr:cNvSpPr txBox="1"/>
      </cdr:nvSpPr>
      <cdr:spPr>
        <a:xfrm xmlns:a="http://schemas.openxmlformats.org/drawingml/2006/main">
          <a:off x="364435" y="2468219"/>
          <a:ext cx="646043" cy="1490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</cdr:x>
      <cdr:y>0.90965</cdr:y>
    </cdr:from>
    <cdr:to>
      <cdr:x>0.85138</cdr:x>
      <cdr:y>0.99817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784645C1-30B5-4744-8E4C-2EB6BBCDE021}"/>
            </a:ext>
          </a:extLst>
        </cdr:cNvPr>
        <cdr:cNvSpPr txBox="1"/>
      </cdr:nvSpPr>
      <cdr:spPr>
        <a:xfrm xmlns:a="http://schemas.openxmlformats.org/drawingml/2006/main">
          <a:off x="0" y="2468219"/>
          <a:ext cx="3843130" cy="240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>
              <a:solidFill>
                <a:schemeClr val="bg1"/>
              </a:solidFill>
            </a:rPr>
            <a:t>Fonte: xlFOCUS e xlDESSAZ com dados do IBGE e do BCB/Focus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uardo/Google%20Drive/Meus%20Projetos/xlFOCUS/xlFOC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neral"/>
      <sheetName val="Summary"/>
      <sheetName val="Exp Monthly"/>
      <sheetName val="Exp Quarterly"/>
      <sheetName val="Exp Annual"/>
      <sheetName val="Exp 12 Months"/>
      <sheetName val="Top5 Monthly"/>
      <sheetName val="Top5 Annual"/>
      <sheetName val="Exp Institutions"/>
      <sheetName val="URL to Table"/>
      <sheetName val="File to Table"/>
      <sheetName val="SGS"/>
      <sheetName val="SCR"/>
      <sheetName val="SCR 2"/>
      <sheetName val="SCR Daily"/>
      <sheetName val="SCR Monthly"/>
      <sheetName val="Real Estate"/>
      <sheetName val="SGS vs FOCUS"/>
      <sheetName val="SGS vs FOCUS 2"/>
      <sheetName val="Holida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9FF86-A7A7-4799-95DB-E43F2B7444A0}">
  <sheetPr codeName="Planilha8"/>
  <dimension ref="A2:AF247"/>
  <sheetViews>
    <sheetView tabSelected="1" zoomScale="70" zoomScaleNormal="70" workbookViewId="0"/>
  </sheetViews>
  <sheetFormatPr defaultRowHeight="15" x14ac:dyDescent="0.25"/>
  <cols>
    <col min="1" max="1" width="11.85546875" bestFit="1" customWidth="1"/>
    <col min="2" max="2" width="8" bestFit="1" customWidth="1"/>
    <col min="3" max="3" width="10.7109375" bestFit="1" customWidth="1"/>
    <col min="4" max="4" width="5.140625" customWidth="1"/>
    <col min="5" max="5" width="9.140625" customWidth="1"/>
    <col min="8" max="8" width="10.140625" bestFit="1" customWidth="1"/>
    <col min="9" max="9" width="7.5703125" customWidth="1"/>
    <col min="10" max="10" width="9.5703125" bestFit="1" customWidth="1"/>
    <col min="11" max="14" width="11.85546875" bestFit="1" customWidth="1"/>
    <col min="15" max="15" width="11.28515625" bestFit="1" customWidth="1"/>
    <col min="22" max="32" width="9.5703125" customWidth="1"/>
  </cols>
  <sheetData>
    <row r="2" spans="8:32" x14ac:dyDescent="0.25">
      <c r="K2" s="23" t="s">
        <v>25</v>
      </c>
    </row>
    <row r="3" spans="8:32" ht="45" x14ac:dyDescent="0.25">
      <c r="H3" s="19"/>
      <c r="I3" s="19" t="s">
        <v>13</v>
      </c>
      <c r="J3" s="19" t="s">
        <v>14</v>
      </c>
      <c r="K3" s="21" t="s">
        <v>17</v>
      </c>
      <c r="L3" s="21" t="s">
        <v>22</v>
      </c>
      <c r="M3" s="21" t="s">
        <v>23</v>
      </c>
      <c r="N3" s="21" t="s">
        <v>24</v>
      </c>
      <c r="O3" s="21" t="str">
        <f>"Focus"&amp;CHAR(10)&amp;O4&amp;"m"</f>
        <v>Focus
-15m</v>
      </c>
      <c r="P3" s="21" t="str">
        <f>"Focus"&amp;CHAR(10)&amp;P4&amp;"m"</f>
        <v>Focus
-12m</v>
      </c>
      <c r="Q3" s="21" t="str">
        <f>"Focus"&amp;CHAR(10)&amp;Q4&amp;"m"</f>
        <v>Focus
-9m</v>
      </c>
      <c r="R3" s="21" t="str">
        <f>"Focus"&amp;CHAR(10)&amp;R4&amp;"m"</f>
        <v>Focus
-6m</v>
      </c>
      <c r="S3" s="21" t="str">
        <f>"Focus"&amp;CHAR(10)&amp;S4&amp;"m"</f>
        <v>Focus
-3m</v>
      </c>
      <c r="T3" s="21" t="str">
        <f>"Focus"&amp;CHAR(10)&amp;T4&amp;"m"</f>
        <v>Focus
0m</v>
      </c>
      <c r="U3" s="21" t="str">
        <f>"Focus"&amp;CHAR(10)&amp;U4&amp;"m"</f>
        <v>Focus
2m</v>
      </c>
      <c r="V3" s="20" t="s">
        <v>18</v>
      </c>
      <c r="W3" s="20" t="s">
        <v>26</v>
      </c>
      <c r="X3" s="20" t="s">
        <v>27</v>
      </c>
      <c r="Y3" s="20" t="s">
        <v>28</v>
      </c>
      <c r="Z3" s="20" t="str">
        <f>"Erro Focus"&amp;CHAR(10)&amp;Z4&amp;"m"</f>
        <v>Erro Focus
-15m</v>
      </c>
      <c r="AA3" s="20" t="str">
        <f>"Erro Focus"&amp;CHAR(10)&amp;AA4&amp;"m"</f>
        <v>Erro Focus
-12m</v>
      </c>
      <c r="AB3" s="20" t="str">
        <f>"Erro Focus"&amp;CHAR(10)&amp;AB4&amp;"m"</f>
        <v>Erro Focus
-9m</v>
      </c>
      <c r="AC3" s="20" t="str">
        <f>"Erro Focus"&amp;CHAR(10)&amp;AC4&amp;"m"</f>
        <v>Erro Focus
-6m</v>
      </c>
      <c r="AD3" s="20" t="str">
        <f>"Erro Focus"&amp;CHAR(10)&amp;AD4&amp;"m"</f>
        <v>Erro Focus
-3m</v>
      </c>
      <c r="AE3" s="20" t="str">
        <f>"Erro Focus"&amp;CHAR(10)&amp;AE4&amp;"m"</f>
        <v>Erro Focus
0m</v>
      </c>
      <c r="AF3" s="20" t="str">
        <f>"Erro Focus"&amp;CHAR(10)&amp;AF4&amp;"m"</f>
        <v>Erro Focus
2m</v>
      </c>
    </row>
    <row r="4" spans="8:32" x14ac:dyDescent="0.25">
      <c r="H4" s="18"/>
      <c r="I4" s="17"/>
      <c r="J4" s="17"/>
      <c r="K4" s="17" t="s">
        <v>9</v>
      </c>
      <c r="L4" s="17" t="s">
        <v>19</v>
      </c>
      <c r="M4" s="17" t="s">
        <v>20</v>
      </c>
      <c r="N4" s="17" t="s">
        <v>21</v>
      </c>
      <c r="O4" s="22">
        <v>-15</v>
      </c>
      <c r="P4" s="22">
        <v>-12</v>
      </c>
      <c r="Q4" s="22">
        <v>-9</v>
      </c>
      <c r="R4" s="22">
        <v>-6</v>
      </c>
      <c r="S4" s="22">
        <v>-3</v>
      </c>
      <c r="T4" s="22">
        <v>0</v>
      </c>
      <c r="U4" s="22">
        <v>2</v>
      </c>
      <c r="V4" s="17"/>
      <c r="W4" s="17"/>
      <c r="X4" s="17"/>
      <c r="Y4" s="17"/>
      <c r="Z4" s="17">
        <f>O4</f>
        <v>-15</v>
      </c>
      <c r="AA4" s="17">
        <f>P4</f>
        <v>-12</v>
      </c>
      <c r="AB4" s="17">
        <f>Q4</f>
        <v>-9</v>
      </c>
      <c r="AC4" s="17">
        <f>R4</f>
        <v>-6</v>
      </c>
      <c r="AD4" s="17">
        <f>S4</f>
        <v>-3</v>
      </c>
      <c r="AE4" s="17">
        <f>T4</f>
        <v>0</v>
      </c>
      <c r="AF4" s="17">
        <f>U4</f>
        <v>2</v>
      </c>
    </row>
    <row r="5" spans="8:32" x14ac:dyDescent="0.25">
      <c r="H5" s="18">
        <v>0</v>
      </c>
      <c r="I5" s="16">
        <v>38718</v>
      </c>
      <c r="J5" s="6">
        <f>SUMIFS($B$29:$B$135, $A$29:$A$135, "&gt;=" &amp; DATE(YEAR($I5),1,1), $A$29:$A$135, "&lt;=" &amp; DATE(YEAR($I5),12,31))  / SUMIFS($B$29:$B$135, $A$29:$A$135, "&gt;=" &amp; DATE(YEAR($I5)-1,1,1), $A$29:$A$135, "&lt;=" &amp; DATE(YEAR($I5)-1,12,31)) - 1</f>
        <v>3.9766081871345005E-2</v>
      </c>
      <c r="K5" s="24">
        <v>2.6705653021442677E-2</v>
      </c>
      <c r="L5" s="24">
        <v>1.6374269005848152E-2</v>
      </c>
      <c r="M5" s="24">
        <v>1.2865497076023136E-2</v>
      </c>
      <c r="N5" s="24">
        <v>2.2222222222222143E-2</v>
      </c>
      <c r="O5" s="6" cm="1">
        <f t="array" ref="O5">UltimoValor(xlFOCUS_ExpectativasAnuais("PIB Total",,DATE(YEAR($I5),1,1),EDATE(DATE(YEAR($I5),12,1),O$4),EDATE(DATE(YEAR($I5),12,31),O$4),0,"Mediana"))/100</f>
        <v>3.5000000000000003E-2</v>
      </c>
      <c r="P5" s="6" cm="1">
        <f t="array" ref="P5">UltimoValor(xlFOCUS_ExpectativasAnuais("PIB Total",,DATE(YEAR($I5),1,1),EDATE(DATE(YEAR($I5),12,1),P$4),EDATE(DATE(YEAR($I5),12,31),P$4),0,"Mediana"))/100</f>
        <v>3.5000000000000003E-2</v>
      </c>
      <c r="Q5" s="6" cm="1">
        <f t="array" ref="Q5">UltimoValor(xlFOCUS_ExpectativasAnuais("PIB Total",,DATE(YEAR($I5),1,1),EDATE(DATE(YEAR($I5),12,1),Q$4),EDATE(DATE(YEAR($I5),12,31),Q$4),0,"Mediana"))/100</f>
        <v>3.5000000000000003E-2</v>
      </c>
      <c r="R5" s="6" cm="1">
        <f t="array" ref="R5">UltimoValor(xlFOCUS_ExpectativasAnuais("PIB Total",,DATE(YEAR($I5),1,1),EDATE(DATE(YEAR($I5),12,1),R$4),EDATE(DATE(YEAR($I5),12,31),R$4),0,"Mediana"))/100</f>
        <v>3.6000000000000004E-2</v>
      </c>
      <c r="S5" s="6" cm="1">
        <f t="array" ref="S5">UltimoValor(xlFOCUS_ExpectativasAnuais("PIB Total",,DATE(YEAR($I5),1,1),EDATE(DATE(YEAR($I5),12,1),S$4),EDATE(DATE(YEAR($I5),12,31),S$4),0,"Mediana"))/100</f>
        <v>3.0899999999999997E-2</v>
      </c>
      <c r="T5" s="6" cm="1">
        <f t="array" ref="T5">UltimoValor(xlFOCUS_ExpectativasAnuais("PIB Total",,DATE(YEAR($I5),1,1),EDATE(DATE(YEAR($I5),12,1),T$4),EDATE(DATE(YEAR($I5),12,31),T$4),0,"Mediana"))/100</f>
        <v>2.7400000000000001E-2</v>
      </c>
      <c r="U5" s="6" cm="1">
        <f t="array" ref="U5">UltimoValor(xlFOCUS_ExpectativasAnuais("PIB Total",,DATE(YEAR($I5),1,1),EDATE(DATE(YEAR($I5),12,1),U$4),EDATE(DATE(YEAR($I5),12,31),U$4),0,"Mediana"))/100</f>
        <v>2.7099999999999999E-2</v>
      </c>
      <c r="V5" s="11">
        <f>$J5-K5</f>
        <v>1.3060428849902328E-2</v>
      </c>
      <c r="W5" s="11">
        <f>$J5-L5</f>
        <v>2.3391812865496853E-2</v>
      </c>
      <c r="X5" s="11">
        <f>$J5-M5</f>
        <v>2.6900584795321869E-2</v>
      </c>
      <c r="Y5" s="11">
        <f>$J5-N5</f>
        <v>1.7543859649122862E-2</v>
      </c>
      <c r="Z5" s="11">
        <f>$J5-O5</f>
        <v>4.7660818713450015E-3</v>
      </c>
      <c r="AA5" s="11">
        <f>$J5-P5</f>
        <v>4.7660818713450015E-3</v>
      </c>
      <c r="AB5" s="11">
        <f>$J5-Q5</f>
        <v>4.7660818713450015E-3</v>
      </c>
      <c r="AC5" s="11">
        <f>$J5-R5</f>
        <v>3.7660818713450006E-3</v>
      </c>
      <c r="AD5" s="11">
        <f>$J5-S5</f>
        <v>8.8660818713450079E-3</v>
      </c>
      <c r="AE5" s="11">
        <f>$J5-T5</f>
        <v>1.2366081871345004E-2</v>
      </c>
      <c r="AF5" s="11">
        <f>$J5-U5</f>
        <v>1.2666081871345006E-2</v>
      </c>
    </row>
    <row r="6" spans="8:32" x14ac:dyDescent="0.25">
      <c r="H6" s="18">
        <v>1</v>
      </c>
      <c r="I6" s="16">
        <v>39083</v>
      </c>
      <c r="J6" s="6">
        <f>SUMIFS($B$29:$B$135, $A$29:$A$135, "&gt;=" &amp; DATE(YEAR($I6),1,1), $A$29:$A$135, "&lt;=" &amp; DATE(YEAR($I6),12,31))  / SUMIFS($B$29:$B$135, $A$29:$A$135, "&gt;=" &amp; DATE(YEAR($I6)-1,1,1), $A$29:$A$135, "&lt;=" &amp; DATE(YEAR($I6)-1,12,31)) - 1</f>
        <v>6.074240719910029E-2</v>
      </c>
      <c r="K6" s="24">
        <v>4.7619047619047672E-2</v>
      </c>
      <c r="L6" s="24">
        <v>3.3370828646419382E-2</v>
      </c>
      <c r="M6" s="24">
        <v>3.0183727034120755E-2</v>
      </c>
      <c r="N6" s="24">
        <v>4.0307461567304248E-2</v>
      </c>
      <c r="O6" s="6" cm="1">
        <f t="array" ref="O6">UltimoValor(xlFOCUS_ExpectativasAnuais("PIB Total",,DATE(YEAR($I6),1,1),EDATE(DATE(YEAR($I6),12,1),O$4),EDATE(DATE(YEAR($I6),12,31),O$4),0,"Mediana"))/100</f>
        <v>3.5000000000000003E-2</v>
      </c>
      <c r="P6" s="6" cm="1">
        <f t="array" ref="P6">UltimoValor(xlFOCUS_ExpectativasAnuais("PIB Total",,DATE(YEAR($I6),1,1),EDATE(DATE(YEAR($I6),12,1),P$4),EDATE(DATE(YEAR($I6),12,31),P$4),0,"Mediana"))/100</f>
        <v>3.5000000000000003E-2</v>
      </c>
      <c r="Q6" s="6" cm="1">
        <f t="array" ref="Q6">UltimoValor(xlFOCUS_ExpectativasAnuais("PIB Total",,DATE(YEAR($I6),1,1),EDATE(DATE(YEAR($I6),12,1),Q$4),EDATE(DATE(YEAR($I6),12,31),Q$4),0,"Mediana"))/100</f>
        <v>3.5099999999999999E-2</v>
      </c>
      <c r="R6" s="6" cm="1">
        <f t="array" ref="R6">UltimoValor(xlFOCUS_ExpectativasAnuais("PIB Total",,DATE(YEAR($I6),1,1),EDATE(DATE(YEAR($I6),12,1),R$4),EDATE(DATE(YEAR($I6),12,31),R$4),0,"Mediana"))/100</f>
        <v>4.3400000000000001E-2</v>
      </c>
      <c r="S6" s="6" cm="1">
        <f t="array" ref="S6">UltimoValor(xlFOCUS_ExpectativasAnuais("PIB Total",,DATE(YEAR($I6),1,1),EDATE(DATE(YEAR($I6),12,1),S$4),EDATE(DATE(YEAR($I6),12,31),S$4),0,"Mediana"))/100</f>
        <v>4.7E-2</v>
      </c>
      <c r="T6" s="6" cm="1">
        <f t="array" ref="T6">UltimoValor(xlFOCUS_ExpectativasAnuais("PIB Total",,DATE(YEAR($I6),1,1),EDATE(DATE(YEAR($I6),12,1),T$4),EDATE(DATE(YEAR($I6),12,31),T$4),0,"Mediana"))/100</f>
        <v>5.2000000000000005E-2</v>
      </c>
      <c r="U6" s="6" cm="1">
        <f t="array" ref="U6">UltimoValor(xlFOCUS_ExpectativasAnuais("PIB Total",,DATE(YEAR($I6),1,1),EDATE(DATE(YEAR($I6),12,1),U$4),EDATE(DATE(YEAR($I6),12,31),U$4),0,"Mediana"))/100</f>
        <v>5.2400000000000002E-2</v>
      </c>
      <c r="V6" s="11">
        <f>$J6-K6</f>
        <v>1.3123359580052618E-2</v>
      </c>
      <c r="W6" s="11">
        <f>$J6-L6</f>
        <v>2.7371578552680909E-2</v>
      </c>
      <c r="X6" s="11">
        <f>$J6-M6</f>
        <v>3.0558680164979535E-2</v>
      </c>
      <c r="Y6" s="11">
        <f>$J6-N6</f>
        <v>2.0434945631796042E-2</v>
      </c>
      <c r="Z6" s="11">
        <f>$J6-O6</f>
        <v>2.5742407199100287E-2</v>
      </c>
      <c r="AA6" s="11">
        <f>$J6-P6</f>
        <v>2.5742407199100287E-2</v>
      </c>
      <c r="AB6" s="11">
        <f>$J6-Q6</f>
        <v>2.5642407199100291E-2</v>
      </c>
      <c r="AC6" s="11">
        <f>$J6-R6</f>
        <v>1.7342407199100289E-2</v>
      </c>
      <c r="AD6" s="11">
        <f>$J6-S6</f>
        <v>1.374240719910029E-2</v>
      </c>
      <c r="AE6" s="11">
        <f>$J6-T6</f>
        <v>8.7424071991002855E-3</v>
      </c>
      <c r="AF6" s="11">
        <f>$J6-U6</f>
        <v>8.3424071991002879E-3</v>
      </c>
    </row>
    <row r="7" spans="8:32" x14ac:dyDescent="0.25">
      <c r="H7" s="18">
        <v>2</v>
      </c>
      <c r="I7" s="16">
        <v>39448</v>
      </c>
      <c r="J7" s="6">
        <f>SUMIFS($B$29:$B$135, $A$29:$A$135, "&gt;=" &amp; DATE(YEAR($I7),1,1), $A$29:$A$135, "&lt;=" &amp; DATE(YEAR($I7),12,31))  / SUMIFS($B$29:$B$135, $A$29:$A$135, "&gt;=" &amp; DATE(YEAR($I7)-1,1,1), $A$29:$A$135, "&lt;=" &amp; DATE(YEAR($I7)-1,12,31)) - 1</f>
        <v>5.0901378579002898E-2</v>
      </c>
      <c r="K7" s="24">
        <v>5.3022269353128149E-2</v>
      </c>
      <c r="L7" s="24">
        <v>3.7645811240720972E-2</v>
      </c>
      <c r="M7" s="24">
        <v>3.30505478967833E-2</v>
      </c>
      <c r="N7" s="24">
        <v>4.5245669848002379E-2</v>
      </c>
      <c r="O7" s="6" cm="1">
        <f t="array" ref="O7">UltimoValor(xlFOCUS_ExpectativasAnuais("PIB Total",,DATE(YEAR($I7),1,1),EDATE(DATE(YEAR($I7),12,1),O$4),EDATE(DATE(YEAR($I7),12,31),O$4),0,"Mediana"))/100</f>
        <v>4.4000000000000004E-2</v>
      </c>
      <c r="P7" s="6" cm="1">
        <f t="array" ref="P7">UltimoValor(xlFOCUS_ExpectativasAnuais("PIB Total",,DATE(YEAR($I7),1,1),EDATE(DATE(YEAR($I7),12,1),P$4),EDATE(DATE(YEAR($I7),12,31),P$4),0,"Mediana"))/100</f>
        <v>4.4999999999999998E-2</v>
      </c>
      <c r="Q7" s="6" cm="1">
        <f t="array" ref="Q7">UltimoValor(xlFOCUS_ExpectativasAnuais("PIB Total",,DATE(YEAR($I7),1,1),EDATE(DATE(YEAR($I7),12,1),Q$4),EDATE(DATE(YEAR($I7),12,31),Q$4),0,"Mediana"))/100</f>
        <v>4.58E-2</v>
      </c>
      <c r="R7" s="6" cm="1">
        <f t="array" ref="R7">UltimoValor(xlFOCUS_ExpectativasAnuais("PIB Total",,DATE(YEAR($I7),1,1),EDATE(DATE(YEAR($I7),12,1),R$4),EDATE(DATE(YEAR($I7),12,31),R$4),0,"Mediana"))/100</f>
        <v>4.8000000000000001E-2</v>
      </c>
      <c r="S7" s="6" cm="1">
        <f t="array" ref="S7">UltimoValor(xlFOCUS_ExpectativasAnuais("PIB Total",,DATE(YEAR($I7),1,1),EDATE(DATE(YEAR($I7),12,1),S$4),EDATE(DATE(YEAR($I7),12,31),S$4),0,"Mediana"))/100</f>
        <v>5.2000000000000005E-2</v>
      </c>
      <c r="T7" s="6" cm="1">
        <f t="array" ref="T7">UltimoValor(xlFOCUS_ExpectativasAnuais("PIB Total",,DATE(YEAR($I7),1,1),EDATE(DATE(YEAR($I7),12,1),T$4),EDATE(DATE(YEAR($I7),12,31),T$4),0,"Mediana"))/100</f>
        <v>5.5999999999999994E-2</v>
      </c>
      <c r="U7" s="6" cm="1">
        <f t="array" ref="U7">UltimoValor(xlFOCUS_ExpectativasAnuais("PIB Total",,DATE(YEAR($I7),1,1),EDATE(DATE(YEAR($I7),12,1),U$4),EDATE(DATE(YEAR($I7),12,31),U$4),0,"Mediana"))/100</f>
        <v>5.21E-2</v>
      </c>
      <c r="V7" s="11">
        <f>$J7-K7</f>
        <v>-2.1208907741252503E-3</v>
      </c>
      <c r="W7" s="11">
        <f>$J7-L7</f>
        <v>1.3255567338281926E-2</v>
      </c>
      <c r="X7" s="11">
        <f>$J7-M7</f>
        <v>1.7850830682219598E-2</v>
      </c>
      <c r="Y7" s="11">
        <f>$J7-N7</f>
        <v>5.6557087310005194E-3</v>
      </c>
      <c r="Z7" s="11">
        <f>$J7-O7</f>
        <v>6.9013785790028939E-3</v>
      </c>
      <c r="AA7" s="11">
        <f>$J7-P7</f>
        <v>5.9013785790029E-3</v>
      </c>
      <c r="AB7" s="11">
        <f>$J7-Q7</f>
        <v>5.1013785790028979E-3</v>
      </c>
      <c r="AC7" s="11">
        <f>$J7-R7</f>
        <v>2.9013785790028973E-3</v>
      </c>
      <c r="AD7" s="11">
        <f>$J7-S7</f>
        <v>-1.0986214209971062E-3</v>
      </c>
      <c r="AE7" s="11">
        <f>$J7-T7</f>
        <v>-5.0986214209970959E-3</v>
      </c>
      <c r="AF7" s="11">
        <f>$J7-U7</f>
        <v>-1.1986214209971022E-3</v>
      </c>
    </row>
    <row r="8" spans="8:32" x14ac:dyDescent="0.25">
      <c r="H8" s="18">
        <v>3</v>
      </c>
      <c r="I8" s="16">
        <v>39814</v>
      </c>
      <c r="J8" s="6">
        <f>SUMIFS($B$29:$B$135, $A$29:$A$135, "&gt;=" &amp; DATE(YEAR($I8),1,1), $A$29:$A$135, "&lt;=" &amp; DATE(YEAR($I8),12,31))  / SUMIFS($B$29:$B$135, $A$29:$A$135, "&gt;=" &amp; DATE(YEAR($I8)-1,1,1), $A$29:$A$135, "&lt;=" &amp; DATE(YEAR($I8)-1,12,31)) - 1</f>
        <v>-1.1772620248903243E-3</v>
      </c>
      <c r="K8" s="24">
        <v>1.1772620248907018E-2</v>
      </c>
      <c r="L8" s="24">
        <v>-7.3999327278840843E-3</v>
      </c>
      <c r="M8" s="24">
        <v>-2.102253615876204E-2</v>
      </c>
      <c r="N8" s="24">
        <v>-1.8668012108980725E-2</v>
      </c>
      <c r="O8" s="6" cm="1">
        <f t="array" ref="O8">UltimoValor(xlFOCUS_ExpectativasAnuais("PIB Total",,DATE(YEAR($I8),1,1),EDATE(DATE(YEAR($I8),12,1),O$4),EDATE(DATE(YEAR($I8),12,31),O$4),0,"Mediana"))/100</f>
        <v>3.5000000000000003E-2</v>
      </c>
      <c r="P8" s="6" cm="1">
        <f t="array" ref="P8">UltimoValor(xlFOCUS_ExpectativasAnuais("PIB Total",,DATE(YEAR($I8),1,1),EDATE(DATE(YEAR($I8),12,1),P$4),EDATE(DATE(YEAR($I8),12,31),P$4),0,"Mediana"))/100</f>
        <v>2.35E-2</v>
      </c>
      <c r="Q8" s="6" cm="1">
        <f t="array" ref="Q8">UltimoValor(xlFOCUS_ExpectativasAnuais("PIB Total",,DATE(YEAR($I8),1,1),EDATE(DATE(YEAR($I8),12,1),Q$4),EDATE(DATE(YEAR($I8),12,31),Q$4),0,"Mediana"))/100</f>
        <v>-2.0000000000000001E-4</v>
      </c>
      <c r="R8" s="6" cm="1">
        <f t="array" ref="R8">UltimoValor(xlFOCUS_ExpectativasAnuais("PIB Total",,DATE(YEAR($I8),1,1),EDATE(DATE(YEAR($I8),12,1),R$4),EDATE(DATE(YEAR($I8),12,31),R$4),0,"Mediana"))/100</f>
        <v>-4.8999999999999998E-3</v>
      </c>
      <c r="S8" s="6" cm="1">
        <f t="array" ref="S8">UltimoValor(xlFOCUS_ExpectativasAnuais("PIB Total",,DATE(YEAR($I8),1,1),EDATE(DATE(YEAR($I8),12,1),S$4),EDATE(DATE(YEAR($I8),12,31),S$4),0,"Mediana"))/100</f>
        <v>0</v>
      </c>
      <c r="T8" s="6" cm="1">
        <f t="array" ref="T8">UltimoValor(xlFOCUS_ExpectativasAnuais("PIB Total",,DATE(YEAR($I8),1,1),EDATE(DATE(YEAR($I8),12,1),T$4),EDATE(DATE(YEAR($I8),12,31),T$4),0,"Mediana"))/100</f>
        <v>-2.3999999999999998E-3</v>
      </c>
      <c r="U8" s="6" cm="1">
        <f t="array" ref="U8">UltimoValor(xlFOCUS_ExpectativasAnuais("PIB Total",,DATE(YEAR($I8),1,1),EDATE(DATE(YEAR($I8),12,1),U$4),EDATE(DATE(YEAR($I8),12,31),U$4),0,"Mediana"))/100</f>
        <v>-2E-3</v>
      </c>
      <c r="V8" s="11">
        <f>$J8-K8</f>
        <v>-1.2949882273797342E-2</v>
      </c>
      <c r="W8" s="11">
        <f>$J8-L8</f>
        <v>6.22267070299376E-3</v>
      </c>
      <c r="X8" s="11">
        <f>$J8-M8</f>
        <v>1.9845274133871715E-2</v>
      </c>
      <c r="Y8" s="11">
        <f>$J8-N8</f>
        <v>1.7490750084090401E-2</v>
      </c>
      <c r="Z8" s="11">
        <f>$J8-O8</f>
        <v>-3.6177262024890328E-2</v>
      </c>
      <c r="AA8" s="11">
        <f>$J8-P8</f>
        <v>-2.4677262024890324E-2</v>
      </c>
      <c r="AB8" s="11">
        <f>$J8-Q8</f>
        <v>-9.7726202489032419E-4</v>
      </c>
      <c r="AC8" s="11">
        <f>$J8-R8</f>
        <v>3.7227379751096756E-3</v>
      </c>
      <c r="AD8" s="11">
        <f>$J8-S8</f>
        <v>-1.1772620248903243E-3</v>
      </c>
      <c r="AE8" s="11">
        <f>$J8-T8</f>
        <v>1.2227379751096755E-3</v>
      </c>
      <c r="AF8" s="11">
        <f>$J8-U8</f>
        <v>8.2273797510967576E-4</v>
      </c>
    </row>
    <row r="9" spans="8:32" x14ac:dyDescent="0.25">
      <c r="H9" s="18">
        <v>4</v>
      </c>
      <c r="I9" s="16">
        <v>40179</v>
      </c>
      <c r="J9" s="6">
        <f>SUMIFS($B$29:$B$135, $A$29:$A$135, "&gt;=" &amp; DATE(YEAR($I9),1,1), $A$29:$A$135, "&lt;=" &amp; DATE(YEAR($I9),12,31))  / SUMIFS($B$29:$B$135, $A$29:$A$135, "&gt;=" &amp; DATE(YEAR($I9)-1,1,1), $A$29:$A$135, "&lt;=" &amp; DATE(YEAR($I9)-1,12,31)) - 1</f>
        <v>7.5096817646068237E-2</v>
      </c>
      <c r="K9" s="24">
        <v>6.2300050513554472E-2</v>
      </c>
      <c r="L9" s="24">
        <v>4.5125441993601578E-2</v>
      </c>
      <c r="M9" s="24">
        <v>3.9232193972049023E-2</v>
      </c>
      <c r="N9" s="24">
        <v>5.135544704495687E-2</v>
      </c>
      <c r="O9" s="6" cm="1">
        <f t="array" ref="O9">UltimoValor(xlFOCUS_ExpectativasAnuais("PIB Total",,DATE(YEAR($I9),1,1),EDATE(DATE(YEAR($I9),12,1),O$4),EDATE(DATE(YEAR($I9),12,31),O$4),0,"Mediana"))/100</f>
        <v>4.4999999999999998E-2</v>
      </c>
      <c r="P9" s="6" cm="1">
        <f t="array" ref="P9">UltimoValor(xlFOCUS_ExpectativasAnuais("PIB Total",,DATE(YEAR($I9),1,1),EDATE(DATE(YEAR($I9),12,1),P$4),EDATE(DATE(YEAR($I9),12,31),P$4),0,"Mediana"))/100</f>
        <v>5.2000000000000005E-2</v>
      </c>
      <c r="Q9" s="6" cm="1">
        <f t="array" ref="Q9">UltimoValor(xlFOCUS_ExpectativasAnuais("PIB Total",,DATE(YEAR($I9),1,1),EDATE(DATE(YEAR($I9),12,1),Q$4),EDATE(DATE(YEAR($I9),12,31),Q$4),0,"Mediana"))/100</f>
        <v>5.5199999999999999E-2</v>
      </c>
      <c r="R9" s="6" cm="1">
        <f t="array" ref="R9">UltimoValor(xlFOCUS_ExpectativasAnuais("PIB Total",,DATE(YEAR($I9),1,1),EDATE(DATE(YEAR($I9),12,1),R$4),EDATE(DATE(YEAR($I9),12,31),R$4),0,"Mediana"))/100</f>
        <v>7.1800000000000003E-2</v>
      </c>
      <c r="S9" s="6" cm="1">
        <f t="array" ref="S9">UltimoValor(xlFOCUS_ExpectativasAnuais("PIB Total",,DATE(YEAR($I9),1,1),EDATE(DATE(YEAR($I9),12,1),S$4),EDATE(DATE(YEAR($I9),12,31),S$4),0,"Mediana"))/100</f>
        <v>7.5499999999999998E-2</v>
      </c>
      <c r="T9" s="6" cm="1">
        <f t="array" ref="T9">UltimoValor(xlFOCUS_ExpectativasAnuais("PIB Total",,DATE(YEAR($I9),1,1),EDATE(DATE(YEAR($I9),12,1),T$4),EDATE(DATE(YEAR($I9),12,31),T$4),0,"Mediana"))/100</f>
        <v>7.6100000000000001E-2</v>
      </c>
      <c r="U9" s="6" cm="1">
        <f t="array" ref="U9">UltimoValor(xlFOCUS_ExpectativasAnuais("PIB Total",,DATE(YEAR($I9),1,1),EDATE(DATE(YEAR($I9),12,1),U$4),EDATE(DATE(YEAR($I9),12,31),U$4),0,"Mediana"))/100</f>
        <v>7.5999999999999998E-2</v>
      </c>
      <c r="V9" s="11">
        <f>$J9-K9</f>
        <v>1.2796767132513764E-2</v>
      </c>
      <c r="W9" s="11">
        <f>$J9-L9</f>
        <v>2.9971375652466659E-2</v>
      </c>
      <c r="X9" s="11">
        <f>$J9-M9</f>
        <v>3.5864623674019214E-2</v>
      </c>
      <c r="Y9" s="11">
        <f>$J9-N9</f>
        <v>2.3741370601111367E-2</v>
      </c>
      <c r="Z9" s="11">
        <f>$J9-O9</f>
        <v>3.0096817646068239E-2</v>
      </c>
      <c r="AA9" s="11">
        <f>$J9-P9</f>
        <v>2.3096817646068232E-2</v>
      </c>
      <c r="AB9" s="11">
        <f>$J9-Q9</f>
        <v>1.9896817646068238E-2</v>
      </c>
      <c r="AC9" s="11">
        <f>$J9-R9</f>
        <v>3.2968176460682341E-3</v>
      </c>
      <c r="AD9" s="11">
        <f>$J9-S9</f>
        <v>-4.0318235393176083E-4</v>
      </c>
      <c r="AE9" s="11">
        <f>$J9-T9</f>
        <v>-1.0031823539317641E-3</v>
      </c>
      <c r="AF9" s="11">
        <f>$J9-U9</f>
        <v>-9.0318235393176127E-4</v>
      </c>
    </row>
    <row r="10" spans="8:32" x14ac:dyDescent="0.25">
      <c r="H10" s="18">
        <v>5</v>
      </c>
      <c r="I10" s="16">
        <v>40544</v>
      </c>
      <c r="J10" s="6">
        <f>SUMIFS($B$29:$B$135, $A$29:$A$135, "&gt;=" &amp; DATE(YEAR($I10),1,1), $A$29:$A$135, "&lt;=" &amp; DATE(YEAR($I10),12,31))  / SUMIFS($B$29:$B$135, $A$29:$A$135, "&gt;=" &amp; DATE(YEAR($I10)-1,1,1), $A$29:$A$135, "&lt;=" &amp; DATE(YEAR($I10)-1,12,31)) - 1</f>
        <v>3.9780736100235137E-2</v>
      </c>
      <c r="K10" s="24">
        <v>4.6515270164447786E-2</v>
      </c>
      <c r="L10" s="24">
        <v>3.0227094753328076E-2</v>
      </c>
      <c r="M10" s="24">
        <v>2.1299921691464219E-2</v>
      </c>
      <c r="N10" s="24">
        <v>2.631166797180895E-2</v>
      </c>
      <c r="O10" s="6" cm="1">
        <f t="array" ref="O10">UltimoValor(xlFOCUS_ExpectativasAnuais("PIB Total",,DATE(YEAR($I10),1,1),EDATE(DATE(YEAR($I10),12,1),O$4),EDATE(DATE(YEAR($I10),12,31),O$4),0,"Mediana"))/100</f>
        <v>4.4999999999999998E-2</v>
      </c>
      <c r="P10" s="6" cm="1">
        <f t="array" ref="P10">UltimoValor(xlFOCUS_ExpectativasAnuais("PIB Total",,DATE(YEAR($I10),1,1),EDATE(DATE(YEAR($I10),12,1),P$4),EDATE(DATE(YEAR($I10),12,31),P$4),0,"Mediana"))/100</f>
        <v>4.4999999999999998E-2</v>
      </c>
      <c r="Q10" s="6" cm="1">
        <f t="array" ref="Q10">UltimoValor(xlFOCUS_ExpectativasAnuais("PIB Total",,DATE(YEAR($I10),1,1),EDATE(DATE(YEAR($I10),12,1),Q$4),EDATE(DATE(YEAR($I10),12,31),Q$4),0,"Mediana"))/100</f>
        <v>0.04</v>
      </c>
      <c r="R10" s="6" cm="1">
        <f t="array" ref="R10">UltimoValor(xlFOCUS_ExpectativasAnuais("PIB Total",,DATE(YEAR($I10),1,1),EDATE(DATE(YEAR($I10),12,1),R$4),EDATE(DATE(YEAR($I10),12,31),R$4),0,"Mediana"))/100</f>
        <v>3.9399999999999998E-2</v>
      </c>
      <c r="S10" s="6" cm="1">
        <f t="array" ref="S10">UltimoValor(xlFOCUS_ExpectativasAnuais("PIB Total",,DATE(YEAR($I10),1,1),EDATE(DATE(YEAR($I10),12,1),S$4),EDATE(DATE(YEAR($I10),12,31),S$4),0,"Mediana"))/100</f>
        <v>3.5099999999999999E-2</v>
      </c>
      <c r="T10" s="6" cm="1">
        <f t="array" ref="T10">UltimoValor(xlFOCUS_ExpectativasAnuais("PIB Total",,DATE(YEAR($I10),1,1),EDATE(DATE(YEAR($I10),12,1),T$4),EDATE(DATE(YEAR($I10),12,31),T$4),0,"Mediana"))/100</f>
        <v>2.87E-2</v>
      </c>
      <c r="U10" s="6" cm="1">
        <f t="array" ref="U10">UltimoValor(xlFOCUS_ExpectativasAnuais("PIB Total",,DATE(YEAR($I10),1,1),EDATE(DATE(YEAR($I10),12,1),U$4),EDATE(DATE(YEAR($I10),12,31),U$4),0,"Mediana"))/100</f>
        <v>2.8199999999999999E-2</v>
      </c>
      <c r="V10" s="11">
        <f>$J10-K10</f>
        <v>-6.7345340642126494E-3</v>
      </c>
      <c r="W10" s="11">
        <f>$J10-L10</f>
        <v>9.5536413469070602E-3</v>
      </c>
      <c r="X10" s="11">
        <f>$J10-M10</f>
        <v>1.8480814408770918E-2</v>
      </c>
      <c r="Y10" s="11">
        <f>$J10-N10</f>
        <v>1.3469068128426187E-2</v>
      </c>
      <c r="Z10" s="11">
        <f>$J10-O10</f>
        <v>-5.2192638997648616E-3</v>
      </c>
      <c r="AA10" s="11">
        <f>$J10-P10</f>
        <v>-5.2192638997648616E-3</v>
      </c>
      <c r="AB10" s="11">
        <f>$J10-Q10</f>
        <v>-2.192638997648641E-4</v>
      </c>
      <c r="AC10" s="11">
        <f>$J10-R10</f>
        <v>3.8073610023513921E-4</v>
      </c>
      <c r="AD10" s="11">
        <f>$J10-S10</f>
        <v>4.6807361002351375E-3</v>
      </c>
      <c r="AE10" s="11">
        <f>$J10-T10</f>
        <v>1.1080736100235137E-2</v>
      </c>
      <c r="AF10" s="11">
        <f>$J10-U10</f>
        <v>1.1580736100235137E-2</v>
      </c>
    </row>
    <row r="11" spans="8:32" x14ac:dyDescent="0.25">
      <c r="H11" s="18">
        <v>6</v>
      </c>
      <c r="I11" s="16">
        <v>40909</v>
      </c>
      <c r="J11" s="6">
        <f>SUMIFS($B$29:$B$135, $A$29:$A$135, "&gt;=" &amp; DATE(YEAR($I11),1,1), $A$29:$A$135, "&lt;=" &amp; DATE(YEAR($I11),12,31))  / SUMIFS($B$29:$B$135, $A$29:$A$135, "&gt;=" &amp; DATE(YEAR($I11)-1,1,1), $A$29:$A$135, "&lt;=" &amp; DATE(YEAR($I11)-1,12,31)) - 1</f>
        <v>1.9280012050007178E-2</v>
      </c>
      <c r="K11" s="24">
        <v>3.765627353517087E-2</v>
      </c>
      <c r="L11" s="24">
        <v>1.8376261485163248E-2</v>
      </c>
      <c r="M11" s="24">
        <v>7.2300045187527751E-3</v>
      </c>
      <c r="N11" s="24">
        <v>1.0091881307425554E-2</v>
      </c>
      <c r="O11" s="6" cm="1">
        <f t="array" ref="O11">UltimoValor(xlFOCUS_ExpectativasAnuais("PIB Total",,DATE(YEAR($I11),1,1),EDATE(DATE(YEAR($I11),12,1),O$4),EDATE(DATE(YEAR($I11),12,31),O$4),0,"Mediana"))/100</f>
        <v>3.7000000000000005E-2</v>
      </c>
      <c r="P11" s="6" cm="1">
        <f t="array" ref="P11">UltimoValor(xlFOCUS_ExpectativasAnuais("PIB Total",,DATE(YEAR($I11),1,1),EDATE(DATE(YEAR($I11),12,1),P$4),EDATE(DATE(YEAR($I11),12,31),P$4),0,"Mediana"))/100</f>
        <v>3.3000000000000002E-2</v>
      </c>
      <c r="Q11" s="6" cm="1">
        <f t="array" ref="Q11">UltimoValor(xlFOCUS_ExpectativasAnuais("PIB Total",,DATE(YEAR($I11),1,1),EDATE(DATE(YEAR($I11),12,1),Q$4),EDATE(DATE(YEAR($I11),12,31),Q$4),0,"Mediana"))/100</f>
        <v>3.2000000000000001E-2</v>
      </c>
      <c r="R11" s="6" cm="1">
        <f t="array" ref="R11">UltimoValor(xlFOCUS_ExpectativasAnuais("PIB Total",,DATE(YEAR($I11),1,1),EDATE(DATE(YEAR($I11),12,1),R$4),EDATE(DATE(YEAR($I11),12,31),R$4),0,"Mediana"))/100</f>
        <v>2.0499999999999997E-2</v>
      </c>
      <c r="S11" s="6" cm="1">
        <f t="array" ref="S11">UltimoValor(xlFOCUS_ExpectativasAnuais("PIB Total",,DATE(YEAR($I11),1,1),EDATE(DATE(YEAR($I11),12,1),S$4),EDATE(DATE(YEAR($I11),12,31),S$4),0,"Mediana"))/100</f>
        <v>1.5700000000000002E-2</v>
      </c>
      <c r="T11" s="6" cm="1">
        <f t="array" ref="T11">UltimoValor(xlFOCUS_ExpectativasAnuais("PIB Total",,DATE(YEAR($I11),1,1),EDATE(DATE(YEAR($I11),12,1),T$4),EDATE(DATE(YEAR($I11),12,31),T$4),0,"Mediana"))/100</f>
        <v>9.7999999999999997E-3</v>
      </c>
      <c r="U11" s="6" cm="1">
        <f t="array" ref="U11">UltimoValor(xlFOCUS_ExpectativasAnuais("PIB Total",,DATE(YEAR($I11),1,1),EDATE(DATE(YEAR($I11),12,1),U$4),EDATE(DATE(YEAR($I11),12,31),U$4),0,"Mediana"))/100</f>
        <v>9.4999999999999998E-3</v>
      </c>
      <c r="V11" s="11">
        <f>$J11-K11</f>
        <v>-1.8376261485163692E-2</v>
      </c>
      <c r="W11" s="11">
        <f>$J11-L11</f>
        <v>9.0375056484393035E-4</v>
      </c>
      <c r="X11" s="11">
        <f>$J11-M11</f>
        <v>1.2050007531254403E-2</v>
      </c>
      <c r="Y11" s="11">
        <f>$J11-N11</f>
        <v>9.1881307425816239E-3</v>
      </c>
      <c r="Z11" s="11">
        <f>$J11-O11</f>
        <v>-1.7719987949992827E-2</v>
      </c>
      <c r="AA11" s="11">
        <f>$J11-P11</f>
        <v>-1.3719987949992823E-2</v>
      </c>
      <c r="AB11" s="11">
        <f>$J11-Q11</f>
        <v>-1.2719987949992823E-2</v>
      </c>
      <c r="AC11" s="11">
        <f>$J11-R11</f>
        <v>-1.2199879499928193E-3</v>
      </c>
      <c r="AD11" s="11">
        <f>$J11-S11</f>
        <v>3.580012050007176E-3</v>
      </c>
      <c r="AE11" s="11">
        <f>$J11-T11</f>
        <v>9.4800120500071784E-3</v>
      </c>
      <c r="AF11" s="11">
        <f>$J11-U11</f>
        <v>9.7800120500071783E-3</v>
      </c>
    </row>
    <row r="12" spans="8:32" x14ac:dyDescent="0.25">
      <c r="H12" s="18">
        <v>7</v>
      </c>
      <c r="I12" s="16">
        <v>41275</v>
      </c>
      <c r="J12" s="6">
        <f>SUMIFS($B$29:$B$135, $A$29:$A$135, "&gt;=" &amp; DATE(YEAR($I12),1,1), $A$29:$A$135, "&lt;=" &amp; DATE(YEAR($I12),12,31))  / SUMIFS($B$29:$B$135, $A$29:$A$135, "&gt;=" &amp; DATE(YEAR($I12)-1,1,1), $A$29:$A$135, "&lt;=" &amp; DATE(YEAR($I12)-1,12,31)) - 1</f>
        <v>2.9998522240283876E-2</v>
      </c>
      <c r="K12" s="24">
        <v>3.1032954041672722E-2</v>
      </c>
      <c r="L12" s="24">
        <v>1.6255356878971394E-2</v>
      </c>
      <c r="M12" s="24">
        <v>1.0935421900398978E-2</v>
      </c>
      <c r="N12" s="24">
        <v>1.7880892566868756E-2</v>
      </c>
      <c r="O12" s="6" cm="1">
        <f t="array" ref="O12">UltimoValor(xlFOCUS_ExpectativasAnuais("PIB Total",,DATE(YEAR($I12),1,1),EDATE(DATE(YEAR($I12),12,1),O$4),EDATE(DATE(YEAR($I12),12,31),O$4),0,"Mediana"))/100</f>
        <v>0.04</v>
      </c>
      <c r="P12" s="6" cm="1">
        <f t="array" ref="P12">UltimoValor(xlFOCUS_ExpectativasAnuais("PIB Total",,DATE(YEAR($I12),1,1),EDATE(DATE(YEAR($I12),12,1),P$4),EDATE(DATE(YEAR($I12),12,31),P$4),0,"Mediana"))/100</f>
        <v>3.3000000000000002E-2</v>
      </c>
      <c r="Q12" s="6" cm="1">
        <f t="array" ref="Q12">UltimoValor(xlFOCUS_ExpectativasAnuais("PIB Total",,DATE(YEAR($I12),1,1),EDATE(DATE(YEAR($I12),12,1),Q$4),EDATE(DATE(YEAR($I12),12,31),Q$4),0,"Mediana"))/100</f>
        <v>3.0099999999999998E-2</v>
      </c>
      <c r="R12" s="6" cm="1">
        <f t="array" ref="R12">UltimoValor(xlFOCUS_ExpectativasAnuais("PIB Total",,DATE(YEAR($I12),1,1),EDATE(DATE(YEAR($I12),12,1),R$4),EDATE(DATE(YEAR($I12),12,31),R$4),0,"Mediana"))/100</f>
        <v>2.4E-2</v>
      </c>
      <c r="S12" s="6" cm="1">
        <f t="array" ref="S12">UltimoValor(xlFOCUS_ExpectativasAnuais("PIB Total",,DATE(YEAR($I12),1,1),EDATE(DATE(YEAR($I12),12,1),S$4),EDATE(DATE(YEAR($I12),12,31),S$4),0,"Mediana"))/100</f>
        <v>2.4500000000000001E-2</v>
      </c>
      <c r="T12" s="6" cm="1">
        <f t="array" ref="T12">UltimoValor(xlFOCUS_ExpectativasAnuais("PIB Total",,DATE(YEAR($I12),1,1),EDATE(DATE(YEAR($I12),12,1),T$4),EDATE(DATE(YEAR($I12),12,31),T$4),0,"Mediana"))/100</f>
        <v>2.3E-2</v>
      </c>
      <c r="U12" s="6" cm="1">
        <f t="array" ref="U12">UltimoValor(xlFOCUS_ExpectativasAnuais("PIB Total",,DATE(YEAR($I12),1,1),EDATE(DATE(YEAR($I12),12,1),U$4),EDATE(DATE(YEAR($I12),12,31),U$4),0,"Mediana"))/100</f>
        <v>2.2000000000000002E-2</v>
      </c>
      <c r="V12" s="11">
        <f>$J12-K12</f>
        <v>-1.0344318013888465E-3</v>
      </c>
      <c r="W12" s="11">
        <f>$J12-L12</f>
        <v>1.3743165361312482E-2</v>
      </c>
      <c r="X12" s="11">
        <f>$J12-M12</f>
        <v>1.9063100339884897E-2</v>
      </c>
      <c r="Y12" s="11">
        <f>$J12-N12</f>
        <v>1.211762967341512E-2</v>
      </c>
      <c r="Z12" s="11">
        <f>$J12-O12</f>
        <v>-1.0001477759716125E-2</v>
      </c>
      <c r="AA12" s="11">
        <f>$J12-P12</f>
        <v>-3.0014777597161257E-3</v>
      </c>
      <c r="AB12" s="11">
        <f>$J12-Q12</f>
        <v>-1.0147775971612247E-4</v>
      </c>
      <c r="AC12" s="11">
        <f>$J12-R12</f>
        <v>5.9985222402838753E-3</v>
      </c>
      <c r="AD12" s="11">
        <f>$J12-S12</f>
        <v>5.4985222402838749E-3</v>
      </c>
      <c r="AE12" s="11">
        <f>$J12-T12</f>
        <v>6.9985222402838762E-3</v>
      </c>
      <c r="AF12" s="11">
        <f>$J12-U12</f>
        <v>7.9985222402838736E-3</v>
      </c>
    </row>
    <row r="13" spans="8:32" x14ac:dyDescent="0.25">
      <c r="H13" s="18">
        <v>8</v>
      </c>
      <c r="I13" s="16">
        <v>41640</v>
      </c>
      <c r="J13" s="6">
        <f>SUMIFS($B$29:$B$135, $A$29:$A$135, "&gt;=" &amp; DATE(YEAR($I13),1,1), $A$29:$A$135, "&lt;=" &amp; DATE(YEAR($I13),12,31))  / SUMIFS($B$29:$B$135, $A$29:$A$135, "&gt;=" &amp; DATE(YEAR($I13)-1,1,1), $A$29:$A$135, "&lt;=" &amp; DATE(YEAR($I13)-1,12,31)) - 1</f>
        <v>5.1649928263988176E-3</v>
      </c>
      <c r="K13" s="24">
        <v>2.81205164992826E-2</v>
      </c>
      <c r="L13" s="24">
        <v>1.6212338593974085E-2</v>
      </c>
      <c r="M13" s="24">
        <v>3.0129124820659214E-3</v>
      </c>
      <c r="N13" s="24">
        <v>1.0043041606886405E-3</v>
      </c>
      <c r="O13" s="6" cm="1">
        <f t="array" ref="O13">UltimoValor(xlFOCUS_ExpectativasAnuais("PIB Total",,DATE(YEAR($I13),1,1),EDATE(DATE(YEAR($I13),12,1),O$4),EDATE(DATE(YEAR($I13),12,31),O$4),0,"Mediana"))/100</f>
        <v>2.1700000000000001E-2</v>
      </c>
      <c r="P13" s="6" cm="1">
        <f t="array" ref="P13">UltimoValor(xlFOCUS_ExpectativasAnuais("PIB Total",,DATE(YEAR($I13),1,1),EDATE(DATE(YEAR($I13),12,1),P$4),EDATE(DATE(YEAR($I13),12,31),P$4),0,"Mediana"))/100</f>
        <v>0.02</v>
      </c>
      <c r="Q13" s="6" cm="1">
        <f t="array" ref="Q13">UltimoValor(xlFOCUS_ExpectativasAnuais("PIB Total",,DATE(YEAR($I13),1,1),EDATE(DATE(YEAR($I13),12,1),Q$4),EDATE(DATE(YEAR($I13),12,31),Q$4),0,"Mediana"))/100</f>
        <v>1.6500000000000001E-2</v>
      </c>
      <c r="R13" s="6" cm="1">
        <f t="array" ref="R13">UltimoValor(xlFOCUS_ExpectativasAnuais("PIB Total",,DATE(YEAR($I13),1,1),EDATE(DATE(YEAR($I13),12,1),R$4),EDATE(DATE(YEAR($I13),12,31),R$4),0,"Mediana"))/100</f>
        <v>1.0700000000000001E-2</v>
      </c>
      <c r="S13" s="6" cm="1">
        <f t="array" ref="S13">UltimoValor(xlFOCUS_ExpectativasAnuais("PIB Total",,DATE(YEAR($I13),1,1),EDATE(DATE(YEAR($I13),12,1),S$4),EDATE(DATE(YEAR($I13),12,31),S$4),0,"Mediana"))/100</f>
        <v>2.5999999999999999E-3</v>
      </c>
      <c r="T13" s="6" cm="1">
        <f t="array" ref="T13">UltimoValor(xlFOCUS_ExpectativasAnuais("PIB Total",,DATE(YEAR($I13),1,1),EDATE(DATE(YEAR($I13),12,1),T$4),EDATE(DATE(YEAR($I13),12,31),T$4),0,"Mediana"))/100</f>
        <v>1.5E-3</v>
      </c>
      <c r="U13" s="6" cm="1">
        <f t="array" ref="U13">UltimoValor(xlFOCUS_ExpectativasAnuais("PIB Total",,DATE(YEAR($I13),1,1),EDATE(DATE(YEAR($I13),12,1),U$4),EDATE(DATE(YEAR($I13),12,31),U$4),0,"Mediana"))/100</f>
        <v>0</v>
      </c>
      <c r="V13" s="11">
        <f>$J13-K13</f>
        <v>-2.2955523672883782E-2</v>
      </c>
      <c r="W13" s="11">
        <f>$J13-L13</f>
        <v>-1.1047345767575267E-2</v>
      </c>
      <c r="X13" s="11">
        <f>$J13-M13</f>
        <v>2.1520803443328962E-3</v>
      </c>
      <c r="Y13" s="11">
        <f>$J13-N13</f>
        <v>4.1606886657101771E-3</v>
      </c>
      <c r="Z13" s="11">
        <f>$J13-O13</f>
        <v>-1.6535007173601183E-2</v>
      </c>
      <c r="AA13" s="11">
        <f>$J13-P13</f>
        <v>-1.4835007173601183E-2</v>
      </c>
      <c r="AB13" s="11">
        <f>$J13-Q13</f>
        <v>-1.1335007173601183E-2</v>
      </c>
      <c r="AC13" s="11">
        <f>$J13-R13</f>
        <v>-5.5350071736011835E-3</v>
      </c>
      <c r="AD13" s="11">
        <f>$J13-S13</f>
        <v>2.5649928263988177E-3</v>
      </c>
      <c r="AE13" s="11">
        <f>$J13-T13</f>
        <v>3.6649928263988176E-3</v>
      </c>
      <c r="AF13" s="11">
        <f>$J13-U13</f>
        <v>5.1649928263988176E-3</v>
      </c>
    </row>
    <row r="14" spans="8:32" x14ac:dyDescent="0.25">
      <c r="H14" s="18">
        <v>9</v>
      </c>
      <c r="I14" s="16">
        <v>42005</v>
      </c>
      <c r="J14" s="6">
        <f>SUMIFS($B$29:$B$135, $A$29:$A$135, "&gt;=" &amp; DATE(YEAR($I14),1,1), $A$29:$A$135, "&lt;=" &amp; DATE(YEAR($I14),12,31))  / SUMIFS($B$29:$B$135, $A$29:$A$135, "&gt;=" &amp; DATE(YEAR($I14)-1,1,1), $A$29:$A$135, "&lt;=" &amp; DATE(YEAR($I14)-1,12,31)) - 1</f>
        <v>-3.5540964887239679E-2</v>
      </c>
      <c r="K14" s="24">
        <v>1.4416214673137251E-2</v>
      </c>
      <c r="L14" s="24">
        <v>7.1367399371968787E-4</v>
      </c>
      <c r="M14" s="24">
        <v>-1.6414501855552599E-2</v>
      </c>
      <c r="N14" s="24">
        <v>-2.7262346560091411E-2</v>
      </c>
      <c r="O14" s="6" cm="1">
        <f t="array" ref="O14">UltimoValor(xlFOCUS_ExpectativasAnuais("PIB Total",,DATE(YEAR($I14),1,1),EDATE(DATE(YEAR($I14),12,1),O$4),EDATE(DATE(YEAR($I14),12,31),O$4),0,"Mediana"))/100</f>
        <v>0.01</v>
      </c>
      <c r="P14" s="6" cm="1">
        <f t="array" ref="P14">UltimoValor(xlFOCUS_ExpectativasAnuais("PIB Total",,DATE(YEAR($I14),1,1),EDATE(DATE(YEAR($I14),12,1),P$4),EDATE(DATE(YEAR($I14),12,31),P$4),0,"Mediana"))/100</f>
        <v>5.0000000000000001E-3</v>
      </c>
      <c r="Q14" s="6" cm="1">
        <f t="array" ref="Q14">UltimoValor(xlFOCUS_ExpectativasAnuais("PIB Total",,DATE(YEAR($I14),1,1),EDATE(DATE(YEAR($I14),12,1),Q$4),EDATE(DATE(YEAR($I14),12,31),Q$4),0,"Mediana"))/100</f>
        <v>-0.01</v>
      </c>
      <c r="R14" s="6" cm="1">
        <f t="array" ref="R14">UltimoValor(xlFOCUS_ExpectativasAnuais("PIB Total",,DATE(YEAR($I14),1,1),EDATE(DATE(YEAR($I14),12,1),R$4),EDATE(DATE(YEAR($I14),12,31),R$4),0,"Mediana"))/100</f>
        <v>-1.4999999999999999E-2</v>
      </c>
      <c r="S14" s="6" cm="1">
        <f t="array" ref="S14">UltimoValor(xlFOCUS_ExpectativasAnuais("PIB Total",,DATE(YEAR($I14),1,1),EDATE(DATE(YEAR($I14),12,1),S$4),EDATE(DATE(YEAR($I14),12,31),S$4),0,"Mediana"))/100</f>
        <v>-2.8199999999999999E-2</v>
      </c>
      <c r="T14" s="6" cm="1">
        <f t="array" ref="T14">UltimoValor(xlFOCUS_ExpectativasAnuais("PIB Total",,DATE(YEAR($I14),1,1),EDATE(DATE(YEAR($I14),12,1),T$4),EDATE(DATE(YEAR($I14),12,31),T$4),0,"Mediana"))/100</f>
        <v>-3.7100000000000001E-2</v>
      </c>
      <c r="U14" s="6" cm="1">
        <f t="array" ref="U14">UltimoValor(xlFOCUS_ExpectativasAnuais("PIB Total",,DATE(YEAR($I14),1,1),EDATE(DATE(YEAR($I14),12,1),U$4),EDATE(DATE(YEAR($I14),12,31),U$4),0,"Mediana"))/100</f>
        <v>-3.8199999999999998E-2</v>
      </c>
      <c r="V14" s="11">
        <f>$J14-K14</f>
        <v>-4.995717956037693E-2</v>
      </c>
      <c r="W14" s="11">
        <f>$J14-L14</f>
        <v>-3.6254638880959367E-2</v>
      </c>
      <c r="X14" s="11">
        <f>$J14-M14</f>
        <v>-1.912646303168708E-2</v>
      </c>
      <c r="Y14" s="11">
        <f>$J14-N14</f>
        <v>-8.2786183271482683E-3</v>
      </c>
      <c r="Z14" s="11">
        <f>$J14-O14</f>
        <v>-4.5540964887239681E-2</v>
      </c>
      <c r="AA14" s="11">
        <f>$J14-P14</f>
        <v>-4.0540964887239676E-2</v>
      </c>
      <c r="AB14" s="11">
        <f>$J14-Q14</f>
        <v>-2.5540964887239677E-2</v>
      </c>
      <c r="AC14" s="11">
        <f>$J14-R14</f>
        <v>-2.0540964887239679E-2</v>
      </c>
      <c r="AD14" s="11">
        <f>$J14-S14</f>
        <v>-7.3409648872396795E-3</v>
      </c>
      <c r="AE14" s="11">
        <f>$J14-T14</f>
        <v>1.5590351127603222E-3</v>
      </c>
      <c r="AF14" s="11">
        <f>$J14-U14</f>
        <v>2.659035112760319E-3</v>
      </c>
    </row>
    <row r="15" spans="8:32" x14ac:dyDescent="0.25">
      <c r="H15" s="18">
        <v>10</v>
      </c>
      <c r="I15" s="16">
        <v>42370</v>
      </c>
      <c r="J15" s="6">
        <f>SUMIFS($B$29:$B$135, $A$29:$A$135, "&gt;=" &amp; DATE(YEAR($I15),1,1), $A$29:$A$135, "&lt;=" &amp; DATE(YEAR($I15),12,31))  / SUMIFS($B$29:$B$135, $A$29:$A$135, "&gt;=" &amp; DATE(YEAR($I15)-1,1,1), $A$29:$A$135, "&lt;=" &amp; DATE(YEAR($I15)-1,12,31)) - 1</f>
        <v>-3.2558827882196106E-2</v>
      </c>
      <c r="K15" s="24">
        <v>-2.8414977060825741E-2</v>
      </c>
      <c r="L15" s="24">
        <v>-3.2410833210004264E-2</v>
      </c>
      <c r="M15" s="24">
        <v>-3.6702678703566471E-2</v>
      </c>
      <c r="N15" s="24">
        <v>-3.4926742637264807E-2</v>
      </c>
      <c r="O15" s="6" cm="1">
        <f t="array" ref="O15">UltimoValor(xlFOCUS_ExpectativasAnuais("PIB Total",,DATE(YEAR($I15),1,1),EDATE(DATE(YEAR($I15),12,1),O$4),EDATE(DATE(YEAR($I15),12,31),O$4),0,"Mediana"))/100</f>
        <v>-0.01</v>
      </c>
      <c r="P15" s="6" cm="1">
        <f t="array" ref="P15">UltimoValor(xlFOCUS_ExpectativasAnuais("PIB Total",,DATE(YEAR($I15),1,1),EDATE(DATE(YEAR($I15),12,1),P$4),EDATE(DATE(YEAR($I15),12,31),P$4),0,"Mediana"))/100</f>
        <v>-2.9500000000000002E-2</v>
      </c>
      <c r="Q15" s="6" cm="1">
        <f t="array" ref="Q15">UltimoValor(xlFOCUS_ExpectativasAnuais("PIB Total",,DATE(YEAR($I15),1,1),EDATE(DATE(YEAR($I15),12,1),Q$4),EDATE(DATE(YEAR($I15),12,31),Q$4),0,"Mediana"))/100</f>
        <v>-3.7100000000000001E-2</v>
      </c>
      <c r="R15" s="6" cm="1">
        <f t="array" ref="R15">UltimoValor(xlFOCUS_ExpectativasAnuais("PIB Total",,DATE(YEAR($I15),1,1),EDATE(DATE(YEAR($I15),12,1),R$4),EDATE(DATE(YEAR($I15),12,31),R$4),0,"Mediana"))/100</f>
        <v>-3.39E-2</v>
      </c>
      <c r="S15" s="6" cm="1">
        <f t="array" ref="S15">UltimoValor(xlFOCUS_ExpectativasAnuais("PIB Total",,DATE(YEAR($I15),1,1),EDATE(DATE(YEAR($I15),12,1),S$4),EDATE(DATE(YEAR($I15),12,31),S$4),0,"Mediana"))/100</f>
        <v>-3.1400000000000004E-2</v>
      </c>
      <c r="T15" s="6" cm="1">
        <f t="array" ref="T15">UltimoValor(xlFOCUS_ExpectativasAnuais("PIB Total",,DATE(YEAR($I15),1,1),EDATE(DATE(YEAR($I15),12,1),T$4),EDATE(DATE(YEAR($I15),12,31),T$4),0,"Mediana"))/100</f>
        <v>-3.49E-2</v>
      </c>
      <c r="U15" s="6" cm="1">
        <f t="array" ref="U15">UltimoValor(xlFOCUS_ExpectativasAnuais("PIB Total",,DATE(YEAR($I15),1,1),EDATE(DATE(YEAR($I15),12,1),U$4),EDATE(DATE(YEAR($I15),12,31),U$4),0,"Mediana"))/100</f>
        <v>-3.5000000000000003E-2</v>
      </c>
      <c r="V15" s="11">
        <f>$J15-K15</f>
        <v>-4.1438508213703651E-3</v>
      </c>
      <c r="W15" s="11">
        <f>$J15-L15</f>
        <v>-1.4799467219184237E-4</v>
      </c>
      <c r="X15" s="11">
        <f>$J15-M15</f>
        <v>4.1438508213703651E-3</v>
      </c>
      <c r="Y15" s="11">
        <f>$J15-N15</f>
        <v>2.3679147550687007E-3</v>
      </c>
      <c r="Z15" s="11">
        <f>$J15-O15</f>
        <v>-2.2558827882196104E-2</v>
      </c>
      <c r="AA15" s="11">
        <f>$J15-P15</f>
        <v>-3.0588278821961044E-3</v>
      </c>
      <c r="AB15" s="11">
        <f>$J15-Q15</f>
        <v>4.5411721178038947E-3</v>
      </c>
      <c r="AC15" s="11">
        <f>$J15-R15</f>
        <v>1.3411721178038932E-3</v>
      </c>
      <c r="AD15" s="11">
        <f>$J15-S15</f>
        <v>-1.1588278821961021E-3</v>
      </c>
      <c r="AE15" s="11">
        <f>$J15-T15</f>
        <v>2.3411721178038941E-3</v>
      </c>
      <c r="AF15" s="11">
        <f>$J15-U15</f>
        <v>2.441172117803897E-3</v>
      </c>
    </row>
    <row r="16" spans="8:32" x14ac:dyDescent="0.25">
      <c r="H16" s="18">
        <v>11</v>
      </c>
      <c r="I16" s="16">
        <v>42736</v>
      </c>
      <c r="J16" s="6">
        <f>SUMIFS($B$29:$B$135, $A$29:$A$135, "&gt;=" &amp; DATE(YEAR($I16),1,1), $A$29:$A$135, "&lt;=" &amp; DATE(YEAR($I16),12,31))  / SUMIFS($B$29:$B$135, $A$29:$A$135, "&gt;=" &amp; DATE(YEAR($I16)-1,1,1), $A$29:$A$135, "&lt;=" &amp; DATE(YEAR($I16)-1,12,31)) - 1</f>
        <v>1.3155881903013533E-2</v>
      </c>
      <c r="K16" s="24">
        <v>-3.1818877160777248E-2</v>
      </c>
      <c r="L16" s="24">
        <v>-2.3864157870582825E-2</v>
      </c>
      <c r="M16" s="24">
        <v>-1.6368364693284398E-2</v>
      </c>
      <c r="N16" s="24">
        <v>-1.6827290806180617E-3</v>
      </c>
      <c r="O16" s="6" cm="1">
        <f t="array" ref="O16">UltimoValor(xlFOCUS_ExpectativasAnuais("PIB Total",,DATE(YEAR($I16),1,1),EDATE(DATE(YEAR($I16),12,1),O$4),EDATE(DATE(YEAR($I16),12,31),O$4),0,"Mediana"))/100</f>
        <v>1.3000000000000001E-2</v>
      </c>
      <c r="P16" s="6" cm="1">
        <f t="array" ref="P16">UltimoValor(xlFOCUS_ExpectativasAnuais("PIB Total",,DATE(YEAR($I16),1,1),EDATE(DATE(YEAR($I16),12,1),P$4),EDATE(DATE(YEAR($I16),12,31),P$4),0,"Mediana"))/100</f>
        <v>5.0000000000000001E-3</v>
      </c>
      <c r="Q16" s="6" cm="1">
        <f t="array" ref="Q16">UltimoValor(xlFOCUS_ExpectativasAnuais("PIB Total",,DATE(YEAR($I16),1,1),EDATE(DATE(YEAR($I16),12,1),Q$4),EDATE(DATE(YEAR($I16),12,31),Q$4),0,"Mediana"))/100</f>
        <v>4.6999999999999993E-3</v>
      </c>
      <c r="R16" s="6" cm="1">
        <f t="array" ref="R16">UltimoValor(xlFOCUS_ExpectativasAnuais("PIB Total",,DATE(YEAR($I16),1,1),EDATE(DATE(YEAR($I16),12,1),R$4),EDATE(DATE(YEAR($I16),12,31),R$4),0,"Mediana"))/100</f>
        <v>3.9000000000000003E-3</v>
      </c>
      <c r="S16" s="6" cm="1">
        <f t="array" ref="S16">UltimoValor(xlFOCUS_ExpectativasAnuais("PIB Total",,DATE(YEAR($I16),1,1),EDATE(DATE(YEAR($I16),12,1),S$4),EDATE(DATE(YEAR($I16),12,31),S$4),0,"Mediana"))/100</f>
        <v>6.9999999999999993E-3</v>
      </c>
      <c r="T16" s="6" cm="1">
        <f t="array" ref="T16">UltimoValor(xlFOCUS_ExpectativasAnuais("PIB Total",,DATE(YEAR($I16),1,1),EDATE(DATE(YEAR($I16),12,1),T$4),EDATE(DATE(YEAR($I16),12,31),T$4),0,"Mediana"))/100</f>
        <v>0.01</v>
      </c>
      <c r="U16" s="6" cm="1">
        <f t="array" ref="U16">UltimoValor(xlFOCUS_ExpectativasAnuais("PIB Total",,DATE(YEAR($I16),1,1),EDATE(DATE(YEAR($I16),12,1),U$4),EDATE(DATE(YEAR($I16),12,31),U$4),0,"Mediana"))/100</f>
        <v>1.06E-2</v>
      </c>
      <c r="V16" s="11">
        <f>$J16-K16</f>
        <v>4.4974759063790781E-2</v>
      </c>
      <c r="W16" s="11">
        <f>$J16-L16</f>
        <v>3.7020039773596358E-2</v>
      </c>
      <c r="X16" s="11">
        <f>$J16-M16</f>
        <v>2.9524246596297932E-2</v>
      </c>
      <c r="Y16" s="11">
        <f>$J16-N16</f>
        <v>1.4838610983631595E-2</v>
      </c>
      <c r="Z16" s="11">
        <f>$J16-O16</f>
        <v>1.5588190301353208E-4</v>
      </c>
      <c r="AA16" s="11">
        <f>$J16-P16</f>
        <v>8.1558819030135322E-3</v>
      </c>
      <c r="AB16" s="11">
        <f>$J16-Q16</f>
        <v>8.4558819030135339E-3</v>
      </c>
      <c r="AC16" s="11">
        <f>$J16-R16</f>
        <v>9.2558819030135325E-3</v>
      </c>
      <c r="AD16" s="11">
        <f>$J16-S16</f>
        <v>6.1558819030135339E-3</v>
      </c>
      <c r="AE16" s="11">
        <f>$J16-T16</f>
        <v>3.155881903013533E-3</v>
      </c>
      <c r="AF16" s="11">
        <f>$J16-U16</f>
        <v>2.5558819030135332E-3</v>
      </c>
    </row>
    <row r="17" spans="1:32" x14ac:dyDescent="0.25">
      <c r="H17" s="18">
        <v>12</v>
      </c>
      <c r="I17" s="16">
        <v>43101</v>
      </c>
      <c r="J17" s="6">
        <f>SUMIFS($B$29:$B$135, $A$29:$A$135, "&gt;=" &amp; DATE(YEAR($I17),1,1), $A$29:$A$135, "&lt;=" &amp; DATE(YEAR($I17),12,31))  / SUMIFS($B$29:$B$135, $A$29:$A$135, "&gt;=" &amp; DATE(YEAR($I17)-1,1,1), $A$29:$A$135, "&lt;=" &amp; DATE(YEAR($I17)-1,12,31)) - 1</f>
        <v>1.7665710403140578E-2</v>
      </c>
      <c r="K17" s="24">
        <v>6.492526045598801E-3</v>
      </c>
      <c r="L17" s="24">
        <v>3.7747244451156181E-3</v>
      </c>
      <c r="M17" s="24">
        <v>1.5098897780463361E-3</v>
      </c>
      <c r="N17" s="24">
        <v>9.5123056016912511E-3</v>
      </c>
      <c r="O17" s="6" cm="1">
        <f t="array" ref="O17">UltimoValor(xlFOCUS_ExpectativasAnuais("PIB Total",,DATE(YEAR($I17),1,1),EDATE(DATE(YEAR($I17),12,1),O$4),EDATE(DATE(YEAR($I17),12,31),O$4),0,"Mediana"))/100</f>
        <v>2.3799999999999998E-2</v>
      </c>
      <c r="P17" s="6" cm="1">
        <f t="array" ref="P17">UltimoValor(xlFOCUS_ExpectativasAnuais("PIB Total",,DATE(YEAR($I17),1,1),EDATE(DATE(YEAR($I17),12,1),P$4),EDATE(DATE(YEAR($I17),12,31),P$4),0,"Mediana"))/100</f>
        <v>2.7000000000000003E-2</v>
      </c>
      <c r="Q17" s="6" cm="1">
        <f t="array" ref="Q17">UltimoValor(xlFOCUS_ExpectativasAnuais("PIB Total",,DATE(YEAR($I17),1,1),EDATE(DATE(YEAR($I17),12,1),Q$4),EDATE(DATE(YEAR($I17),12,31),Q$4),0,"Mediana"))/100</f>
        <v>2.8399999999999998E-2</v>
      </c>
      <c r="R17" s="6" cm="1">
        <f t="array" ref="R17">UltimoValor(xlFOCUS_ExpectativasAnuais("PIB Total",,DATE(YEAR($I17),1,1),EDATE(DATE(YEAR($I17),12,1),R$4),EDATE(DATE(YEAR($I17),12,31),R$4),0,"Mediana"))/100</f>
        <v>1.55E-2</v>
      </c>
      <c r="S17" s="6" cm="1">
        <f t="array" ref="S17">UltimoValor(xlFOCUS_ExpectativasAnuais("PIB Total",,DATE(YEAR($I17),1,1),EDATE(DATE(YEAR($I17),12,1),S$4),EDATE(DATE(YEAR($I17),12,31),S$4),0,"Mediana"))/100</f>
        <v>1.3500000000000002E-2</v>
      </c>
      <c r="T17" s="6" cm="1">
        <f t="array" ref="T17">UltimoValor(xlFOCUS_ExpectativasAnuais("PIB Total",,DATE(YEAR($I17),1,1),EDATE(DATE(YEAR($I17),12,1),T$4),EDATE(DATE(YEAR($I17),12,31),T$4),0,"Mediana"))/100</f>
        <v>1.3000000000000001E-2</v>
      </c>
      <c r="U17" s="6" cm="1">
        <f t="array" ref="U17">UltimoValor(xlFOCUS_ExpectativasAnuais("PIB Total",,DATE(YEAR($I17),1,1),EDATE(DATE(YEAR($I17),12,1),U$4),EDATE(DATE(YEAR($I17),12,31),U$4),0,"Mediana"))/100</f>
        <v>1.2E-2</v>
      </c>
      <c r="V17" s="11">
        <f>$J17-K17</f>
        <v>1.1173184357541777E-2</v>
      </c>
      <c r="W17" s="11">
        <f>$J17-L17</f>
        <v>1.389098595802496E-2</v>
      </c>
      <c r="X17" s="11">
        <f>$J17-M17</f>
        <v>1.6155820625094242E-2</v>
      </c>
      <c r="Y17" s="11">
        <f>$J17-N17</f>
        <v>8.1534048014493266E-3</v>
      </c>
      <c r="Z17" s="11">
        <f>$J17-O17</f>
        <v>-6.1342895968594206E-3</v>
      </c>
      <c r="AA17" s="11">
        <f>$J17-P17</f>
        <v>-9.3342895968594256E-3</v>
      </c>
      <c r="AB17" s="11">
        <f>$J17-Q17</f>
        <v>-1.0734289596859421E-2</v>
      </c>
      <c r="AC17" s="11">
        <f>$J17-R17</f>
        <v>2.1657104031405777E-3</v>
      </c>
      <c r="AD17" s="11">
        <f>$J17-S17</f>
        <v>4.165710403140576E-3</v>
      </c>
      <c r="AE17" s="11">
        <f>$J17-T17</f>
        <v>4.6657104031405765E-3</v>
      </c>
      <c r="AF17" s="11">
        <f>$J17-U17</f>
        <v>5.6657104031405774E-3</v>
      </c>
    </row>
    <row r="18" spans="1:32" x14ac:dyDescent="0.25">
      <c r="H18" s="18">
        <v>13</v>
      </c>
      <c r="I18" s="16">
        <v>43466</v>
      </c>
      <c r="J18" s="6">
        <f>SUMIFS($B$29:$B$135, $A$29:$A$135, "&gt;=" &amp; DATE(YEAR($I18),1,1), $A$29:$A$135, "&lt;=" &amp; DATE(YEAR($I18),12,31))  / SUMIFS($B$29:$B$135, $A$29:$A$135, "&gt;=" &amp; DATE(YEAR($I18)-1,1,1), $A$29:$A$135, "&lt;=" &amp; DATE(YEAR($I18)-1,12,31)) - 1</f>
        <v>1.2166172106824913E-2</v>
      </c>
      <c r="K18" s="24">
        <v>7.8635014836794248E-3</v>
      </c>
      <c r="L18" s="24">
        <v>3.264094955489627E-3</v>
      </c>
      <c r="M18" s="24">
        <v>-8.902077151335952E-4</v>
      </c>
      <c r="N18" s="24">
        <v>5.3412462908011271E-3</v>
      </c>
      <c r="O18" s="6" cm="1">
        <f t="array" ref="O18">UltimoValor(xlFOCUS_ExpectativasAnuais("PIB Total",,DATE(YEAR($I18),1,1),EDATE(DATE(YEAR($I18),12,1),O$4),EDATE(DATE(YEAR($I18),12,31),O$4),0,"Mediana"))/100</f>
        <v>2.5000000000000001E-2</v>
      </c>
      <c r="P18" s="6" cm="1">
        <f t="array" ref="P18">UltimoValor(xlFOCUS_ExpectativasAnuais("PIB Total",,DATE(YEAR($I18),1,1),EDATE(DATE(YEAR($I18),12,1),P$4),EDATE(DATE(YEAR($I18),12,31),P$4),0,"Mediana"))/100</f>
        <v>2.53E-2</v>
      </c>
      <c r="Q18" s="6" cm="1">
        <f t="array" ref="Q18">UltimoValor(xlFOCUS_ExpectativasAnuais("PIB Total",,DATE(YEAR($I18),1,1),EDATE(DATE(YEAR($I18),12,1),Q$4),EDATE(DATE(YEAR($I18),12,31),Q$4),0,"Mediana"))/100</f>
        <v>1.9799999999999998E-2</v>
      </c>
      <c r="R18" s="6" cm="1">
        <f t="array" ref="R18">UltimoValor(xlFOCUS_ExpectativasAnuais("PIB Total",,DATE(YEAR($I18),1,1),EDATE(DATE(YEAR($I18),12,1),R$4),EDATE(DATE(YEAR($I18),12,31),R$4),0,"Mediana"))/100</f>
        <v>8.5000000000000006E-3</v>
      </c>
      <c r="S18" s="6" cm="1">
        <f t="array" ref="S18">UltimoValor(xlFOCUS_ExpectativasAnuais("PIB Total",,DATE(YEAR($I18),1,1),EDATE(DATE(YEAR($I18),12,1),S$4),EDATE(DATE(YEAR($I18),12,31),S$4),0,"Mediana"))/100</f>
        <v>8.6999999999999994E-3</v>
      </c>
      <c r="T18" s="6" cm="1">
        <f t="array" ref="T18">UltimoValor(xlFOCUS_ExpectativasAnuais("PIB Total",,DATE(YEAR($I18),1,1),EDATE(DATE(YEAR($I18),12,1),T$4),EDATE(DATE(YEAR($I18),12,31),T$4),0,"Mediana"))/100</f>
        <v>1.1699999999999999E-2</v>
      </c>
      <c r="U18" s="6" cm="1">
        <f t="array" ref="U18">UltimoValor(xlFOCUS_ExpectativasAnuais("PIB Total",,DATE(YEAR($I18),1,1),EDATE(DATE(YEAR($I18),12,1),U$4),EDATE(DATE(YEAR($I18),12,31),U$4),0,"Mediana"))/100</f>
        <v>1.1200000000000002E-2</v>
      </c>
      <c r="V18" s="11">
        <f>$J18-K18</f>
        <v>4.3026706231454881E-3</v>
      </c>
      <c r="W18" s="11">
        <f>$J18-L18</f>
        <v>8.9020771513352859E-3</v>
      </c>
      <c r="X18" s="11">
        <f>$J18-M18</f>
        <v>1.3056379821958508E-2</v>
      </c>
      <c r="Y18" s="11">
        <f>$J18-N18</f>
        <v>6.8249258160237858E-3</v>
      </c>
      <c r="Z18" s="11">
        <f>$J18-O18</f>
        <v>-1.2833827893175088E-2</v>
      </c>
      <c r="AA18" s="11">
        <f>$J18-P18</f>
        <v>-1.3133827893175087E-2</v>
      </c>
      <c r="AB18" s="11">
        <f>$J18-Q18</f>
        <v>-7.6338278931750853E-3</v>
      </c>
      <c r="AC18" s="11">
        <f>$J18-R18</f>
        <v>3.6661721068249123E-3</v>
      </c>
      <c r="AD18" s="11">
        <f>$J18-S18</f>
        <v>3.4661721068249135E-3</v>
      </c>
      <c r="AE18" s="11">
        <f>$J18-T18</f>
        <v>4.6617210682491431E-4</v>
      </c>
      <c r="AF18" s="11">
        <f>$J18-U18</f>
        <v>9.6617210682491128E-4</v>
      </c>
    </row>
    <row r="19" spans="1:32" x14ac:dyDescent="0.25">
      <c r="H19" s="18">
        <v>14</v>
      </c>
      <c r="I19" s="16">
        <v>43831</v>
      </c>
      <c r="J19" s="6">
        <f>SUMIFS($B$29:$B$135, $A$29:$A$135, "&gt;=" &amp; DATE(YEAR($I19),1,1), $A$29:$A$135, "&lt;=" &amp; DATE(YEAR($I19),12,31))  / SUMIFS($B$29:$B$135, $A$29:$A$135, "&gt;=" &amp; DATE(YEAR($I19)-1,1,1), $A$29:$A$135, "&lt;=" &amp; DATE(YEAR($I19)-1,12,31)) - 1</f>
        <v>-3.8698328935796056E-2</v>
      </c>
      <c r="K19" s="24">
        <v>1.2752858399296185E-2</v>
      </c>
      <c r="L19" s="24">
        <v>3.2248607446496713E-3</v>
      </c>
      <c r="M19" s="24">
        <v>-3.1955438287892157E-2</v>
      </c>
      <c r="N19" s="24">
        <v>-3.9284667253005057E-2</v>
      </c>
      <c r="O19" s="6" cm="1">
        <f t="array" ref="O19">UltimoValor(xlFOCUS_ExpectativasAnuais("PIB Total",,DATE(YEAR($I19),1,1),EDATE(DATE(YEAR($I19),12,1),O$4),EDATE(DATE(YEAR($I19),12,31),O$4),0,"Mediana"))/100</f>
        <v>0.02</v>
      </c>
      <c r="P19" s="6" cm="1">
        <f t="array" ref="P19">UltimoValor(xlFOCUS_ExpectativasAnuais("PIB Total",,DATE(YEAR($I19),1,1),EDATE(DATE(YEAR($I19),12,1),P$4),EDATE(DATE(YEAR($I19),12,31),P$4),0,"Mediana"))/100</f>
        <v>2.3E-2</v>
      </c>
      <c r="Q19" s="6" cm="1">
        <f t="array" ref="Q19">UltimoValor(xlFOCUS_ExpectativasAnuais("PIB Total",,DATE(YEAR($I19),1,1),EDATE(DATE(YEAR($I19),12,1),Q$4),EDATE(DATE(YEAR($I19),12,31),Q$4),0,"Mediana"))/100</f>
        <v>-9.0000000000000011E-3</v>
      </c>
      <c r="R19" s="6" cm="1">
        <f t="array" ref="R19">UltimoValor(xlFOCUS_ExpectativasAnuais("PIB Total",,DATE(YEAR($I19),1,1),EDATE(DATE(YEAR($I19),12,1),R$4),EDATE(DATE(YEAR($I19),12,31),R$4),0,"Mediana"))/100</f>
        <v>-6.6000000000000003E-2</v>
      </c>
      <c r="S19" s="6" cm="1">
        <f t="array" ref="S19">UltimoValor(xlFOCUS_ExpectativasAnuais("PIB Total",,DATE(YEAR($I19),1,1),EDATE(DATE(YEAR($I19),12,1),S$4),EDATE(DATE(YEAR($I19),12,31),S$4),0,"Mediana"))/100</f>
        <v>-5.0199999999999995E-2</v>
      </c>
      <c r="T19" s="6" cm="1">
        <f t="array" ref="T19">UltimoValor(xlFOCUS_ExpectativasAnuais("PIB Total",,DATE(YEAR($I19),1,1),EDATE(DATE(YEAR($I19),12,1),T$4),EDATE(DATE(YEAR($I19),12,31),T$4),0,"Mediana"))/100</f>
        <v>-4.36E-2</v>
      </c>
      <c r="U19" s="6" cm="1">
        <f t="array" ref="U19">UltimoValor(xlFOCUS_ExpectativasAnuais("PIB Total",,DATE(YEAR($I19),1,1),EDATE(DATE(YEAR($I19),12,1),U$4),EDATE(DATE(YEAR($I19),12,31),U$4),0,"Mediana"))/100</f>
        <v>-4.2199999999999994E-2</v>
      </c>
      <c r="V19" s="11">
        <f>$J19-K19</f>
        <v>-5.1451187335092241E-2</v>
      </c>
      <c r="W19" s="11">
        <f>$J19-L19</f>
        <v>-4.1923189680445727E-2</v>
      </c>
      <c r="X19" s="11">
        <f>$J19-M19</f>
        <v>-6.7428906479038986E-3</v>
      </c>
      <c r="Y19" s="11">
        <f>$J19-N19</f>
        <v>5.8633831720900087E-4</v>
      </c>
      <c r="Z19" s="11">
        <f>$J19-O19</f>
        <v>-5.869832893579606E-2</v>
      </c>
      <c r="AA19" s="11">
        <f>$J19-P19</f>
        <v>-6.1698328935796055E-2</v>
      </c>
      <c r="AB19" s="11">
        <f>$J19-Q19</f>
        <v>-2.9698328935796055E-2</v>
      </c>
      <c r="AC19" s="11">
        <f>$J19-R19</f>
        <v>2.7301671064203947E-2</v>
      </c>
      <c r="AD19" s="11">
        <f>$J19-S19</f>
        <v>1.1501671064203939E-2</v>
      </c>
      <c r="AE19" s="11">
        <f>$J19-T19</f>
        <v>4.9016710642039441E-3</v>
      </c>
      <c r="AF19" s="11">
        <f>$J19-U19</f>
        <v>3.5016710642039386E-3</v>
      </c>
    </row>
    <row r="20" spans="1:32" x14ac:dyDescent="0.25">
      <c r="H20" s="18">
        <v>15</v>
      </c>
      <c r="I20" s="16">
        <v>44197</v>
      </c>
      <c r="J20" s="6"/>
      <c r="K20" s="6"/>
      <c r="L20" s="6"/>
      <c r="M20" s="6"/>
      <c r="N20" s="6"/>
      <c r="O20" s="6"/>
      <c r="P20" s="15"/>
      <c r="Q20" s="15"/>
      <c r="R20" s="15"/>
      <c r="S20" s="15"/>
      <c r="T20" s="15"/>
      <c r="U20" s="15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</row>
    <row r="21" spans="1:32" x14ac:dyDescent="0.25">
      <c r="O21" s="13" t="s">
        <v>16</v>
      </c>
      <c r="V21" s="14">
        <f>ABS(AVERAGE(V$5:V$19))</f>
        <v>4.6861714787642898E-3</v>
      </c>
      <c r="W21" s="14">
        <f>ABS(AVERAGE(W$5:W$19))</f>
        <v>6.3235664177845319E-3</v>
      </c>
      <c r="X21" s="14">
        <f>ABS(AVERAGE(X$5:X$19))</f>
        <v>1.4651796017319007E-2</v>
      </c>
      <c r="Y21" s="14">
        <f>ABS(AVERAGE(Y$5:Y$19))</f>
        <v>9.8863152168992292E-3</v>
      </c>
      <c r="Z21" s="14">
        <f>ABS(AVERAGE(Z$5:Z$19))</f>
        <v>1.0917111386980117E-2</v>
      </c>
      <c r="AA21" s="14">
        <f>ABS(AVERAGE(AA$5:AA$19))</f>
        <v>8.1037780536467822E-3</v>
      </c>
      <c r="AB21" s="14">
        <f>ABS(AVERAGE(AB$5:AB$19))</f>
        <v>2.0371113869801136E-3</v>
      </c>
      <c r="AC21" s="14">
        <f>ABS(AVERAGE(AC$5:AC$19))</f>
        <v>3.5895552796865529E-3</v>
      </c>
      <c r="AD21" s="14">
        <f>ABS(AVERAGE(AD$5:AD$19))</f>
        <v>3.5362219463532193E-3</v>
      </c>
      <c r="AE21" s="14">
        <f>ABS(AVERAGE(AE$5:AE$19))</f>
        <v>4.3028886130198861E-3</v>
      </c>
      <c r="AF21" s="14">
        <f>ABS(AVERAGE(AF$5:AF$19))</f>
        <v>4.8028886130198865E-3</v>
      </c>
    </row>
    <row r="22" spans="1:32" x14ac:dyDescent="0.25">
      <c r="O22" s="7" t="s">
        <v>15</v>
      </c>
      <c r="V22" s="12">
        <f>SQRT(SUMSQ(V$5:V$19)/COUNT(V$5:V$19))</f>
        <v>2.438034350453918E-2</v>
      </c>
      <c r="W22" s="12">
        <f>SQRT(SUMSQ(W$5:W$19)/COUNT(W$5:W$19))</f>
        <v>2.2400546029195893E-2</v>
      </c>
      <c r="X22" s="12">
        <f>SQRT(SUMSQ(X$5:X$19)/COUNT(X$5:X$19))</f>
        <v>2.0400375011008436E-2</v>
      </c>
      <c r="Y22" s="12">
        <f>SQRT(SUMSQ(Y$5:Y$19)/COUNT(Y$5:Y$19))</f>
        <v>1.2818357217917464E-2</v>
      </c>
      <c r="Z22" s="12">
        <f>SQRT(SUMSQ(Z$5:Z$19)/COUNT(Z$5:Z$19))</f>
        <v>2.5681431013998904E-2</v>
      </c>
      <c r="AA22" s="12">
        <f>SQRT(SUMSQ(AA$5:AA$19)/COUNT(AA$5:AA$19))</f>
        <v>2.3227804508736041E-2</v>
      </c>
      <c r="AB22" s="12">
        <f>SQRT(SUMSQ(AB$5:AB$19)/COUNT(AB$5:AB$19))</f>
        <v>1.459087844993436E-2</v>
      </c>
      <c r="AC22" s="12">
        <f>SQRT(SUMSQ(AC$5:AC$19)/COUNT(AC$5:AC$19))</f>
        <v>1.061211207307863E-2</v>
      </c>
      <c r="AD22" s="12">
        <f>SQRT(SUMSQ(AD$5:AD$19)/COUNT(AD$5:AD$19))</f>
        <v>6.3062868371096511E-3</v>
      </c>
      <c r="AE22" s="12">
        <f>SQRT(SUMSQ(AE$5:AE$19)/COUNT(AE$5:AE$19))</f>
        <v>6.3076446317177843E-3</v>
      </c>
      <c r="AF22" s="12">
        <f>SQRT(SUMSQ(AF$5:AF$19)/COUNT(AF$5:AF$19))</f>
        <v>6.419907034845098E-3</v>
      </c>
    </row>
    <row r="26" spans="1:32" x14ac:dyDescent="0.25">
      <c r="A26" s="7" t="s">
        <v>5</v>
      </c>
      <c r="E26" s="7" t="s">
        <v>6</v>
      </c>
    </row>
    <row r="27" spans="1:32" x14ac:dyDescent="0.25">
      <c r="A27" s="8" t="s">
        <v>2</v>
      </c>
      <c r="B27" s="8" t="s">
        <v>4</v>
      </c>
      <c r="C27" s="8" t="s">
        <v>7</v>
      </c>
      <c r="E27" s="8" t="s">
        <v>11</v>
      </c>
      <c r="F27" s="8" t="s">
        <v>11</v>
      </c>
    </row>
    <row r="28" spans="1:32" x14ac:dyDescent="0.25">
      <c r="A28" s="8"/>
      <c r="B28" s="8"/>
      <c r="C28" s="8"/>
      <c r="E28" s="8" t="s">
        <v>10</v>
      </c>
      <c r="F28" s="8" t="s">
        <v>1</v>
      </c>
    </row>
    <row r="29" spans="1:32" x14ac:dyDescent="0.25">
      <c r="A29" s="9">
        <v>35065</v>
      </c>
      <c r="B29" s="5">
        <v>96.8</v>
      </c>
      <c r="C29" s="5">
        <v>99.5</v>
      </c>
      <c r="E29" s="5" cm="1">
        <f t="array" ref="E29:E135">ROUND(xlDESSAZ($A$29:$A$131,$B$29:$B$131,$E$28,,,Specs!$D$3),1)</f>
        <v>96.8</v>
      </c>
      <c r="F29" cm="1">
        <f t="array" ref="F29:F135">ROUND(xlDESSAZ($A$29:$A$135,_xlfn.ANCHORARRAY(E29),$F$28,,,Specs!$D$3),1)</f>
        <v>99.4</v>
      </c>
    </row>
    <row r="30" spans="1:32" x14ac:dyDescent="0.25">
      <c r="A30" s="9">
        <v>35156</v>
      </c>
      <c r="B30">
        <v>100.1</v>
      </c>
      <c r="C30" s="5">
        <v>100.4</v>
      </c>
      <c r="E30" s="5">
        <v>100.1</v>
      </c>
      <c r="F30">
        <v>100.5</v>
      </c>
    </row>
    <row r="31" spans="1:32" x14ac:dyDescent="0.25">
      <c r="A31" s="9">
        <v>35247</v>
      </c>
      <c r="B31">
        <v>107.6</v>
      </c>
      <c r="C31">
        <v>104.4</v>
      </c>
      <c r="E31" s="5">
        <v>107.6</v>
      </c>
      <c r="F31">
        <v>104.4</v>
      </c>
    </row>
    <row r="32" spans="1:32" x14ac:dyDescent="0.25">
      <c r="A32" s="9">
        <v>35339</v>
      </c>
      <c r="B32">
        <v>104.3</v>
      </c>
      <c r="C32">
        <v>103.3</v>
      </c>
      <c r="E32" s="5">
        <v>104.3</v>
      </c>
      <c r="F32">
        <v>103.3</v>
      </c>
    </row>
    <row r="33" spans="1:6" x14ac:dyDescent="0.25">
      <c r="A33" s="9">
        <v>35431</v>
      </c>
      <c r="B33">
        <v>100.1</v>
      </c>
      <c r="C33">
        <v>104.3</v>
      </c>
      <c r="E33" s="5">
        <v>100.1</v>
      </c>
      <c r="F33">
        <v>104.4</v>
      </c>
    </row>
    <row r="34" spans="1:6" x14ac:dyDescent="0.25">
      <c r="A34" s="9">
        <v>35521</v>
      </c>
      <c r="B34">
        <v>104.9</v>
      </c>
      <c r="C34">
        <v>105</v>
      </c>
      <c r="E34" s="5">
        <v>104.9</v>
      </c>
      <c r="F34">
        <v>105</v>
      </c>
    </row>
    <row r="35" spans="1:6" x14ac:dyDescent="0.25">
      <c r="A35" s="9">
        <v>35612</v>
      </c>
      <c r="B35">
        <v>109.5</v>
      </c>
      <c r="C35">
        <v>106.3</v>
      </c>
      <c r="E35" s="5">
        <v>109.5</v>
      </c>
      <c r="F35">
        <v>106.3</v>
      </c>
    </row>
    <row r="36" spans="1:6" x14ac:dyDescent="0.25">
      <c r="A36" s="9">
        <v>35704</v>
      </c>
      <c r="B36">
        <v>108.2</v>
      </c>
      <c r="C36">
        <v>107.1</v>
      </c>
      <c r="E36" s="5">
        <v>108.2</v>
      </c>
      <c r="F36">
        <v>107.1</v>
      </c>
    </row>
    <row r="37" spans="1:6" x14ac:dyDescent="0.25">
      <c r="A37" s="9">
        <v>35796</v>
      </c>
      <c r="B37">
        <v>101.1</v>
      </c>
      <c r="C37">
        <v>105.1</v>
      </c>
      <c r="E37" s="5">
        <v>101.1</v>
      </c>
      <c r="F37">
        <v>105</v>
      </c>
    </row>
    <row r="38" spans="1:6" x14ac:dyDescent="0.25">
      <c r="A38" s="9">
        <v>35886</v>
      </c>
      <c r="B38">
        <v>106.5</v>
      </c>
      <c r="C38">
        <v>106.8</v>
      </c>
      <c r="E38" s="5">
        <v>106.5</v>
      </c>
      <c r="F38">
        <v>106.9</v>
      </c>
    </row>
    <row r="39" spans="1:6" x14ac:dyDescent="0.25">
      <c r="A39" s="9">
        <v>35977</v>
      </c>
      <c r="B39">
        <v>109.9</v>
      </c>
      <c r="C39">
        <v>106.9</v>
      </c>
      <c r="E39" s="5">
        <v>109.9</v>
      </c>
      <c r="F39">
        <v>106.8</v>
      </c>
    </row>
    <row r="40" spans="1:6" x14ac:dyDescent="0.25">
      <c r="A40" s="9">
        <v>36069</v>
      </c>
      <c r="B40">
        <v>106.7</v>
      </c>
      <c r="C40">
        <v>105.6</v>
      </c>
      <c r="E40" s="5">
        <v>106.7</v>
      </c>
      <c r="F40">
        <v>105.6</v>
      </c>
    </row>
    <row r="41" spans="1:6" x14ac:dyDescent="0.25">
      <c r="A41" s="9">
        <v>36161</v>
      </c>
      <c r="B41">
        <v>101.9</v>
      </c>
      <c r="C41">
        <v>105.9</v>
      </c>
      <c r="E41" s="5">
        <v>101.9</v>
      </c>
      <c r="F41">
        <v>105.8</v>
      </c>
    </row>
    <row r="42" spans="1:6" x14ac:dyDescent="0.25">
      <c r="A42" s="9">
        <v>36251</v>
      </c>
      <c r="B42">
        <v>106</v>
      </c>
      <c r="C42">
        <v>106.2</v>
      </c>
      <c r="E42" s="5">
        <v>106</v>
      </c>
      <c r="F42">
        <v>106.3</v>
      </c>
    </row>
    <row r="43" spans="1:6" x14ac:dyDescent="0.25">
      <c r="A43" s="9">
        <v>36342</v>
      </c>
      <c r="B43">
        <v>109.2</v>
      </c>
      <c r="C43">
        <v>106.4</v>
      </c>
      <c r="E43" s="5">
        <v>109.2</v>
      </c>
      <c r="F43">
        <v>106.3</v>
      </c>
    </row>
    <row r="44" spans="1:6" x14ac:dyDescent="0.25">
      <c r="A44" s="9">
        <v>36434</v>
      </c>
      <c r="B44">
        <v>109</v>
      </c>
      <c r="C44">
        <v>107.8</v>
      </c>
      <c r="E44" s="5">
        <v>109</v>
      </c>
      <c r="F44">
        <v>107.9</v>
      </c>
    </row>
    <row r="45" spans="1:6" x14ac:dyDescent="0.25">
      <c r="A45" s="9">
        <v>36526</v>
      </c>
      <c r="B45">
        <v>106.4</v>
      </c>
      <c r="C45">
        <v>109</v>
      </c>
      <c r="E45" s="5">
        <v>106.4</v>
      </c>
      <c r="F45">
        <v>109</v>
      </c>
    </row>
    <row r="46" spans="1:6" x14ac:dyDescent="0.25">
      <c r="A46" s="9">
        <v>36617</v>
      </c>
      <c r="B46">
        <v>110.3</v>
      </c>
      <c r="C46">
        <v>110.5</v>
      </c>
      <c r="E46" s="5">
        <v>110.3</v>
      </c>
      <c r="F46">
        <v>110.6</v>
      </c>
    </row>
    <row r="47" spans="1:6" x14ac:dyDescent="0.25">
      <c r="A47" s="9">
        <v>36708</v>
      </c>
      <c r="B47">
        <v>114.2</v>
      </c>
      <c r="C47">
        <v>111.8</v>
      </c>
      <c r="E47" s="5">
        <v>114.2</v>
      </c>
      <c r="F47">
        <v>111.8</v>
      </c>
    </row>
    <row r="48" spans="1:6" x14ac:dyDescent="0.25">
      <c r="A48" s="9">
        <v>36800</v>
      </c>
      <c r="B48">
        <v>114</v>
      </c>
      <c r="C48">
        <v>113.2</v>
      </c>
      <c r="E48" s="5">
        <v>114</v>
      </c>
      <c r="F48">
        <v>113.2</v>
      </c>
    </row>
    <row r="49" spans="1:6" x14ac:dyDescent="0.25">
      <c r="A49" s="9">
        <v>36892</v>
      </c>
      <c r="B49">
        <v>110.1</v>
      </c>
      <c r="C49">
        <v>113.6</v>
      </c>
      <c r="E49" s="5">
        <v>110.1</v>
      </c>
      <c r="F49">
        <v>113.6</v>
      </c>
    </row>
    <row r="50" spans="1:6" x14ac:dyDescent="0.25">
      <c r="A50" s="9">
        <v>36982</v>
      </c>
      <c r="B50">
        <v>112.8</v>
      </c>
      <c r="C50">
        <v>113.1</v>
      </c>
      <c r="E50" s="5">
        <v>112.8</v>
      </c>
      <c r="F50">
        <v>113</v>
      </c>
    </row>
    <row r="51" spans="1:6" x14ac:dyDescent="0.25">
      <c r="A51" s="9">
        <v>37073</v>
      </c>
      <c r="B51">
        <v>114.7</v>
      </c>
      <c r="C51">
        <v>112.5</v>
      </c>
      <c r="E51" s="5">
        <v>114.7</v>
      </c>
      <c r="F51">
        <v>112.5</v>
      </c>
    </row>
    <row r="52" spans="1:6" x14ac:dyDescent="0.25">
      <c r="A52" s="9">
        <v>37165</v>
      </c>
      <c r="B52">
        <v>113.4</v>
      </c>
      <c r="C52">
        <v>112.2</v>
      </c>
      <c r="E52" s="5">
        <v>113.4</v>
      </c>
      <c r="F52">
        <v>112.2</v>
      </c>
    </row>
    <row r="53" spans="1:6" x14ac:dyDescent="0.25">
      <c r="A53" s="9">
        <v>37257</v>
      </c>
      <c r="B53">
        <v>110.6</v>
      </c>
      <c r="C53">
        <v>114.7</v>
      </c>
      <c r="E53" s="5">
        <v>110.6</v>
      </c>
      <c r="F53">
        <v>114.9</v>
      </c>
    </row>
    <row r="54" spans="1:6" x14ac:dyDescent="0.25">
      <c r="A54" s="9">
        <v>37347</v>
      </c>
      <c r="B54">
        <v>115.4</v>
      </c>
      <c r="C54">
        <v>115.4</v>
      </c>
      <c r="E54" s="5">
        <v>115.4</v>
      </c>
      <c r="F54">
        <v>115.2</v>
      </c>
    </row>
    <row r="55" spans="1:6" x14ac:dyDescent="0.25">
      <c r="A55" s="9">
        <v>37438</v>
      </c>
      <c r="B55">
        <v>119.5</v>
      </c>
      <c r="C55">
        <v>116.8</v>
      </c>
      <c r="E55" s="5">
        <v>119.5</v>
      </c>
      <c r="F55">
        <v>116.8</v>
      </c>
    </row>
    <row r="56" spans="1:6" x14ac:dyDescent="0.25">
      <c r="A56" s="9">
        <v>37530</v>
      </c>
      <c r="B56">
        <v>119.2</v>
      </c>
      <c r="C56">
        <v>118</v>
      </c>
      <c r="E56" s="5">
        <v>119.2</v>
      </c>
      <c r="F56">
        <v>118</v>
      </c>
    </row>
    <row r="57" spans="1:6" x14ac:dyDescent="0.25">
      <c r="A57" s="9">
        <v>37622</v>
      </c>
      <c r="B57">
        <v>113.6</v>
      </c>
      <c r="C57">
        <v>117.5</v>
      </c>
      <c r="E57" s="5">
        <v>113.6</v>
      </c>
      <c r="F57">
        <v>117.5</v>
      </c>
    </row>
    <row r="58" spans="1:6" x14ac:dyDescent="0.25">
      <c r="A58" s="9">
        <v>37712</v>
      </c>
      <c r="B58">
        <v>116.3</v>
      </c>
      <c r="C58">
        <v>116.5</v>
      </c>
      <c r="E58" s="5">
        <v>116.3</v>
      </c>
      <c r="F58">
        <v>116.5</v>
      </c>
    </row>
    <row r="59" spans="1:6" x14ac:dyDescent="0.25">
      <c r="A59" s="9">
        <v>37803</v>
      </c>
      <c r="B59">
        <v>120.2</v>
      </c>
      <c r="C59">
        <v>117.6</v>
      </c>
      <c r="E59" s="5">
        <v>120.2</v>
      </c>
      <c r="F59">
        <v>117.5</v>
      </c>
    </row>
    <row r="60" spans="1:6" x14ac:dyDescent="0.25">
      <c r="A60" s="9">
        <v>37895</v>
      </c>
      <c r="B60">
        <v>119.9</v>
      </c>
      <c r="C60">
        <v>118.8</v>
      </c>
      <c r="E60" s="5">
        <v>119.9</v>
      </c>
      <c r="F60">
        <v>118.8</v>
      </c>
    </row>
    <row r="61" spans="1:6" x14ac:dyDescent="0.25">
      <c r="A61" s="9">
        <v>37987</v>
      </c>
      <c r="B61">
        <v>118</v>
      </c>
      <c r="C61">
        <v>120.5</v>
      </c>
      <c r="E61" s="5">
        <v>118</v>
      </c>
      <c r="F61">
        <v>120.4</v>
      </c>
    </row>
    <row r="62" spans="1:6" x14ac:dyDescent="0.25">
      <c r="A62" s="9">
        <v>38078</v>
      </c>
      <c r="B62">
        <v>123.7</v>
      </c>
      <c r="C62">
        <v>123.8</v>
      </c>
      <c r="E62" s="5">
        <v>123.7</v>
      </c>
      <c r="F62">
        <v>123.8</v>
      </c>
    </row>
    <row r="63" spans="1:6" x14ac:dyDescent="0.25">
      <c r="A63" s="9">
        <v>38169</v>
      </c>
      <c r="B63">
        <v>128.1</v>
      </c>
      <c r="C63">
        <v>125.3</v>
      </c>
      <c r="E63" s="5">
        <v>128.1</v>
      </c>
      <c r="F63">
        <v>125.3</v>
      </c>
    </row>
    <row r="64" spans="1:6" x14ac:dyDescent="0.25">
      <c r="A64" s="9">
        <v>38261</v>
      </c>
      <c r="B64">
        <v>127.4</v>
      </c>
      <c r="C64">
        <v>126.3</v>
      </c>
      <c r="E64" s="5">
        <v>127.4</v>
      </c>
      <c r="F64">
        <v>126.3</v>
      </c>
    </row>
    <row r="65" spans="1:6" x14ac:dyDescent="0.25">
      <c r="A65" s="9">
        <v>38353</v>
      </c>
      <c r="B65">
        <v>122.9</v>
      </c>
      <c r="C65">
        <v>127.2</v>
      </c>
      <c r="E65" s="5">
        <v>122.9</v>
      </c>
      <c r="F65">
        <v>127.3</v>
      </c>
    </row>
    <row r="66" spans="1:6" x14ac:dyDescent="0.25">
      <c r="A66" s="9">
        <v>38443</v>
      </c>
      <c r="B66">
        <v>129.19999999999999</v>
      </c>
      <c r="C66">
        <v>129</v>
      </c>
      <c r="E66" s="5">
        <v>129.19999999999999</v>
      </c>
      <c r="F66">
        <v>128.80000000000001</v>
      </c>
    </row>
    <row r="67" spans="1:6" x14ac:dyDescent="0.25">
      <c r="A67" s="9">
        <v>38534</v>
      </c>
      <c r="B67">
        <v>130.80000000000001</v>
      </c>
      <c r="C67">
        <v>128</v>
      </c>
      <c r="E67" s="5">
        <v>130.80000000000001</v>
      </c>
      <c r="F67">
        <v>128</v>
      </c>
    </row>
    <row r="68" spans="1:6" x14ac:dyDescent="0.25">
      <c r="A68" s="9">
        <v>38626</v>
      </c>
      <c r="B68">
        <v>130.1</v>
      </c>
      <c r="C68">
        <v>129.6</v>
      </c>
      <c r="E68" s="5">
        <v>130.1</v>
      </c>
      <c r="F68">
        <v>129.6</v>
      </c>
    </row>
    <row r="69" spans="1:6" x14ac:dyDescent="0.25">
      <c r="A69" s="9">
        <v>38718</v>
      </c>
      <c r="B69">
        <v>128.19999999999999</v>
      </c>
      <c r="C69">
        <v>131.80000000000001</v>
      </c>
      <c r="E69" s="5">
        <v>128.19999999999999</v>
      </c>
      <c r="F69">
        <v>131.80000000000001</v>
      </c>
    </row>
    <row r="70" spans="1:6" x14ac:dyDescent="0.25">
      <c r="A70" s="9">
        <v>38808</v>
      </c>
      <c r="B70">
        <v>132.1</v>
      </c>
      <c r="C70">
        <v>132.1</v>
      </c>
      <c r="E70" s="5">
        <v>132.1</v>
      </c>
      <c r="F70">
        <v>132.1</v>
      </c>
    </row>
    <row r="71" spans="1:6" x14ac:dyDescent="0.25">
      <c r="A71" s="9">
        <v>38899</v>
      </c>
      <c r="B71">
        <v>136.69999999999999</v>
      </c>
      <c r="C71">
        <v>134.30000000000001</v>
      </c>
      <c r="E71" s="5">
        <v>136.69999999999999</v>
      </c>
      <c r="F71">
        <v>134.30000000000001</v>
      </c>
    </row>
    <row r="72" spans="1:6" x14ac:dyDescent="0.25">
      <c r="A72" s="9">
        <v>38991</v>
      </c>
      <c r="B72">
        <v>136.4</v>
      </c>
      <c r="C72">
        <v>135.9</v>
      </c>
      <c r="E72" s="5">
        <v>136.4</v>
      </c>
      <c r="F72">
        <v>135.9</v>
      </c>
    </row>
    <row r="73" spans="1:6" x14ac:dyDescent="0.25">
      <c r="A73" s="9">
        <v>39083</v>
      </c>
      <c r="B73">
        <v>134.80000000000001</v>
      </c>
      <c r="C73">
        <v>138.6</v>
      </c>
      <c r="E73" s="5">
        <v>134.80000000000001</v>
      </c>
      <c r="F73">
        <v>138.5</v>
      </c>
    </row>
    <row r="74" spans="1:6" x14ac:dyDescent="0.25">
      <c r="A74" s="9">
        <v>39173</v>
      </c>
      <c r="B74">
        <v>140.80000000000001</v>
      </c>
      <c r="C74">
        <v>140.80000000000001</v>
      </c>
      <c r="E74" s="5">
        <v>140.80000000000001</v>
      </c>
      <c r="F74">
        <v>140.80000000000001</v>
      </c>
    </row>
    <row r="75" spans="1:6" x14ac:dyDescent="0.25">
      <c r="A75" s="9">
        <v>39264</v>
      </c>
      <c r="B75">
        <v>144.80000000000001</v>
      </c>
      <c r="C75">
        <v>142.19999999999999</v>
      </c>
      <c r="E75" s="5">
        <v>144.80000000000001</v>
      </c>
      <c r="F75">
        <v>142.30000000000001</v>
      </c>
    </row>
    <row r="76" spans="1:6" x14ac:dyDescent="0.25">
      <c r="A76" s="9">
        <v>39356</v>
      </c>
      <c r="B76">
        <v>145.4</v>
      </c>
      <c r="C76">
        <v>144.4</v>
      </c>
      <c r="E76" s="5">
        <v>145.4</v>
      </c>
      <c r="F76">
        <v>144.4</v>
      </c>
    </row>
    <row r="77" spans="1:6" x14ac:dyDescent="0.25">
      <c r="A77" s="9">
        <v>39448</v>
      </c>
      <c r="B77">
        <v>143.1</v>
      </c>
      <c r="C77">
        <v>146.1</v>
      </c>
      <c r="E77" s="5">
        <v>143.1</v>
      </c>
      <c r="F77">
        <v>146.19999999999999</v>
      </c>
    </row>
    <row r="78" spans="1:6" x14ac:dyDescent="0.25">
      <c r="A78" s="9">
        <v>39539</v>
      </c>
      <c r="B78">
        <v>149.69999999999999</v>
      </c>
      <c r="C78">
        <v>149.4</v>
      </c>
      <c r="E78" s="5">
        <v>149.69999999999999</v>
      </c>
      <c r="F78">
        <v>149.19999999999999</v>
      </c>
    </row>
    <row r="79" spans="1:6" x14ac:dyDescent="0.25">
      <c r="A79" s="9">
        <v>39630</v>
      </c>
      <c r="B79">
        <v>154.9</v>
      </c>
      <c r="C79">
        <v>151.6</v>
      </c>
      <c r="E79" s="5">
        <v>154.9</v>
      </c>
      <c r="F79">
        <v>151.69999999999999</v>
      </c>
    </row>
    <row r="80" spans="1:6" x14ac:dyDescent="0.25">
      <c r="A80" s="9">
        <v>39722</v>
      </c>
      <c r="B80">
        <v>146.9</v>
      </c>
      <c r="C80">
        <v>145.9</v>
      </c>
      <c r="E80" s="5">
        <v>146.9</v>
      </c>
      <c r="F80">
        <v>145.9</v>
      </c>
    </row>
    <row r="81" spans="1:6" x14ac:dyDescent="0.25">
      <c r="A81" s="9">
        <v>39814</v>
      </c>
      <c r="B81">
        <v>139.69999999999999</v>
      </c>
      <c r="C81">
        <v>143.9</v>
      </c>
      <c r="E81" s="5">
        <v>139.69999999999999</v>
      </c>
      <c r="F81">
        <v>143.9</v>
      </c>
    </row>
    <row r="82" spans="1:6" x14ac:dyDescent="0.25">
      <c r="A82" s="9">
        <v>39904</v>
      </c>
      <c r="B82">
        <v>146.4</v>
      </c>
      <c r="C82">
        <v>146.5</v>
      </c>
      <c r="E82" s="5">
        <v>146.4</v>
      </c>
      <c r="F82">
        <v>146.5</v>
      </c>
    </row>
    <row r="83" spans="1:6" x14ac:dyDescent="0.25">
      <c r="A83" s="9">
        <v>39995</v>
      </c>
      <c r="B83">
        <v>153.1</v>
      </c>
      <c r="C83">
        <v>149.9</v>
      </c>
      <c r="E83" s="5">
        <v>153.1</v>
      </c>
      <c r="F83">
        <v>149.9</v>
      </c>
    </row>
    <row r="84" spans="1:6" x14ac:dyDescent="0.25">
      <c r="A84" s="9">
        <v>40087</v>
      </c>
      <c r="B84">
        <v>154.69999999999999</v>
      </c>
      <c r="C84">
        <v>153.69999999999999</v>
      </c>
      <c r="E84" s="5">
        <v>154.69999999999999</v>
      </c>
      <c r="F84">
        <v>153.69999999999999</v>
      </c>
    </row>
    <row r="85" spans="1:6" x14ac:dyDescent="0.25">
      <c r="A85" s="9">
        <v>40179</v>
      </c>
      <c r="B85">
        <v>152.5</v>
      </c>
      <c r="C85">
        <v>157.19999999999999</v>
      </c>
      <c r="E85" s="5">
        <v>152.5</v>
      </c>
      <c r="F85">
        <v>156.9</v>
      </c>
    </row>
    <row r="86" spans="1:6" x14ac:dyDescent="0.25">
      <c r="A86" s="9">
        <v>40269</v>
      </c>
      <c r="B86">
        <v>158.9</v>
      </c>
      <c r="C86">
        <v>158.69999999999999</v>
      </c>
      <c r="E86" s="5">
        <v>158.9</v>
      </c>
      <c r="F86">
        <v>159</v>
      </c>
    </row>
    <row r="87" spans="1:6" x14ac:dyDescent="0.25">
      <c r="A87" s="9">
        <v>40360</v>
      </c>
      <c r="B87">
        <v>163.6</v>
      </c>
      <c r="C87">
        <v>160.4</v>
      </c>
      <c r="E87" s="5">
        <v>163.6</v>
      </c>
      <c r="F87">
        <v>160.30000000000001</v>
      </c>
    </row>
    <row r="88" spans="1:6" x14ac:dyDescent="0.25">
      <c r="A88" s="9">
        <v>40452</v>
      </c>
      <c r="B88">
        <v>163.5</v>
      </c>
      <c r="C88">
        <v>162.5</v>
      </c>
      <c r="E88" s="5">
        <v>163.5</v>
      </c>
      <c r="F88">
        <v>162.6</v>
      </c>
    </row>
    <row r="89" spans="1:6" x14ac:dyDescent="0.25">
      <c r="A89" s="9">
        <v>40544</v>
      </c>
      <c r="B89">
        <v>160.5</v>
      </c>
      <c r="C89">
        <v>164.9</v>
      </c>
      <c r="E89" s="5">
        <v>160.5</v>
      </c>
      <c r="F89">
        <v>164.9</v>
      </c>
    </row>
    <row r="90" spans="1:6" x14ac:dyDescent="0.25">
      <c r="A90" s="9">
        <v>40634</v>
      </c>
      <c r="B90">
        <v>166.3</v>
      </c>
      <c r="C90">
        <v>166.5</v>
      </c>
      <c r="E90" s="5">
        <v>166.3</v>
      </c>
      <c r="F90">
        <v>166.4</v>
      </c>
    </row>
    <row r="91" spans="1:6" x14ac:dyDescent="0.25">
      <c r="A91" s="9">
        <v>40725</v>
      </c>
      <c r="B91">
        <v>169.4</v>
      </c>
      <c r="C91">
        <v>166.1</v>
      </c>
      <c r="E91" s="5">
        <v>169.4</v>
      </c>
      <c r="F91">
        <v>166.1</v>
      </c>
    </row>
    <row r="92" spans="1:6" x14ac:dyDescent="0.25">
      <c r="A92" s="9">
        <v>40817</v>
      </c>
      <c r="B92">
        <v>167.7</v>
      </c>
      <c r="C92">
        <v>167.5</v>
      </c>
      <c r="E92" s="5">
        <v>167.7</v>
      </c>
      <c r="F92">
        <v>167.5</v>
      </c>
    </row>
    <row r="93" spans="1:6" x14ac:dyDescent="0.25">
      <c r="A93" s="9">
        <v>40909</v>
      </c>
      <c r="B93">
        <v>163.19999999999999</v>
      </c>
      <c r="C93">
        <v>165.3</v>
      </c>
      <c r="E93" s="5">
        <v>163.19999999999999</v>
      </c>
      <c r="F93">
        <v>165.3</v>
      </c>
    </row>
    <row r="94" spans="1:6" x14ac:dyDescent="0.25">
      <c r="A94" s="9">
        <v>41000</v>
      </c>
      <c r="B94">
        <v>168</v>
      </c>
      <c r="C94">
        <v>168.2</v>
      </c>
      <c r="E94" s="5">
        <v>168</v>
      </c>
      <c r="F94">
        <v>168.2</v>
      </c>
    </row>
    <row r="95" spans="1:6" x14ac:dyDescent="0.25">
      <c r="A95" s="9">
        <v>41091</v>
      </c>
      <c r="B95">
        <v>173.6</v>
      </c>
      <c r="C95">
        <v>171.1</v>
      </c>
      <c r="E95" s="5">
        <v>173.6</v>
      </c>
      <c r="F95">
        <v>171.1</v>
      </c>
    </row>
    <row r="96" spans="1:6" x14ac:dyDescent="0.25">
      <c r="A96" s="9">
        <v>41183</v>
      </c>
      <c r="B96">
        <v>171.9</v>
      </c>
      <c r="C96">
        <v>171.1</v>
      </c>
      <c r="E96" s="5">
        <v>171.9</v>
      </c>
      <c r="F96">
        <v>171.1</v>
      </c>
    </row>
    <row r="97" spans="1:6" x14ac:dyDescent="0.25">
      <c r="A97" s="9">
        <v>41275</v>
      </c>
      <c r="B97">
        <v>167.6</v>
      </c>
      <c r="C97">
        <v>171.8</v>
      </c>
      <c r="E97" s="5">
        <v>167.6</v>
      </c>
      <c r="F97">
        <v>172</v>
      </c>
    </row>
    <row r="98" spans="1:6" x14ac:dyDescent="0.25">
      <c r="A98" s="9">
        <v>41365</v>
      </c>
      <c r="B98">
        <v>174.7</v>
      </c>
      <c r="C98">
        <v>174.7</v>
      </c>
      <c r="E98" s="5">
        <v>174.7</v>
      </c>
      <c r="F98">
        <v>174.5</v>
      </c>
    </row>
    <row r="99" spans="1:6" x14ac:dyDescent="0.25">
      <c r="A99" s="9">
        <v>41456</v>
      </c>
      <c r="B99">
        <v>178.4</v>
      </c>
      <c r="C99">
        <v>175.3</v>
      </c>
      <c r="E99" s="5">
        <v>178.4</v>
      </c>
      <c r="F99">
        <v>175.3</v>
      </c>
    </row>
    <row r="100" spans="1:6" x14ac:dyDescent="0.25">
      <c r="A100" s="9">
        <v>41548</v>
      </c>
      <c r="B100">
        <v>176.3</v>
      </c>
      <c r="C100">
        <v>175.5</v>
      </c>
      <c r="E100" s="5">
        <v>176.3</v>
      </c>
      <c r="F100">
        <v>175.6</v>
      </c>
    </row>
    <row r="101" spans="1:6" x14ac:dyDescent="0.25">
      <c r="A101" s="9">
        <v>41640</v>
      </c>
      <c r="B101">
        <v>173.4</v>
      </c>
      <c r="C101">
        <v>177.1</v>
      </c>
      <c r="E101" s="5">
        <v>173.4</v>
      </c>
      <c r="F101">
        <v>177</v>
      </c>
    </row>
    <row r="102" spans="1:6" x14ac:dyDescent="0.25">
      <c r="A102" s="9">
        <v>41730</v>
      </c>
      <c r="B102">
        <v>174</v>
      </c>
      <c r="C102">
        <v>174.4</v>
      </c>
      <c r="E102" s="5">
        <v>174</v>
      </c>
      <c r="F102">
        <v>174.4</v>
      </c>
    </row>
    <row r="103" spans="1:6" x14ac:dyDescent="0.25">
      <c r="A103" s="9">
        <v>41821</v>
      </c>
      <c r="B103">
        <v>177.3</v>
      </c>
      <c r="C103">
        <v>174.4</v>
      </c>
      <c r="E103" s="5">
        <v>177.3</v>
      </c>
      <c r="F103">
        <v>174.4</v>
      </c>
    </row>
    <row r="104" spans="1:6" x14ac:dyDescent="0.25">
      <c r="A104" s="9">
        <v>41913</v>
      </c>
      <c r="B104">
        <v>175.9</v>
      </c>
      <c r="C104">
        <v>175.2</v>
      </c>
      <c r="E104" s="5">
        <v>175.9</v>
      </c>
      <c r="F104">
        <v>175.3</v>
      </c>
    </row>
    <row r="105" spans="1:6" x14ac:dyDescent="0.25">
      <c r="A105" s="9">
        <v>42005</v>
      </c>
      <c r="B105">
        <v>170.6</v>
      </c>
      <c r="C105">
        <v>174.1</v>
      </c>
      <c r="E105" s="5">
        <v>170.6</v>
      </c>
      <c r="F105">
        <v>173.8</v>
      </c>
    </row>
    <row r="106" spans="1:6" x14ac:dyDescent="0.25">
      <c r="A106" s="9">
        <v>42095</v>
      </c>
      <c r="B106">
        <v>169.2</v>
      </c>
      <c r="C106">
        <v>169.5</v>
      </c>
      <c r="E106" s="5">
        <v>169.2</v>
      </c>
      <c r="F106">
        <v>169.7</v>
      </c>
    </row>
    <row r="107" spans="1:6" x14ac:dyDescent="0.25">
      <c r="A107" s="9">
        <v>42186</v>
      </c>
      <c r="B107">
        <v>169.7</v>
      </c>
      <c r="C107">
        <v>167</v>
      </c>
      <c r="E107" s="5">
        <v>169.7</v>
      </c>
      <c r="F107">
        <v>167</v>
      </c>
    </row>
    <row r="108" spans="1:6" x14ac:dyDescent="0.25">
      <c r="A108" s="9">
        <v>42278</v>
      </c>
      <c r="B108">
        <v>166.2</v>
      </c>
      <c r="C108">
        <v>165.7</v>
      </c>
      <c r="E108" s="5">
        <v>166.2</v>
      </c>
      <c r="F108">
        <v>165.7</v>
      </c>
    </row>
    <row r="109" spans="1:6" x14ac:dyDescent="0.25">
      <c r="A109" s="9">
        <v>42370</v>
      </c>
      <c r="B109">
        <v>161.9</v>
      </c>
      <c r="C109">
        <v>163</v>
      </c>
      <c r="E109" s="5">
        <v>161.9</v>
      </c>
      <c r="F109">
        <v>163.30000000000001</v>
      </c>
    </row>
    <row r="110" spans="1:6" x14ac:dyDescent="0.25">
      <c r="A110" s="9">
        <v>42461</v>
      </c>
      <c r="B110">
        <v>163.80000000000001</v>
      </c>
      <c r="C110">
        <v>164</v>
      </c>
      <c r="E110" s="5">
        <v>163.80000000000001</v>
      </c>
      <c r="F110">
        <v>163.80000000000001</v>
      </c>
    </row>
    <row r="111" spans="1:6" x14ac:dyDescent="0.25">
      <c r="A111" s="9">
        <v>42552</v>
      </c>
      <c r="B111">
        <v>165.6</v>
      </c>
      <c r="C111">
        <v>162.9</v>
      </c>
      <c r="E111" s="5">
        <v>165.6</v>
      </c>
      <c r="F111">
        <v>163</v>
      </c>
    </row>
    <row r="112" spans="1:6" x14ac:dyDescent="0.25">
      <c r="A112" s="9">
        <v>42644</v>
      </c>
      <c r="B112">
        <v>162.4</v>
      </c>
      <c r="C112">
        <v>162.6</v>
      </c>
      <c r="E112" s="5">
        <v>162.4</v>
      </c>
      <c r="F112">
        <v>162.6</v>
      </c>
    </row>
    <row r="113" spans="1:6" x14ac:dyDescent="0.25">
      <c r="A113" s="9">
        <v>42736</v>
      </c>
      <c r="B113">
        <v>162.30000000000001</v>
      </c>
      <c r="C113">
        <v>164.4</v>
      </c>
      <c r="E113" s="5">
        <v>162.30000000000001</v>
      </c>
      <c r="F113">
        <v>164.4</v>
      </c>
    </row>
    <row r="114" spans="1:6" x14ac:dyDescent="0.25">
      <c r="A114" s="9">
        <v>42826</v>
      </c>
      <c r="B114">
        <v>165.1</v>
      </c>
      <c r="C114">
        <v>165.7</v>
      </c>
      <c r="E114" s="5">
        <v>165.1</v>
      </c>
      <c r="F114">
        <v>165.7</v>
      </c>
    </row>
    <row r="115" spans="1:6" x14ac:dyDescent="0.25">
      <c r="A115" s="9">
        <v>42917</v>
      </c>
      <c r="B115">
        <v>168.3</v>
      </c>
      <c r="C115">
        <v>166.2</v>
      </c>
      <c r="E115" s="5">
        <v>168.3</v>
      </c>
      <c r="F115">
        <v>166.2</v>
      </c>
    </row>
    <row r="116" spans="1:6" x14ac:dyDescent="0.25">
      <c r="A116" s="9">
        <v>43009</v>
      </c>
      <c r="B116">
        <v>166.6</v>
      </c>
      <c r="C116">
        <v>166.9</v>
      </c>
      <c r="E116" s="5">
        <v>166.6</v>
      </c>
      <c r="F116">
        <v>166.9</v>
      </c>
    </row>
    <row r="117" spans="1:6" x14ac:dyDescent="0.25">
      <c r="A117" s="9">
        <v>43101</v>
      </c>
      <c r="B117">
        <v>165.4</v>
      </c>
      <c r="C117">
        <v>167.8</v>
      </c>
      <c r="E117" s="5">
        <v>165.4</v>
      </c>
      <c r="F117">
        <v>168</v>
      </c>
    </row>
    <row r="118" spans="1:6" x14ac:dyDescent="0.25">
      <c r="A118" s="9">
        <v>43191</v>
      </c>
      <c r="B118">
        <v>167.7</v>
      </c>
      <c r="C118">
        <v>168.1</v>
      </c>
      <c r="E118" s="5">
        <v>167.7</v>
      </c>
      <c r="F118">
        <v>167.9</v>
      </c>
    </row>
    <row r="119" spans="1:6" x14ac:dyDescent="0.25">
      <c r="A119" s="9">
        <v>43282</v>
      </c>
      <c r="B119">
        <v>171.7</v>
      </c>
      <c r="C119">
        <v>169.5</v>
      </c>
      <c r="E119" s="5">
        <v>171.7</v>
      </c>
      <c r="F119">
        <v>169.5</v>
      </c>
    </row>
    <row r="120" spans="1:6" x14ac:dyDescent="0.25">
      <c r="A120" s="9">
        <v>43374</v>
      </c>
      <c r="B120">
        <v>169.2</v>
      </c>
      <c r="C120">
        <v>168.9</v>
      </c>
      <c r="E120" s="5">
        <v>169.2</v>
      </c>
      <c r="F120">
        <v>168.9</v>
      </c>
    </row>
    <row r="121" spans="1:6" x14ac:dyDescent="0.25">
      <c r="A121" s="9">
        <v>43466</v>
      </c>
      <c r="B121">
        <v>167.1</v>
      </c>
      <c r="C121">
        <v>169.8</v>
      </c>
      <c r="E121" s="5">
        <v>167.1</v>
      </c>
      <c r="F121">
        <v>169.7</v>
      </c>
    </row>
    <row r="122" spans="1:6" x14ac:dyDescent="0.25">
      <c r="A122" s="9">
        <v>43556</v>
      </c>
      <c r="B122">
        <v>169.8</v>
      </c>
      <c r="C122">
        <v>170.7</v>
      </c>
      <c r="E122" s="5">
        <v>169.8</v>
      </c>
      <c r="F122">
        <v>170.7</v>
      </c>
    </row>
    <row r="123" spans="1:6" x14ac:dyDescent="0.25">
      <c r="A123" s="9">
        <v>43647</v>
      </c>
      <c r="B123">
        <v>173.6</v>
      </c>
      <c r="C123">
        <v>170.7</v>
      </c>
      <c r="E123" s="5">
        <v>173.6</v>
      </c>
      <c r="F123">
        <v>170.7</v>
      </c>
    </row>
    <row r="124" spans="1:6" x14ac:dyDescent="0.25">
      <c r="A124" s="9">
        <v>43739</v>
      </c>
      <c r="B124">
        <v>171.7</v>
      </c>
      <c r="C124">
        <v>171.3</v>
      </c>
      <c r="E124" s="5">
        <v>171.7</v>
      </c>
      <c r="F124">
        <v>171.3</v>
      </c>
    </row>
    <row r="125" spans="1:6" x14ac:dyDescent="0.25">
      <c r="A125" s="9">
        <v>43831</v>
      </c>
      <c r="B125">
        <v>166.9</v>
      </c>
      <c r="C125">
        <v>167.4</v>
      </c>
      <c r="E125" s="5">
        <v>166.9</v>
      </c>
      <c r="F125">
        <v>167.4</v>
      </c>
    </row>
    <row r="126" spans="1:6" x14ac:dyDescent="0.25">
      <c r="A126" s="9">
        <v>43922</v>
      </c>
      <c r="B126">
        <v>151.6</v>
      </c>
      <c r="C126">
        <v>152.6</v>
      </c>
      <c r="E126" s="5">
        <v>151.6</v>
      </c>
      <c r="F126">
        <v>152.5</v>
      </c>
    </row>
    <row r="127" spans="1:6" x14ac:dyDescent="0.25">
      <c r="A127" s="9">
        <v>44013</v>
      </c>
      <c r="B127">
        <v>167.2</v>
      </c>
      <c r="C127">
        <v>164.4</v>
      </c>
      <c r="E127" s="5">
        <v>167.2</v>
      </c>
      <c r="F127">
        <v>164.5</v>
      </c>
    </row>
    <row r="128" spans="1:6" x14ac:dyDescent="0.25">
      <c r="A128" s="9">
        <v>44105</v>
      </c>
      <c r="B128">
        <v>170.1</v>
      </c>
      <c r="C128">
        <v>169.5</v>
      </c>
      <c r="E128" s="5">
        <v>170.1</v>
      </c>
      <c r="F128">
        <v>169.5</v>
      </c>
    </row>
    <row r="129" spans="1:6" x14ac:dyDescent="0.25">
      <c r="A129" s="9">
        <v>44197</v>
      </c>
      <c r="B129">
        <v>169</v>
      </c>
      <c r="C129">
        <v>171.8</v>
      </c>
      <c r="E129" s="5">
        <v>169</v>
      </c>
      <c r="F129">
        <v>171.6</v>
      </c>
    </row>
    <row r="130" spans="1:6" x14ac:dyDescent="0.25">
      <c r="A130" s="9">
        <v>44287</v>
      </c>
      <c r="B130">
        <v>170.3</v>
      </c>
      <c r="C130">
        <v>171.2</v>
      </c>
      <c r="E130" s="5">
        <v>170.3</v>
      </c>
      <c r="F130">
        <v>171.4</v>
      </c>
    </row>
    <row r="131" spans="1:6" x14ac:dyDescent="0.25">
      <c r="A131" s="9">
        <v>44378</v>
      </c>
      <c r="B131">
        <v>173.9</v>
      </c>
      <c r="C131">
        <v>171.1</v>
      </c>
      <c r="E131" s="5">
        <v>173.9</v>
      </c>
      <c r="F131">
        <v>171.1</v>
      </c>
    </row>
    <row r="132" spans="1:6" x14ac:dyDescent="0.25">
      <c r="A132" s="9">
        <v>44470</v>
      </c>
      <c r="E132">
        <v>172</v>
      </c>
      <c r="F132">
        <v>171.3</v>
      </c>
    </row>
    <row r="133" spans="1:6" x14ac:dyDescent="0.25">
      <c r="A133" s="9">
        <v>44562</v>
      </c>
      <c r="E133">
        <v>168.9</v>
      </c>
      <c r="F133">
        <v>171.5</v>
      </c>
    </row>
    <row r="134" spans="1:6" x14ac:dyDescent="0.25">
      <c r="A134" s="9">
        <v>44652</v>
      </c>
      <c r="E134">
        <v>170.4</v>
      </c>
      <c r="F134">
        <v>171.6</v>
      </c>
    </row>
    <row r="135" spans="1:6" x14ac:dyDescent="0.25">
      <c r="A135" s="9">
        <v>44743</v>
      </c>
      <c r="E135">
        <v>174.5</v>
      </c>
      <c r="F135">
        <v>171.7</v>
      </c>
    </row>
    <row r="136" spans="1:6" x14ac:dyDescent="0.25">
      <c r="A136" s="1"/>
    </row>
    <row r="137" spans="1:6" x14ac:dyDescent="0.25">
      <c r="A137" s="1"/>
    </row>
    <row r="138" spans="1:6" x14ac:dyDescent="0.25">
      <c r="A138" s="1"/>
    </row>
    <row r="139" spans="1:6" x14ac:dyDescent="0.25">
      <c r="A139" s="1"/>
    </row>
    <row r="140" spans="1:6" x14ac:dyDescent="0.25">
      <c r="A140" s="1"/>
    </row>
    <row r="141" spans="1:6" x14ac:dyDescent="0.25">
      <c r="A141" s="1"/>
    </row>
    <row r="142" spans="1:6" x14ac:dyDescent="0.25">
      <c r="A142" s="1"/>
    </row>
    <row r="143" spans="1:6" x14ac:dyDescent="0.25">
      <c r="A143" s="1"/>
    </row>
    <row r="144" spans="1:6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7B296-BA8B-496B-9E84-1FE170AD2882}">
  <sheetPr codeName="Planilha2">
    <tabColor theme="4" tint="0.59999389629810485"/>
  </sheetPr>
  <dimension ref="A1:H5"/>
  <sheetViews>
    <sheetView showGridLines="0" zoomScale="85" zoomScaleNormal="85" workbookViewId="0">
      <selection activeCell="D3" sqref="D3"/>
    </sheetView>
  </sheetViews>
  <sheetFormatPr defaultColWidth="0" defaultRowHeight="15" x14ac:dyDescent="0.25"/>
  <cols>
    <col min="1" max="1" width="12.140625" customWidth="1"/>
    <col min="2" max="2" width="68.28515625" customWidth="1"/>
    <col min="3" max="3" width="12.140625" customWidth="1"/>
    <col min="4" max="4" width="52" customWidth="1"/>
    <col min="5" max="5" width="12.140625" customWidth="1"/>
    <col min="6" max="6" width="52" customWidth="1"/>
    <col min="7" max="7" width="2.42578125" customWidth="1"/>
    <col min="8" max="8" width="0" hidden="1" customWidth="1"/>
    <col min="9" max="16384" width="9.140625" hidden="1"/>
  </cols>
  <sheetData>
    <row r="1" spans="1:6" ht="48.75" customHeight="1" x14ac:dyDescent="0.35">
      <c r="A1" s="25" t="s">
        <v>12</v>
      </c>
      <c r="B1" s="25"/>
      <c r="C1" s="25"/>
      <c r="D1" s="25"/>
      <c r="E1" s="25"/>
      <c r="F1" s="25"/>
    </row>
    <row r="2" spans="1:6" x14ac:dyDescent="0.25">
      <c r="A2" s="2" t="s">
        <v>3</v>
      </c>
      <c r="B2" s="2" t="s">
        <v>0</v>
      </c>
      <c r="C2" s="2" t="s">
        <v>3</v>
      </c>
      <c r="D2" s="2" t="s">
        <v>0</v>
      </c>
      <c r="E2" s="2" t="s">
        <v>3</v>
      </c>
      <c r="F2" s="2" t="s">
        <v>0</v>
      </c>
    </row>
    <row r="3" spans="1:6" ht="405" x14ac:dyDescent="0.25">
      <c r="A3" s="10" t="s">
        <v>29</v>
      </c>
      <c r="B3" s="3" t="s">
        <v>30</v>
      </c>
      <c r="C3" s="10" t="s">
        <v>32</v>
      </c>
      <c r="D3" s="3" t="s">
        <v>8</v>
      </c>
      <c r="E3" s="10" t="s">
        <v>31</v>
      </c>
      <c r="F3" s="3" t="s">
        <v>33</v>
      </c>
    </row>
    <row r="5" spans="1:6" x14ac:dyDescent="0.25">
      <c r="B5" s="4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GDP Forecasts</vt:lpstr>
      <vt:lpstr>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 Goncalves Costa Amaral</cp:lastModifiedBy>
  <dcterms:created xsi:type="dcterms:W3CDTF">2022-01-12T01:16:32Z</dcterms:created>
  <dcterms:modified xsi:type="dcterms:W3CDTF">2024-06-15T20:46:36Z</dcterms:modified>
</cp:coreProperties>
</file>