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DESSAZ\"/>
    </mc:Choice>
  </mc:AlternateContent>
  <xr:revisionPtr revIDLastSave="0" documentId="13_ncr:1_{CC2D02A7-12F6-43CB-A1FE-2D0D11C350DB}" xr6:coauthVersionLast="47" xr6:coauthVersionMax="47" xr10:uidLastSave="{00000000-0000-0000-0000-000000000000}"/>
  <bookViews>
    <workbookView xWindow="26400" yWindow="-315" windowWidth="29040" windowHeight="15840" xr2:uid="{F29B9D70-8009-4EED-BCE5-54F79349A668}"/>
  </bookViews>
  <sheets>
    <sheet name="General" sheetId="7" r:id="rId1"/>
    <sheet name="Step-by-Step" sheetId="3" r:id="rId2"/>
    <sheet name="Monthly - IBC-Br" sheetId="5" r:id="rId3"/>
    <sheet name="Monthly - Ind Prod" sheetId="6" r:id="rId4"/>
    <sheet name="Monthly - Income" sheetId="4" r:id="rId5"/>
    <sheet name="Quarterly - GDP" sheetId="1" r:id="rId6"/>
    <sheet name="Matrix Results" sheetId="8" r:id="rId7"/>
    <sheet name="Specs" sheetId="2" r:id="rId8"/>
  </sheets>
  <functionGroups builtInGroupCount="19"/>
  <externalReferences>
    <externalReference r:id="rId9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 a="1"/>
  <c r="E3" i="5" a="1"/>
  <c r="E4" i="8" a="1"/>
  <c r="E3" i="1" a="1"/>
  <c r="E3" i="4" a="1"/>
  <c r="W2" i="6" a="1"/>
  <c r="F7" i="3" a="1"/>
  <c r="E7" i="3" a="1"/>
  <c r="D7" i="3" a="1"/>
  <c r="W2" i="4" a="1"/>
  <c r="G7" i="3" a="1"/>
  <c r="H7" i="3" a="1"/>
  <c r="W2" i="1" a="1"/>
  <c r="W2" i="5" a="1"/>
  <c r="W2" i="5" l="1"/>
  <c r="W2" i="1"/>
  <c r="H7" i="3"/>
  <c r="K109" i="3"/>
  <c r="K62" i="3"/>
  <c r="K190" i="3"/>
  <c r="K126" i="3"/>
  <c r="K224" i="3"/>
  <c r="K71" i="3"/>
  <c r="K176" i="3"/>
  <c r="K167" i="3"/>
  <c r="K13" i="3"/>
  <c r="K141" i="3"/>
  <c r="K94" i="3"/>
  <c r="K222" i="3"/>
  <c r="K108" i="3"/>
  <c r="K212" i="3"/>
  <c r="K117" i="3"/>
  <c r="K70" i="3"/>
  <c r="K198" i="3"/>
  <c r="K15" i="3"/>
  <c r="K127" i="3"/>
  <c r="K95" i="3"/>
  <c r="K184" i="3"/>
  <c r="K168" i="3"/>
  <c r="K149" i="3"/>
  <c r="K102" i="3"/>
  <c r="K55" i="3"/>
  <c r="K183" i="3"/>
  <c r="K47" i="3"/>
  <c r="K115" i="3"/>
  <c r="K220" i="3"/>
  <c r="K206" i="3"/>
  <c r="K31" i="3"/>
  <c r="K159" i="3"/>
  <c r="K23" i="3"/>
  <c r="K143" i="3"/>
  <c r="K48" i="3"/>
  <c r="K38" i="3"/>
  <c r="K116" i="3"/>
  <c r="K157" i="3"/>
  <c r="K110" i="3"/>
  <c r="K63" i="3"/>
  <c r="K191" i="3"/>
  <c r="K88" i="3"/>
  <c r="K78" i="3"/>
  <c r="K72" i="3"/>
  <c r="K188" i="3"/>
  <c r="G7" i="3"/>
  <c r="K7" i="3" s="1"/>
  <c r="K64" i="3"/>
  <c r="K151" i="3"/>
  <c r="K56" i="3"/>
  <c r="K123" i="3"/>
  <c r="K21" i="3"/>
  <c r="K12" i="3"/>
  <c r="K140" i="3"/>
  <c r="K37" i="3"/>
  <c r="K165" i="3"/>
  <c r="K96" i="3"/>
  <c r="K200" i="3"/>
  <c r="K214" i="3"/>
  <c r="K211" i="3"/>
  <c r="K226" i="3"/>
  <c r="K98" i="3"/>
  <c r="K106" i="3"/>
  <c r="K192" i="3"/>
  <c r="K39" i="3"/>
  <c r="K124" i="3"/>
  <c r="K29" i="3"/>
  <c r="K155" i="3"/>
  <c r="K20" i="3"/>
  <c r="K148" i="3"/>
  <c r="K45" i="3"/>
  <c r="K118" i="3"/>
  <c r="K219" i="3"/>
  <c r="K208" i="3"/>
  <c r="K218" i="3"/>
  <c r="K90" i="3"/>
  <c r="K185" i="3"/>
  <c r="K193" i="3"/>
  <c r="K201" i="3"/>
  <c r="K73" i="3"/>
  <c r="K132" i="3"/>
  <c r="K147" i="3"/>
  <c r="K163" i="3"/>
  <c r="K28" i="3"/>
  <c r="K156" i="3"/>
  <c r="K53" i="3"/>
  <c r="K173" i="3"/>
  <c r="K81" i="3"/>
  <c r="K119" i="3"/>
  <c r="K146" i="3"/>
  <c r="K182" i="3"/>
  <c r="K210" i="3"/>
  <c r="K57" i="3"/>
  <c r="K65" i="3"/>
  <c r="K131" i="3"/>
  <c r="K19" i="3"/>
  <c r="K27" i="3"/>
  <c r="K36" i="3"/>
  <c r="K164" i="3"/>
  <c r="K61" i="3"/>
  <c r="K189" i="3"/>
  <c r="K181" i="3"/>
  <c r="K103" i="3"/>
  <c r="K24" i="3"/>
  <c r="K120" i="3"/>
  <c r="K34" i="3"/>
  <c r="K76" i="3"/>
  <c r="K82" i="3"/>
  <c r="K139" i="3"/>
  <c r="K8" i="3"/>
  <c r="K41" i="3"/>
  <c r="K35" i="3"/>
  <c r="K44" i="3"/>
  <c r="K172" i="3"/>
  <c r="K69" i="3"/>
  <c r="K197" i="3"/>
  <c r="K14" i="3"/>
  <c r="K104" i="3"/>
  <c r="K112" i="3"/>
  <c r="K162" i="3"/>
  <c r="K166" i="3"/>
  <c r="K202" i="3"/>
  <c r="K177" i="3"/>
  <c r="K49" i="3"/>
  <c r="K33" i="3"/>
  <c r="K171" i="3"/>
  <c r="K52" i="3"/>
  <c r="K180" i="3"/>
  <c r="K77" i="3"/>
  <c r="K205" i="3"/>
  <c r="K22" i="3"/>
  <c r="K175" i="3"/>
  <c r="K207" i="3"/>
  <c r="K213" i="3"/>
  <c r="K152" i="3"/>
  <c r="K186" i="3"/>
  <c r="K194" i="3"/>
  <c r="K74" i="3"/>
  <c r="K169" i="3"/>
  <c r="K43" i="3"/>
  <c r="K179" i="3"/>
  <c r="K68" i="3"/>
  <c r="K196" i="3"/>
  <c r="K93" i="3"/>
  <c r="K221" i="3"/>
  <c r="K30" i="3"/>
  <c r="K129" i="3"/>
  <c r="K128" i="3"/>
  <c r="K40" i="3"/>
  <c r="K178" i="3"/>
  <c r="K58" i="3"/>
  <c r="K66" i="3"/>
  <c r="K161" i="3"/>
  <c r="K51" i="3"/>
  <c r="K187" i="3"/>
  <c r="K150" i="3"/>
  <c r="K100" i="3"/>
  <c r="K134" i="3"/>
  <c r="K133" i="3"/>
  <c r="K46" i="3"/>
  <c r="K209" i="3"/>
  <c r="K223" i="3"/>
  <c r="K136" i="3"/>
  <c r="K83" i="3"/>
  <c r="K170" i="3"/>
  <c r="K50" i="3"/>
  <c r="K153" i="3"/>
  <c r="K25" i="3"/>
  <c r="K59" i="3"/>
  <c r="K203" i="3"/>
  <c r="K215" i="3"/>
  <c r="K84" i="3"/>
  <c r="K67" i="3"/>
  <c r="K142" i="3"/>
  <c r="K158" i="3"/>
  <c r="K174" i="3"/>
  <c r="K9" i="3"/>
  <c r="K144" i="3"/>
  <c r="K85" i="3"/>
  <c r="K135" i="3"/>
  <c r="K42" i="3"/>
  <c r="K145" i="3"/>
  <c r="K17" i="3"/>
  <c r="K75" i="3"/>
  <c r="K79" i="3"/>
  <c r="K138" i="3"/>
  <c r="K11" i="3"/>
  <c r="K105" i="3"/>
  <c r="K92" i="3"/>
  <c r="K87" i="3"/>
  <c r="K80" i="3"/>
  <c r="K16" i="3"/>
  <c r="K160" i="3"/>
  <c r="K18" i="3"/>
  <c r="K204" i="3"/>
  <c r="K154" i="3"/>
  <c r="K137" i="3"/>
  <c r="K10" i="3"/>
  <c r="K86" i="3"/>
  <c r="K195" i="3"/>
  <c r="K113" i="3"/>
  <c r="K130" i="3"/>
  <c r="K225" i="3"/>
  <c r="K91" i="3"/>
  <c r="K199" i="3"/>
  <c r="K114" i="3"/>
  <c r="K32" i="3"/>
  <c r="K125" i="3"/>
  <c r="K216" i="3"/>
  <c r="K99" i="3"/>
  <c r="K101" i="3"/>
  <c r="K26" i="3"/>
  <c r="K121" i="3"/>
  <c r="K111" i="3"/>
  <c r="K60" i="3"/>
  <c r="K122" i="3"/>
  <c r="K217" i="3"/>
  <c r="K89" i="3"/>
  <c r="K97" i="3"/>
  <c r="K54" i="3"/>
  <c r="K107" i="3"/>
  <c r="W2" i="4"/>
  <c r="D7" i="3"/>
  <c r="J210" i="3"/>
  <c r="J82" i="3"/>
  <c r="J177" i="3"/>
  <c r="J83" i="3"/>
  <c r="J131" i="3"/>
  <c r="J164" i="3"/>
  <c r="J180" i="3"/>
  <c r="J133" i="3"/>
  <c r="J100" i="3"/>
  <c r="J30" i="3"/>
  <c r="J38" i="3"/>
  <c r="J8" i="3"/>
  <c r="J219" i="3"/>
  <c r="J12" i="3"/>
  <c r="J81" i="3"/>
  <c r="J142" i="3"/>
  <c r="J202" i="3"/>
  <c r="J99" i="3"/>
  <c r="J147" i="3"/>
  <c r="J28" i="3"/>
  <c r="J188" i="3"/>
  <c r="J13" i="3"/>
  <c r="J141" i="3"/>
  <c r="J124" i="3"/>
  <c r="J21" i="3"/>
  <c r="J155" i="3"/>
  <c r="J53" i="3"/>
  <c r="J181" i="3"/>
  <c r="J135" i="3"/>
  <c r="J27" i="3"/>
  <c r="J126" i="3"/>
  <c r="J49" i="3"/>
  <c r="J163" i="3"/>
  <c r="J68" i="3"/>
  <c r="J115" i="3"/>
  <c r="J179" i="3"/>
  <c r="J116" i="3"/>
  <c r="J196" i="3"/>
  <c r="J172" i="3"/>
  <c r="J36" i="3"/>
  <c r="J214" i="3"/>
  <c r="J39" i="3"/>
  <c r="J190" i="3"/>
  <c r="J15" i="3"/>
  <c r="J143" i="3"/>
  <c r="J74" i="3"/>
  <c r="J144" i="3"/>
  <c r="J16" i="3"/>
  <c r="J136" i="3"/>
  <c r="J9" i="3"/>
  <c r="J123" i="3"/>
  <c r="J195" i="3"/>
  <c r="J203" i="3"/>
  <c r="J86" i="3"/>
  <c r="J175" i="3"/>
  <c r="J48" i="3"/>
  <c r="J24" i="3"/>
  <c r="J70" i="3"/>
  <c r="J198" i="3"/>
  <c r="J23" i="3"/>
  <c r="E7" i="3"/>
  <c r="J7" i="3" s="1"/>
  <c r="J169" i="3"/>
  <c r="J41" i="3"/>
  <c r="J161" i="3"/>
  <c r="J33" i="3"/>
  <c r="J128" i="3"/>
  <c r="J139" i="3"/>
  <c r="J120" i="3"/>
  <c r="J47" i="3"/>
  <c r="J101" i="3"/>
  <c r="J114" i="3"/>
  <c r="J57" i="3"/>
  <c r="J31" i="3"/>
  <c r="J159" i="3"/>
  <c r="J170" i="3"/>
  <c r="J225" i="3"/>
  <c r="J194" i="3"/>
  <c r="J66" i="3"/>
  <c r="J186" i="3"/>
  <c r="J58" i="3"/>
  <c r="J153" i="3"/>
  <c r="J25" i="3"/>
  <c r="J171" i="3"/>
  <c r="J192" i="3"/>
  <c r="J138" i="3"/>
  <c r="J11" i="3"/>
  <c r="J162" i="3"/>
  <c r="J34" i="3"/>
  <c r="J129" i="3"/>
  <c r="J151" i="3"/>
  <c r="J20" i="3"/>
  <c r="J60" i="3"/>
  <c r="J50" i="3"/>
  <c r="J145" i="3"/>
  <c r="J17" i="3"/>
  <c r="J112" i="3"/>
  <c r="J189" i="3"/>
  <c r="J79" i="3"/>
  <c r="J89" i="3"/>
  <c r="J184" i="3"/>
  <c r="J67" i="3"/>
  <c r="J26" i="3"/>
  <c r="J121" i="3"/>
  <c r="J216" i="3"/>
  <c r="J42" i="3"/>
  <c r="J140" i="3"/>
  <c r="J178" i="3"/>
  <c r="J104" i="3"/>
  <c r="J187" i="3"/>
  <c r="J52" i="3"/>
  <c r="J61" i="3"/>
  <c r="J222" i="3"/>
  <c r="J217" i="3"/>
  <c r="J106" i="3"/>
  <c r="J185" i="3"/>
  <c r="J22" i="3"/>
  <c r="J113" i="3"/>
  <c r="J208" i="3"/>
  <c r="J80" i="3"/>
  <c r="J224" i="3"/>
  <c r="J137" i="3"/>
  <c r="J10" i="3"/>
  <c r="J76" i="3"/>
  <c r="J69" i="3"/>
  <c r="J197" i="3"/>
  <c r="J94" i="3"/>
  <c r="J183" i="3"/>
  <c r="J56" i="3"/>
  <c r="J146" i="3"/>
  <c r="J200" i="3"/>
  <c r="J43" i="3"/>
  <c r="J72" i="3"/>
  <c r="J51" i="3"/>
  <c r="J132" i="3"/>
  <c r="J88" i="3"/>
  <c r="J96" i="3"/>
  <c r="J211" i="3"/>
  <c r="J77" i="3"/>
  <c r="J205" i="3"/>
  <c r="J102" i="3"/>
  <c r="J55" i="3"/>
  <c r="J75" i="3"/>
  <c r="J201" i="3"/>
  <c r="J193" i="3"/>
  <c r="J91" i="3"/>
  <c r="J148" i="3"/>
  <c r="J109" i="3"/>
  <c r="J35" i="3"/>
  <c r="J19" i="3"/>
  <c r="J92" i="3"/>
  <c r="J213" i="3"/>
  <c r="J110" i="3"/>
  <c r="J63" i="3"/>
  <c r="J191" i="3"/>
  <c r="J122" i="3"/>
  <c r="J207" i="3"/>
  <c r="J226" i="3"/>
  <c r="J150" i="3"/>
  <c r="J165" i="3"/>
  <c r="J209" i="3"/>
  <c r="J174" i="3"/>
  <c r="J93" i="3"/>
  <c r="J108" i="3"/>
  <c r="J85" i="3"/>
  <c r="J71" i="3"/>
  <c r="J199" i="3"/>
  <c r="J97" i="3"/>
  <c r="J176" i="3"/>
  <c r="J130" i="3"/>
  <c r="J117" i="3"/>
  <c r="J218" i="3"/>
  <c r="J18" i="3"/>
  <c r="J182" i="3"/>
  <c r="J62" i="3"/>
  <c r="J167" i="3"/>
  <c r="J44" i="3"/>
  <c r="J221" i="3"/>
  <c r="J118" i="3"/>
  <c r="J215" i="3"/>
  <c r="J59" i="3"/>
  <c r="J156" i="3"/>
  <c r="J223" i="3"/>
  <c r="J111" i="3"/>
  <c r="J119" i="3"/>
  <c r="J64" i="3"/>
  <c r="J152" i="3"/>
  <c r="J73" i="3"/>
  <c r="J168" i="3"/>
  <c r="J40" i="3"/>
  <c r="J105" i="3"/>
  <c r="J45" i="3"/>
  <c r="J134" i="3"/>
  <c r="J87" i="3"/>
  <c r="J54" i="3"/>
  <c r="J14" i="3"/>
  <c r="J90" i="3"/>
  <c r="J98" i="3"/>
  <c r="J166" i="3"/>
  <c r="J212" i="3"/>
  <c r="J46" i="3"/>
  <c r="J125" i="3"/>
  <c r="J65" i="3"/>
  <c r="J160" i="3"/>
  <c r="J32" i="3"/>
  <c r="J154" i="3"/>
  <c r="J95" i="3"/>
  <c r="J78" i="3"/>
  <c r="J107" i="3"/>
  <c r="J127" i="3"/>
  <c r="J206" i="3"/>
  <c r="J173" i="3"/>
  <c r="J103" i="3"/>
  <c r="J149" i="3"/>
  <c r="J29" i="3"/>
  <c r="J157" i="3"/>
  <c r="J84" i="3"/>
  <c r="J158" i="3"/>
  <c r="J204" i="3"/>
  <c r="J220" i="3"/>
  <c r="J37" i="3"/>
  <c r="F7" i="3"/>
  <c r="W2" i="6"/>
  <c r="E3" i="4"/>
  <c r="L3" i="4" s="1"/>
  <c r="L47" i="4"/>
  <c r="L57" i="4"/>
  <c r="L103" i="4"/>
  <c r="L67" i="4"/>
  <c r="L8" i="4"/>
  <c r="L84" i="4"/>
  <c r="L25" i="4"/>
  <c r="L63" i="4"/>
  <c r="L20" i="4"/>
  <c r="L48" i="4"/>
  <c r="L77" i="4"/>
  <c r="L85" i="4"/>
  <c r="L38" i="4"/>
  <c r="L98" i="4"/>
  <c r="L12" i="4"/>
  <c r="L35" i="4"/>
  <c r="L52" i="4"/>
  <c r="L16" i="4"/>
  <c r="L46" i="4"/>
  <c r="L33" i="4"/>
  <c r="L7" i="4"/>
  <c r="L58" i="4"/>
  <c r="L17" i="4"/>
  <c r="L27" i="4"/>
  <c r="L59" i="4"/>
  <c r="L80" i="4"/>
  <c r="L24" i="4"/>
  <c r="L5" i="4"/>
  <c r="L79" i="4"/>
  <c r="L101" i="4"/>
  <c r="L76" i="4"/>
  <c r="L73" i="4"/>
  <c r="L9" i="4"/>
  <c r="L44" i="4"/>
  <c r="L68" i="4"/>
  <c r="L49" i="4"/>
  <c r="L94" i="4"/>
  <c r="L53" i="4"/>
  <c r="L42" i="4"/>
  <c r="L88" i="4"/>
  <c r="L32" i="4"/>
  <c r="L21" i="4"/>
  <c r="L36" i="4"/>
  <c r="L43" i="4"/>
  <c r="L50" i="4"/>
  <c r="L69" i="4"/>
  <c r="L56" i="4"/>
  <c r="L104" i="4"/>
  <c r="L74" i="4"/>
  <c r="L83" i="4"/>
  <c r="L90" i="4"/>
  <c r="L93" i="4"/>
  <c r="L15" i="4"/>
  <c r="L97" i="4"/>
  <c r="L22" i="4"/>
  <c r="L19" i="4"/>
  <c r="L13" i="4"/>
  <c r="L60" i="4"/>
  <c r="L54" i="4"/>
  <c r="L51" i="4"/>
  <c r="L87" i="4"/>
  <c r="L55" i="4"/>
  <c r="L11" i="4"/>
  <c r="L72" i="4"/>
  <c r="L65" i="4"/>
  <c r="L66" i="4"/>
  <c r="L30" i="4"/>
  <c r="L91" i="4"/>
  <c r="L40" i="4"/>
  <c r="L105" i="4"/>
  <c r="L34" i="4"/>
  <c r="L6" i="4"/>
  <c r="L100" i="4"/>
  <c r="L86" i="4"/>
  <c r="L4" i="4"/>
  <c r="L31" i="4"/>
  <c r="L39" i="4"/>
  <c r="L29" i="4"/>
  <c r="L45" i="4"/>
  <c r="L99" i="4"/>
  <c r="L62" i="4"/>
  <c r="L23" i="4"/>
  <c r="L26" i="4"/>
  <c r="L82" i="4"/>
  <c r="L64" i="4"/>
  <c r="L10" i="4"/>
  <c r="L78" i="4"/>
  <c r="L96" i="4"/>
  <c r="L89" i="4"/>
  <c r="L18" i="4"/>
  <c r="L37" i="4"/>
  <c r="L70" i="4"/>
  <c r="L95" i="4"/>
  <c r="L75" i="4"/>
  <c r="L28" i="4"/>
  <c r="L81" i="4"/>
  <c r="L71" i="4"/>
  <c r="L14" i="4"/>
  <c r="L92" i="4"/>
  <c r="L61" i="4"/>
  <c r="L41" i="4"/>
  <c r="L102" i="4"/>
  <c r="E3" i="1"/>
  <c r="L3" i="1" s="1"/>
  <c r="L66" i="1"/>
  <c r="L96" i="1"/>
  <c r="L93" i="1"/>
  <c r="L60" i="1"/>
  <c r="L98" i="1"/>
  <c r="L20" i="1"/>
  <c r="L91" i="1"/>
  <c r="L38" i="1"/>
  <c r="L8" i="1"/>
  <c r="L70" i="1"/>
  <c r="L55" i="1"/>
  <c r="L7" i="1"/>
  <c r="L100" i="1"/>
  <c r="L80" i="1"/>
  <c r="L42" i="1"/>
  <c r="L45" i="1"/>
  <c r="L43" i="1"/>
  <c r="L28" i="1"/>
  <c r="L37" i="1"/>
  <c r="L59" i="1"/>
  <c r="L65" i="1"/>
  <c r="L49" i="1"/>
  <c r="L29" i="1"/>
  <c r="L90" i="1"/>
  <c r="L69" i="1"/>
  <c r="L82" i="1"/>
  <c r="L67" i="1"/>
  <c r="L22" i="1"/>
  <c r="L61" i="1"/>
  <c r="L32" i="1"/>
  <c r="L73" i="1"/>
  <c r="L71" i="1"/>
  <c r="L39" i="1"/>
  <c r="L105" i="1"/>
  <c r="L9" i="1"/>
  <c r="L62" i="1"/>
  <c r="L103" i="1"/>
  <c r="L76" i="1"/>
  <c r="L75" i="1"/>
  <c r="L89" i="1"/>
  <c r="L46" i="1"/>
  <c r="L13" i="1"/>
  <c r="L14" i="1"/>
  <c r="L85" i="1"/>
  <c r="L79" i="1"/>
  <c r="L51" i="1"/>
  <c r="L88" i="1"/>
  <c r="L92" i="1"/>
  <c r="L74" i="1"/>
  <c r="L18" i="1"/>
  <c r="L64" i="1"/>
  <c r="L26" i="1"/>
  <c r="L102" i="1"/>
  <c r="L33" i="1"/>
  <c r="L44" i="1"/>
  <c r="L52" i="1"/>
  <c r="L50" i="1"/>
  <c r="L27" i="1"/>
  <c r="L68" i="1"/>
  <c r="L40" i="1"/>
  <c r="L4" i="1"/>
  <c r="L86" i="1"/>
  <c r="L19" i="1"/>
  <c r="L25" i="1"/>
  <c r="L12" i="1"/>
  <c r="L84" i="1"/>
  <c r="L101" i="1"/>
  <c r="L23" i="1"/>
  <c r="L97" i="1"/>
  <c r="L5" i="1"/>
  <c r="L16" i="1"/>
  <c r="L99" i="1"/>
  <c r="L104" i="1"/>
  <c r="L36" i="1"/>
  <c r="L30" i="1"/>
  <c r="L56" i="1"/>
  <c r="L47" i="1"/>
  <c r="L48" i="1"/>
  <c r="L63" i="1"/>
  <c r="L35" i="1"/>
  <c r="L24" i="1"/>
  <c r="L41" i="1"/>
  <c r="L72" i="1"/>
  <c r="L95" i="1"/>
  <c r="L21" i="1"/>
  <c r="L31" i="1"/>
  <c r="L58" i="1"/>
  <c r="L57" i="1"/>
  <c r="L17" i="1"/>
  <c r="L54" i="1"/>
  <c r="L34" i="1"/>
  <c r="L6" i="1"/>
  <c r="L78" i="1"/>
  <c r="L94" i="1"/>
  <c r="L77" i="1"/>
  <c r="L11" i="1"/>
  <c r="L81" i="1"/>
  <c r="L15" i="1"/>
  <c r="L10" i="1"/>
  <c r="L87" i="1"/>
  <c r="L53" i="1"/>
  <c r="L83" i="1"/>
  <c r="E4" i="8"/>
  <c r="E3" i="5"/>
  <c r="L3" i="5" s="1"/>
  <c r="L105" i="5"/>
  <c r="L30" i="5"/>
  <c r="L17" i="5"/>
  <c r="L88" i="5"/>
  <c r="L68" i="5"/>
  <c r="L40" i="5"/>
  <c r="L19" i="5"/>
  <c r="L73" i="5"/>
  <c r="L93" i="5"/>
  <c r="L77" i="5"/>
  <c r="L96" i="5"/>
  <c r="L39" i="5"/>
  <c r="L50" i="5"/>
  <c r="L10" i="5"/>
  <c r="L49" i="5"/>
  <c r="L11" i="5"/>
  <c r="L52" i="5"/>
  <c r="L95" i="5"/>
  <c r="L66" i="5"/>
  <c r="L67" i="5"/>
  <c r="L103" i="5"/>
  <c r="L7" i="5"/>
  <c r="L31" i="5"/>
  <c r="L64" i="5"/>
  <c r="L57" i="5"/>
  <c r="L85" i="5"/>
  <c r="L78" i="5"/>
  <c r="L104" i="5"/>
  <c r="L53" i="5"/>
  <c r="L32" i="5"/>
  <c r="L47" i="5"/>
  <c r="L60" i="5"/>
  <c r="L48" i="5"/>
  <c r="L58" i="5"/>
  <c r="L4" i="5"/>
  <c r="L90" i="5"/>
  <c r="L34" i="5"/>
  <c r="L46" i="5"/>
  <c r="L65" i="5"/>
  <c r="L71" i="5"/>
  <c r="L63" i="5"/>
  <c r="L100" i="5"/>
  <c r="L18" i="5"/>
  <c r="L80" i="5"/>
  <c r="L51" i="5"/>
  <c r="L26" i="5"/>
  <c r="L28" i="5"/>
  <c r="L98" i="5"/>
  <c r="L20" i="5"/>
  <c r="L82" i="5"/>
  <c r="L62" i="5"/>
  <c r="L5" i="5"/>
  <c r="L59" i="5"/>
  <c r="L79" i="5"/>
  <c r="L84" i="5"/>
  <c r="L86" i="5"/>
  <c r="L6" i="5"/>
  <c r="L15" i="5"/>
  <c r="L75" i="5"/>
  <c r="L21" i="5"/>
  <c r="L36" i="5"/>
  <c r="L92" i="5"/>
  <c r="L72" i="5"/>
  <c r="L101" i="5"/>
  <c r="L22" i="5"/>
  <c r="L89" i="5"/>
  <c r="L8" i="5"/>
  <c r="L99" i="5"/>
  <c r="L61" i="5"/>
  <c r="L74" i="5"/>
  <c r="L23" i="5"/>
  <c r="L13" i="5"/>
  <c r="L27" i="5"/>
  <c r="L35" i="5"/>
  <c r="L81" i="5"/>
  <c r="L16" i="5"/>
  <c r="L25" i="5"/>
  <c r="L37" i="5"/>
  <c r="L56" i="5"/>
  <c r="L76" i="5"/>
  <c r="L70" i="5"/>
  <c r="L97" i="5"/>
  <c r="L41" i="5"/>
  <c r="L12" i="5"/>
  <c r="L45" i="5"/>
  <c r="L91" i="5"/>
  <c r="L44" i="5"/>
  <c r="L33" i="5"/>
  <c r="L42" i="5"/>
  <c r="L43" i="5"/>
  <c r="L24" i="5"/>
  <c r="L83" i="5"/>
  <c r="L9" i="5"/>
  <c r="L102" i="5"/>
  <c r="L55" i="5"/>
  <c r="L54" i="5"/>
  <c r="L87" i="5"/>
  <c r="L94" i="5"/>
  <c r="L38" i="5"/>
  <c r="L14" i="5"/>
  <c r="L69" i="5"/>
  <c r="L29" i="5"/>
  <c r="E3" i="6"/>
  <c r="L3" i="6" s="1"/>
  <c r="L73" i="6"/>
  <c r="L42" i="6"/>
  <c r="L50" i="6"/>
  <c r="L62" i="6"/>
  <c r="L18" i="6"/>
  <c r="L33" i="6"/>
  <c r="L43" i="6"/>
  <c r="L15" i="6"/>
  <c r="L58" i="6"/>
  <c r="L57" i="6"/>
  <c r="L104" i="6"/>
  <c r="L102" i="6"/>
  <c r="L17" i="6"/>
  <c r="L99" i="6"/>
  <c r="L41" i="6"/>
  <c r="L88" i="6"/>
  <c r="L30" i="6"/>
  <c r="L70" i="6"/>
  <c r="L64" i="6"/>
  <c r="L96" i="6"/>
  <c r="L12" i="6"/>
  <c r="L61" i="6"/>
  <c r="L91" i="6"/>
  <c r="L25" i="6"/>
  <c r="L72" i="6"/>
  <c r="L6" i="6"/>
  <c r="L16" i="6"/>
  <c r="L31" i="6"/>
  <c r="L44" i="6"/>
  <c r="L9" i="6"/>
  <c r="L56" i="6"/>
  <c r="L28" i="6"/>
  <c r="L20" i="6"/>
  <c r="L63" i="6"/>
  <c r="L94" i="6"/>
  <c r="L79" i="6"/>
  <c r="L71" i="6"/>
  <c r="L40" i="6"/>
  <c r="L59" i="6"/>
  <c r="L34" i="6"/>
  <c r="L46" i="6"/>
  <c r="L13" i="6"/>
  <c r="L39" i="6"/>
  <c r="L24" i="6"/>
  <c r="L10" i="6"/>
  <c r="L65" i="6"/>
  <c r="L77" i="6"/>
  <c r="L76" i="6"/>
  <c r="L87" i="6"/>
  <c r="L98" i="6"/>
  <c r="L86" i="6"/>
  <c r="L8" i="6"/>
  <c r="L103" i="6"/>
  <c r="L48" i="6"/>
  <c r="L75" i="6"/>
  <c r="L90" i="6"/>
  <c r="L5" i="6"/>
  <c r="L11" i="6"/>
  <c r="L38" i="6"/>
  <c r="L93" i="6"/>
  <c r="L26" i="6"/>
  <c r="L95" i="6"/>
  <c r="L89" i="6"/>
  <c r="L37" i="6"/>
  <c r="L55" i="6"/>
  <c r="L67" i="6"/>
  <c r="L101" i="6"/>
  <c r="L100" i="6"/>
  <c r="L45" i="6"/>
  <c r="L69" i="6"/>
  <c r="L81" i="6"/>
  <c r="L23" i="6"/>
  <c r="L19" i="6"/>
  <c r="L85" i="6"/>
  <c r="L84" i="6"/>
  <c r="L60" i="6"/>
  <c r="L68" i="6"/>
  <c r="L47" i="6"/>
  <c r="L7" i="6"/>
  <c r="L66" i="6"/>
  <c r="L27" i="6"/>
  <c r="L83" i="6"/>
  <c r="L78" i="6"/>
  <c r="L54" i="6"/>
  <c r="L49" i="6"/>
  <c r="L53" i="6"/>
  <c r="L52" i="6"/>
  <c r="L74" i="6"/>
  <c r="L29" i="6"/>
  <c r="L22" i="6"/>
  <c r="L80" i="6"/>
  <c r="L4" i="6"/>
  <c r="L36" i="6"/>
  <c r="L97" i="6"/>
  <c r="L82" i="6"/>
  <c r="L105" i="6"/>
  <c r="L92" i="6"/>
  <c r="L21" i="6"/>
  <c r="L32" i="6"/>
  <c r="L35" i="6"/>
  <c r="L51" i="6"/>
  <c r="L1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tc={FA56785D-205B-4D39-B027-61859D280B54}</author>
  </authors>
  <commentList>
    <comment ref="B2" authorId="0" shapeId="0" xr:uid="{FA56785D-205B-4D39-B027-61859D280B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BCB SGS
Series: 24363 and 24364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tc={3F115306-7DD6-48E4-B0BB-33872E30CB27}</author>
  </authors>
  <commentList>
    <comment ref="B2" authorId="0" shapeId="0" xr:uid="{3F115306-7DD6-48E4-B0BB-33872E30CB2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IBGE
Tabela 3653
1 Indústria geral
Índice de base fixa sem ajuste sazonal (Base: média de 2012 = 100) (Número-índice): 1 de 1 casas decimais
Índice de base fixa com ajuste sazonal (Base: média de 2012 = 100) (Número-índice): 1 de 1 casas decimais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tc={4B8A4EB9-4371-491D-A0EA-A6C05E3F22FD}</author>
  </authors>
  <commentList>
    <comment ref="B2" authorId="0" shapeId="0" xr:uid="{4B8A4EB9-4371-491D-A0EA-A6C05E3F22F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BCB SGS
Households gross disposable national income (deflated by IPCA, 3-months moving average)
Series: 29025 and 29027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<sst xmlns="http://schemas.openxmlformats.org/spreadsheetml/2006/main" count="161" uniqueCount="102">
  <si>
    <t>Spec</t>
  </si>
  <si>
    <t>IBC-Br</t>
  </si>
  <si>
    <t>PIB</t>
  </si>
  <si>
    <t>series{ 
    format = free
}
transform{ 
    function = auto
}
outlier{ 
    types = all
}
x11{ }</t>
  </si>
  <si>
    <t>C:\Users\Eduardo\PycharmProjects\DESSAZ\specs\IBC-Br 2.spc</t>
  </si>
  <si>
    <t>24363 - Índice de Atividade Econômica do Banco Central - IBC-Br - Índice</t>
  </si>
  <si>
    <t>24364 - Índice de Atividade Econômica do Banco Central (IBC-Br) - com ajuste sazonal - Índice</t>
  </si>
  <si>
    <t>X13</t>
  </si>
  <si>
    <t>Depec Spec</t>
  </si>
  <si>
    <t>SA</t>
  </si>
  <si>
    <t>F5</t>
  </si>
  <si>
    <t>FCIL20</t>
  </si>
  <si>
    <t>FCIU20</t>
  </si>
  <si>
    <t>Date</t>
  </si>
  <si>
    <t>Name</t>
  </si>
  <si>
    <t>Seasonal Adjustment</t>
  </si>
  <si>
    <t>Spec file path</t>
  </si>
  <si>
    <t>Actual</t>
  </si>
  <si>
    <t>SA Depec</t>
  </si>
  <si>
    <t>SA X13</t>
  </si>
  <si>
    <t>SA Depec (file)</t>
  </si>
  <si>
    <t>SA Depec (text)</t>
  </si>
  <si>
    <t>BR GDP</t>
  </si>
  <si>
    <t>Official data</t>
  </si>
  <si>
    <t>xlDESSAZ</t>
  </si>
  <si>
    <t>Official SA</t>
  </si>
  <si>
    <t>Difference</t>
  </si>
  <si>
    <t>Diff of SAs</t>
  </si>
  <si>
    <t>Official spec</t>
  </si>
  <si>
    <t>Automatic (default parameters)</t>
  </si>
  <si>
    <t>Seasonal Plot</t>
  </si>
  <si>
    <t>TR</t>
  </si>
  <si>
    <t>IR</t>
  </si>
  <si>
    <t>RNDBF</t>
  </si>
  <si>
    <t>series{
    start= 1996.1
    period = 4
    format = free
}
transform{ 
    function = auto
}
pickmdl{
   method = best
   identify = all
}
outlier{ 
    types = all
}
forecast {
   maxlead = 6
   maxback = 0
}
regression {
   aictest = (td easter)
}
estimate{ }
x11{
save=(d11 d12 d13)
savelog = q
}</t>
  </si>
  <si>
    <t>Industrial Production</t>
  </si>
  <si>
    <t>Generic</t>
  </si>
  <si>
    <t>series{
title="RNDBF/RNDBF restrita"
period=12
decimals=2
format=datevalue
}
transform{function=log}
regression{variables=()}
pickmdl{
method=best
identify=all
}
outlier{types=all}
estimate { }
x11{
save=(d11 d12 d13)
}</t>
  </si>
  <si>
    <t>F12</t>
  </si>
  <si>
    <t>F4</t>
  </si>
  <si>
    <r>
      <t xml:space="preserve">It is intended to be used by researchers and the general public. It is NOT a product of the BCB, nor it is maintained by that institution. </t>
    </r>
    <r>
      <rPr>
        <b/>
        <sz val="11"/>
        <color theme="1"/>
        <rFont val="Arial"/>
        <family val="2"/>
      </rPr>
      <t>Use at your own risk!</t>
    </r>
  </si>
  <si>
    <t>It is totally free and its code is open!</t>
  </si>
  <si>
    <t>TIPS</t>
  </si>
  <si>
    <t>* Most recent version should be found on the webpage below:</t>
  </si>
  <si>
    <t>* To update from a previous version, just replace the old version of this spreadsheet with this one.</t>
  </si>
  <si>
    <t>* To use these functions in your own spreadsheet, use this spreadsheet as a model, it is EASIER!</t>
  </si>
  <si>
    <t>1) With your spreadsheet open, make sure macros are enabled and the Developer tab is displayed. In the links below, you learn how to do that:</t>
  </si>
  <si>
    <t>https://support.microsoft.com/en-us/office/enable-or-disable-macros-in-office-files-12b036fd-d140-4e74-b45e-16fed1a7e5c6</t>
  </si>
  <si>
    <t>https://support.microsoft.com/en-us/topic/show-the-developer-tab-e1192344-5e56-4d45-931b-e5fd9bea2d45</t>
  </si>
  <si>
    <t>2) In the ribbon, click on Developer tab, then on "Visual Basic".</t>
  </si>
  <si>
    <t/>
  </si>
  <si>
    <t>Function name</t>
  </si>
  <si>
    <t>Description</t>
  </si>
  <si>
    <t>Field name (Campos)</t>
  </si>
  <si>
    <t>* Version history</t>
  </si>
  <si>
    <t>First release.</t>
  </si>
  <si>
    <t>xlDESSAZ (v. 0.1)</t>
  </si>
  <si>
    <t>https://github.com/edugca/xlDESSAZ</t>
  </si>
  <si>
    <t>To update in your own spreadsheets, you need to open each one of them in the VBA Editor and replace the modules "xlDESSAZ_Functions" and "xlDESSAZ_modShellAndWait" with their current versions embedded in this spreadsheet.</t>
  </si>
  <si>
    <t>Alternatively, copy to your spreadsheet the VBA modules named "xlDESSAZ_Functions" and "xlDESSAZ_modShellAndWait", both embedded in this spreadsheet.</t>
  </si>
  <si>
    <t>* These functions rely on executing the software X13-ARIMA-SEATS and accessing user-specified folders. So, when designing your spreadsheet, consider copying function results and pasting them as values.</t>
  </si>
  <si>
    <t>https://www.census.gov/data/software/x13as.html</t>
  </si>
  <si>
    <t>* For this tool to work, one needs to install the software X13-ARIMA-SEATS, which can be downloaded freely from the website below:</t>
  </si>
  <si>
    <t>* If your seasonal adjustment specification is not working, try to make it work on the software X13-ARIMA-SEATS!</t>
  </si>
  <si>
    <t>https://www2.census.gov/software/x-13arima-seats/x13as/unix-linux/documentation/docx13as.pdf</t>
  </si>
  <si>
    <t>*Documentation of the software X13-ARIMA-SEATS is available in the following link (if the link is broken, just check their website):</t>
  </si>
  <si>
    <t>* There are some known limitations:</t>
  </si>
  <si>
    <t>* All limitations that apply to X13-ARIMA-SEATS seasonal adjustment algorithm also apply here.</t>
  </si>
  <si>
    <t>* Below, one finds a quick summary of SOME of the functions and their available fields. NOT all fields are obligatory (check the Step-by-Step worksheet).</t>
  </si>
  <si>
    <t>xlDESSAZ_SeasonalPlot</t>
  </si>
  <si>
    <t>Split time series data into seasons</t>
  </si>
  <si>
    <t>Seasonally adjust and forecast time series</t>
  </si>
  <si>
    <t>v 0.1 (2022-02-06)</t>
  </si>
  <si>
    <t>Dates</t>
  </si>
  <si>
    <t>Values</t>
  </si>
  <si>
    <t>Results</t>
  </si>
  <si>
    <t>Method</t>
  </si>
  <si>
    <t>SpecFile</t>
  </si>
  <si>
    <t>SpecText</t>
  </si>
  <si>
    <t>Exogenous</t>
  </si>
  <si>
    <t>Regularly spaced dates of the time series</t>
  </si>
  <si>
    <t>Values of the time series</t>
  </si>
  <si>
    <t>"X13" is the only one available</t>
  </si>
  <si>
    <t>Text of the seasonal adjustment spec</t>
  </si>
  <si>
    <t>Path of the seasonal adjustment spec file</t>
  </si>
  <si>
    <t>Optional</t>
  </si>
  <si>
    <t>No</t>
  </si>
  <si>
    <t>Yes (default is "SA")</t>
  </si>
  <si>
    <t>Yes (default is "X13")</t>
  </si>
  <si>
    <t>Yes</t>
  </si>
  <si>
    <t>Matrix of exogenous variables for the seasonal adjustment regression</t>
  </si>
  <si>
    <t>* So far, the tool has only been tested with vertically-aligned vectors and matrices. So, data should be vertically-aligned.</t>
  </si>
  <si>
    <t>3) Drag the VBA modules "xlDESSAZ_Functions" and "xlDESSAZ_modShellAndWait" from this spreadsheet to your spreadsheet.</t>
  </si>
  <si>
    <t>OBS;F4</t>
  </si>
  <si>
    <t>Forecast</t>
  </si>
  <si>
    <t>Any combination of "OBS" (observed), "SA" (seasonally adjusted), "TR" (trend), "IR" (irregular), "FX" (forecasts where X is the amount), "FCILX" (the lower-bound forecast interval where X is the probability), and "FCIU" (the upper-bound forecast interval where X is the probability). Multiple results must be horizontally separated by "," and vertically separated by ";".</t>
  </si>
  <si>
    <t>Income (Renda Nacional Disponível Bruta das Famílias)</t>
  </si>
  <si>
    <t>X13-ARIMA-SEATS specifications (with minor adaptations from original ones)
make sure that x11{ save=(d11 d12 d13) } is specified</t>
  </si>
  <si>
    <t>series{ 
period = 12
decimals = 2
format = datevalue
}
transform{ 
    function = log
}
arima{
  model = (2 1 0)(0 1 2)
}
outlier{ 
    span = (2015.Jan, )
}
regression{  variables = (lpyear LS2008.Oct LS2008.Nov TC2008.Dec)
	tcrate = 0.90
	user = (seg ter qua qui sex sab)
	usertype = td
	file = 'C:\Users\Eduardo\Google Drive\Meus Projetos\xlDESSAZ\RegressoresDessazIBCBR.txt'
	format = datevalue
}
estimate{ }
x11{  seasonalma = x11default
	calendarsigma = all
	final = user
	save=( d11 d12 d13 )
}</t>
  </si>
  <si>
    <t xml:space="preserve">series{ title = "Industria Geral"
 start= 2002.1
 period = 12
 format="(f6.2)"
 decimals=1 }
transform {function=none }
regression { variables = (td Easter[1])
user=(carnaval corpus)
file='C:\Users\Eduardo\Google Drive\Meus Projetos\xlDESSAZ\Holidays_IBGE_2003.txt'
 usertype=holiday
 format="datevalue"
 start= 2002.1 }
arima{model= (1 1 0)(0 1 1)}
forecast { }
outlier {types=all}
estimate { }
x11{
save = (d11 d12 d13)
print=(d11)
appendfcst=yes
savelog=(ids) } </t>
  </si>
  <si>
    <t>This spreadsheet exposes examples of how to seasonally adjust and forecast time series with X13-ARIMA-SEATS without having to leave Excel.</t>
  </si>
  <si>
    <r>
      <t xml:space="preserve">4) Open the VBA module "xlDESSAZ_Functions" at your spreadsheet. At the beginning of the module, set the following paths accordingly.
</t>
    </r>
    <r>
      <rPr>
        <b/>
        <sz val="11"/>
        <color theme="1"/>
        <rFont val="Arial"/>
        <family val="2"/>
      </rPr>
      <t>X13_path</t>
    </r>
    <r>
      <rPr>
        <sz val="11"/>
        <color theme="1"/>
        <rFont val="Arial"/>
        <family val="2"/>
      </rPr>
      <t xml:space="preserve"> must be directed to the x13as.exe file at the X13-ARIMA-SEATS installation folder.
</t>
    </r>
    <r>
      <rPr>
        <b/>
        <sz val="11"/>
        <color theme="1"/>
        <rFont val="Arial"/>
        <family val="2"/>
      </rPr>
      <t>X13_temp_folder_path</t>
    </r>
    <r>
      <rPr>
        <sz val="11"/>
        <color theme="1"/>
        <rFont val="Arial"/>
        <family val="2"/>
      </rPr>
      <t xml:space="preserve"> should be a folder one creates specifically for the purpose of holding temporay files in-between Excel and X13-ARIMA-SEATS, preferably at a fast hard drive (i.e. SSD). One should not share this folder with any other programs or files!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</si>
</sst>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[$-416]mmm\-yy;@"/>
    <numFmt numFmtId="165" formatCode="0.0"/>
    <numFmt numFmtId="166" formatCode="0.0%"/>
    <numFmt numFmtId="167" formatCode="0.0000"/>
    <numFmt numFmtId="168" formatCode="_-&quot;R$&quot;\ * #,##0_-;\-&quot;R$&quot;\ * #,##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/>
  </cellStyleXfs>
  <cellXfs count="65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0" fontId="3" fillId="0" borderId="0" xfId="0" applyFont="1"/>
    <xf numFmtId="17" fontId="0" fillId="0" borderId="0" xfId="0" applyNumberFormat="1"/>
    <xf numFmtId="165" fontId="0" fillId="0" borderId="0" xfId="0" applyNumberFormat="1"/>
    <xf numFmtId="165" fontId="0" fillId="0" borderId="0" xfId="0" applyNumberFormat="1" applyAlignment="1">
      <alignment wrapText="1"/>
    </xf>
    <xf numFmtId="166" fontId="0" fillId="0" borderId="0" xfId="1" applyNumberFormat="1" applyFont="1"/>
    <xf numFmtId="0" fontId="0" fillId="3" borderId="0" xfId="0" applyFill="1"/>
    <xf numFmtId="0" fontId="0" fillId="3" borderId="0" xfId="0" applyFill="1" applyAlignment="1">
      <alignment wrapText="1"/>
    </xf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4" borderId="2" xfId="0" applyFont="1" applyFill="1" applyBorder="1"/>
    <xf numFmtId="0" fontId="2" fillId="4" borderId="2" xfId="0" applyFont="1" applyFill="1" applyBorder="1" applyAlignment="1">
      <alignment wrapText="1"/>
    </xf>
    <xf numFmtId="0" fontId="2" fillId="4" borderId="0" xfId="0" applyFont="1" applyFill="1" applyAlignment="1">
      <alignment wrapText="1"/>
    </xf>
    <xf numFmtId="167" fontId="0" fillId="0" borderId="0" xfId="0" applyNumberFormat="1"/>
    <xf numFmtId="168" fontId="0" fillId="0" borderId="0" xfId="2" applyNumberFormat="1" applyFont="1"/>
    <xf numFmtId="168" fontId="0" fillId="0" borderId="0" xfId="2" applyNumberFormat="1" applyFont="1" applyAlignment="1"/>
    <xf numFmtId="2" fontId="0" fillId="0" borderId="0" xfId="2" applyNumberFormat="1" applyFont="1"/>
    <xf numFmtId="165" fontId="0" fillId="0" borderId="0" xfId="2" applyNumberFormat="1" applyFont="1"/>
    <xf numFmtId="165" fontId="0" fillId="0" borderId="0" xfId="2" applyNumberFormat="1" applyFont="1" applyAlignment="1"/>
    <xf numFmtId="0" fontId="0" fillId="4" borderId="1" xfId="0" applyFill="1" applyBorder="1" applyAlignment="1">
      <alignment horizontal="center" vertical="top" wrapText="1"/>
    </xf>
    <xf numFmtId="0" fontId="0" fillId="5" borderId="0" xfId="0" applyFill="1"/>
    <xf numFmtId="0" fontId="0" fillId="0" borderId="1" xfId="0" applyFill="1" applyBorder="1" applyAlignment="1">
      <alignment vertical="top" wrapText="1"/>
    </xf>
    <xf numFmtId="0" fontId="2" fillId="2" borderId="0" xfId="0" applyFont="1" applyFill="1" applyAlignment="1">
      <alignment wrapText="1"/>
    </xf>
    <xf numFmtId="0" fontId="6" fillId="8" borderId="0" xfId="4" applyFont="1" applyFill="1"/>
    <xf numFmtId="0" fontId="5" fillId="8" borderId="0" xfId="4" applyFill="1"/>
    <xf numFmtId="0" fontId="5" fillId="0" borderId="0" xfId="4"/>
    <xf numFmtId="0" fontId="7" fillId="0" borderId="0" xfId="4" applyFont="1"/>
    <xf numFmtId="0" fontId="9" fillId="0" borderId="0" xfId="4" applyFont="1"/>
    <xf numFmtId="0" fontId="8" fillId="0" borderId="0" xfId="4" applyFont="1"/>
    <xf numFmtId="0" fontId="4" fillId="0" borderId="0" xfId="3"/>
    <xf numFmtId="0" fontId="5" fillId="0" borderId="0" xfId="4" quotePrefix="1"/>
    <xf numFmtId="0" fontId="9" fillId="0" borderId="2" xfId="4" applyFont="1" applyBorder="1"/>
    <xf numFmtId="0" fontId="5" fillId="0" borderId="2" xfId="4" applyBorder="1"/>
    <xf numFmtId="0" fontId="5" fillId="0" borderId="3" xfId="4" applyBorder="1"/>
    <xf numFmtId="0" fontId="5" fillId="0" borderId="4" xfId="4" applyBorder="1"/>
    <xf numFmtId="0" fontId="5" fillId="0" borderId="0" xfId="4" applyAlignment="1">
      <alignment horizontal="center"/>
    </xf>
    <xf numFmtId="0" fontId="5" fillId="0" borderId="0" xfId="4" applyBorder="1"/>
    <xf numFmtId="0" fontId="5" fillId="0" borderId="3" xfId="4" applyBorder="1" applyAlignment="1">
      <alignment horizontal="left" vertical="top"/>
    </xf>
    <xf numFmtId="0" fontId="5" fillId="0" borderId="4" xfId="4" applyBorder="1" applyAlignment="1">
      <alignment horizontal="left" vertical="top"/>
    </xf>
    <xf numFmtId="0" fontId="5" fillId="0" borderId="0" xfId="4" applyAlignment="1">
      <alignment horizontal="left" vertical="top"/>
    </xf>
    <xf numFmtId="0" fontId="5" fillId="0" borderId="5" xfId="4" applyBorder="1" applyAlignment="1">
      <alignment horizontal="left" vertical="top"/>
    </xf>
    <xf numFmtId="0" fontId="5" fillId="0" borderId="6" xfId="4" applyBorder="1" applyAlignment="1">
      <alignment horizontal="left" vertical="top"/>
    </xf>
    <xf numFmtId="0" fontId="5" fillId="0" borderId="2" xfId="4" applyBorder="1" applyAlignment="1">
      <alignment horizontal="left" vertical="top"/>
    </xf>
    <xf numFmtId="0" fontId="5" fillId="9" borderId="5" xfId="4" applyFill="1" applyBorder="1" applyAlignment="1">
      <alignment horizontal="left" vertical="top"/>
    </xf>
    <xf numFmtId="0" fontId="5" fillId="9" borderId="0" xfId="4" applyFill="1" applyAlignment="1">
      <alignment horizontal="left" vertical="top"/>
    </xf>
    <xf numFmtId="0" fontId="5" fillId="9" borderId="6" xfId="4" applyFill="1" applyBorder="1"/>
    <xf numFmtId="0" fontId="5" fillId="9" borderId="2" xfId="4" applyFill="1" applyBorder="1"/>
    <xf numFmtId="0" fontId="5" fillId="0" borderId="0" xfId="4" applyAlignment="1">
      <alignment horizontal="left" vertical="top" wrapText="1"/>
    </xf>
    <xf numFmtId="0" fontId="5" fillId="0" borderId="4" xfId="4" applyBorder="1" applyAlignment="1">
      <alignment horizontal="left" vertical="top" wrapText="1"/>
    </xf>
    <xf numFmtId="0" fontId="5" fillId="9" borderId="0" xfId="4" applyFill="1" applyAlignment="1">
      <alignment horizontal="left" vertical="top" wrapText="1"/>
    </xf>
    <xf numFmtId="0" fontId="5" fillId="0" borderId="2" xfId="4" applyBorder="1" applyAlignment="1">
      <alignment horizontal="left" vertical="top" wrapText="1"/>
    </xf>
    <xf numFmtId="0" fontId="5" fillId="0" borderId="4" xfId="4" applyBorder="1" applyAlignment="1">
      <alignment wrapText="1"/>
    </xf>
    <xf numFmtId="0" fontId="5" fillId="9" borderId="2" xfId="4" applyFill="1" applyBorder="1" applyAlignment="1">
      <alignment wrapText="1"/>
    </xf>
    <xf numFmtId="0" fontId="5" fillId="0" borderId="0" xfId="4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7" fillId="0" borderId="0" xfId="4" applyFont="1" applyAlignment="1">
      <alignment horizontal="left" vertical="top" wrapText="1"/>
    </xf>
    <xf numFmtId="0" fontId="2" fillId="5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10" fillId="10" borderId="0" xfId="0" applyFont="1" applyFill="1" applyAlignment="1">
      <alignment horizontal="left" wrapText="1"/>
    </xf>
  </cellXfs>
  <cellStyles count="5">
    <cellStyle name="Hiperlink" xfId="3" builtinId="8"/>
    <cellStyle name="Moeda" xfId="2" builtinId="4"/>
    <cellStyle name="Normal" xfId="0" builtinId="0"/>
    <cellStyle name="Normal 2" xfId="4" xr:uid="{37EFEC2C-8610-4B1A-AD95-746AA27D3980}"/>
    <cellStyle name="Porcentagem" xfId="1" builtinId="5"/>
  </cellStyles>
  <dxfs count="0"/>
  <tableStyles count="1" defaultTableStyle="TableStyleMedium2" defaultPivotStyle="PivotStyleLight16">
    <tableStyle name="Invisible" pivot="0" table="0" count="0" xr9:uid="{592CD688-896F-47FF-B94D-7EA471DC78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IBC-Br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'Step-by-Step'!$B$6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'Step-by-Step'!$A$7:$A$223</c:f>
              <c:numCache>
                <c:formatCode>mmm\-yy</c:formatCode>
                <c:ptCount val="217"/>
                <c:pt idx="0">
                  <c:v>37622</c:v>
                </c:pt>
                <c:pt idx="1">
                  <c:v>37653</c:v>
                </c:pt>
                <c:pt idx="2">
                  <c:v>37681</c:v>
                </c:pt>
                <c:pt idx="3">
                  <c:v>37712</c:v>
                </c:pt>
                <c:pt idx="4">
                  <c:v>37742</c:v>
                </c:pt>
                <c:pt idx="5">
                  <c:v>37773</c:v>
                </c:pt>
                <c:pt idx="6">
                  <c:v>37803</c:v>
                </c:pt>
                <c:pt idx="7">
                  <c:v>37834</c:v>
                </c:pt>
                <c:pt idx="8">
                  <c:v>37865</c:v>
                </c:pt>
                <c:pt idx="9">
                  <c:v>37895</c:v>
                </c:pt>
                <c:pt idx="10">
                  <c:v>37926</c:v>
                </c:pt>
                <c:pt idx="11">
                  <c:v>37956</c:v>
                </c:pt>
                <c:pt idx="12">
                  <c:v>37987</c:v>
                </c:pt>
                <c:pt idx="13">
                  <c:v>38018</c:v>
                </c:pt>
                <c:pt idx="14">
                  <c:v>38047</c:v>
                </c:pt>
                <c:pt idx="15">
                  <c:v>38078</c:v>
                </c:pt>
                <c:pt idx="16">
                  <c:v>38108</c:v>
                </c:pt>
                <c:pt idx="17">
                  <c:v>38139</c:v>
                </c:pt>
                <c:pt idx="18">
                  <c:v>38169</c:v>
                </c:pt>
                <c:pt idx="19">
                  <c:v>38200</c:v>
                </c:pt>
                <c:pt idx="20">
                  <c:v>38231</c:v>
                </c:pt>
                <c:pt idx="21">
                  <c:v>38261</c:v>
                </c:pt>
                <c:pt idx="22">
                  <c:v>38292</c:v>
                </c:pt>
                <c:pt idx="23">
                  <c:v>38322</c:v>
                </c:pt>
                <c:pt idx="24">
                  <c:v>38353</c:v>
                </c:pt>
                <c:pt idx="25">
                  <c:v>38384</c:v>
                </c:pt>
                <c:pt idx="26">
                  <c:v>38412</c:v>
                </c:pt>
                <c:pt idx="27">
                  <c:v>38443</c:v>
                </c:pt>
                <c:pt idx="28">
                  <c:v>38473</c:v>
                </c:pt>
                <c:pt idx="29">
                  <c:v>38504</c:v>
                </c:pt>
                <c:pt idx="30">
                  <c:v>38534</c:v>
                </c:pt>
                <c:pt idx="31">
                  <c:v>38565</c:v>
                </c:pt>
                <c:pt idx="32">
                  <c:v>38596</c:v>
                </c:pt>
                <c:pt idx="33">
                  <c:v>38626</c:v>
                </c:pt>
                <c:pt idx="34">
                  <c:v>38657</c:v>
                </c:pt>
                <c:pt idx="35">
                  <c:v>38687</c:v>
                </c:pt>
                <c:pt idx="36">
                  <c:v>38718</c:v>
                </c:pt>
                <c:pt idx="37">
                  <c:v>38749</c:v>
                </c:pt>
                <c:pt idx="38">
                  <c:v>38777</c:v>
                </c:pt>
                <c:pt idx="39">
                  <c:v>38808</c:v>
                </c:pt>
                <c:pt idx="40">
                  <c:v>38838</c:v>
                </c:pt>
                <c:pt idx="41">
                  <c:v>38869</c:v>
                </c:pt>
                <c:pt idx="42">
                  <c:v>38899</c:v>
                </c:pt>
                <c:pt idx="43">
                  <c:v>38930</c:v>
                </c:pt>
                <c:pt idx="44">
                  <c:v>38961</c:v>
                </c:pt>
                <c:pt idx="45">
                  <c:v>38991</c:v>
                </c:pt>
                <c:pt idx="46">
                  <c:v>39022</c:v>
                </c:pt>
                <c:pt idx="47">
                  <c:v>39052</c:v>
                </c:pt>
                <c:pt idx="48">
                  <c:v>39083</c:v>
                </c:pt>
                <c:pt idx="49">
                  <c:v>39114</c:v>
                </c:pt>
                <c:pt idx="50">
                  <c:v>39142</c:v>
                </c:pt>
                <c:pt idx="51">
                  <c:v>39173</c:v>
                </c:pt>
                <c:pt idx="52">
                  <c:v>39203</c:v>
                </c:pt>
                <c:pt idx="53">
                  <c:v>39234</c:v>
                </c:pt>
                <c:pt idx="54">
                  <c:v>39264</c:v>
                </c:pt>
                <c:pt idx="55">
                  <c:v>39295</c:v>
                </c:pt>
                <c:pt idx="56">
                  <c:v>39326</c:v>
                </c:pt>
                <c:pt idx="57">
                  <c:v>39356</c:v>
                </c:pt>
                <c:pt idx="58">
                  <c:v>39387</c:v>
                </c:pt>
                <c:pt idx="59">
                  <c:v>39417</c:v>
                </c:pt>
                <c:pt idx="60">
                  <c:v>39448</c:v>
                </c:pt>
                <c:pt idx="61">
                  <c:v>39479</c:v>
                </c:pt>
                <c:pt idx="62">
                  <c:v>39508</c:v>
                </c:pt>
                <c:pt idx="63">
                  <c:v>39539</c:v>
                </c:pt>
                <c:pt idx="64">
                  <c:v>39569</c:v>
                </c:pt>
                <c:pt idx="65">
                  <c:v>39600</c:v>
                </c:pt>
                <c:pt idx="66">
                  <c:v>39630</c:v>
                </c:pt>
                <c:pt idx="67">
                  <c:v>39661</c:v>
                </c:pt>
                <c:pt idx="68">
                  <c:v>39692</c:v>
                </c:pt>
                <c:pt idx="69">
                  <c:v>39722</c:v>
                </c:pt>
                <c:pt idx="70">
                  <c:v>39753</c:v>
                </c:pt>
                <c:pt idx="71">
                  <c:v>39783</c:v>
                </c:pt>
                <c:pt idx="72">
                  <c:v>39814</c:v>
                </c:pt>
                <c:pt idx="73">
                  <c:v>39845</c:v>
                </c:pt>
                <c:pt idx="74">
                  <c:v>39873</c:v>
                </c:pt>
                <c:pt idx="75">
                  <c:v>39904</c:v>
                </c:pt>
                <c:pt idx="76">
                  <c:v>39934</c:v>
                </c:pt>
                <c:pt idx="77">
                  <c:v>39965</c:v>
                </c:pt>
                <c:pt idx="78">
                  <c:v>39995</c:v>
                </c:pt>
                <c:pt idx="79">
                  <c:v>40026</c:v>
                </c:pt>
                <c:pt idx="80">
                  <c:v>40057</c:v>
                </c:pt>
                <c:pt idx="81">
                  <c:v>40087</c:v>
                </c:pt>
                <c:pt idx="82">
                  <c:v>40118</c:v>
                </c:pt>
                <c:pt idx="83">
                  <c:v>40148</c:v>
                </c:pt>
                <c:pt idx="84">
                  <c:v>40179</c:v>
                </c:pt>
                <c:pt idx="85">
                  <c:v>40210</c:v>
                </c:pt>
                <c:pt idx="86">
                  <c:v>40238</c:v>
                </c:pt>
                <c:pt idx="87">
                  <c:v>40269</c:v>
                </c:pt>
                <c:pt idx="88">
                  <c:v>40299</c:v>
                </c:pt>
                <c:pt idx="89">
                  <c:v>40330</c:v>
                </c:pt>
                <c:pt idx="90">
                  <c:v>40360</c:v>
                </c:pt>
                <c:pt idx="91">
                  <c:v>40391</c:v>
                </c:pt>
                <c:pt idx="92">
                  <c:v>40422</c:v>
                </c:pt>
                <c:pt idx="93">
                  <c:v>40452</c:v>
                </c:pt>
                <c:pt idx="94">
                  <c:v>40483</c:v>
                </c:pt>
                <c:pt idx="95">
                  <c:v>40513</c:v>
                </c:pt>
                <c:pt idx="96">
                  <c:v>40544</c:v>
                </c:pt>
                <c:pt idx="97">
                  <c:v>40575</c:v>
                </c:pt>
                <c:pt idx="98">
                  <c:v>40603</c:v>
                </c:pt>
                <c:pt idx="99">
                  <c:v>40634</c:v>
                </c:pt>
                <c:pt idx="100">
                  <c:v>40664</c:v>
                </c:pt>
                <c:pt idx="101">
                  <c:v>40695</c:v>
                </c:pt>
                <c:pt idx="102">
                  <c:v>40725</c:v>
                </c:pt>
                <c:pt idx="103">
                  <c:v>40756</c:v>
                </c:pt>
                <c:pt idx="104">
                  <c:v>40787</c:v>
                </c:pt>
                <c:pt idx="105">
                  <c:v>40817</c:v>
                </c:pt>
                <c:pt idx="106">
                  <c:v>40848</c:v>
                </c:pt>
                <c:pt idx="107">
                  <c:v>40878</c:v>
                </c:pt>
                <c:pt idx="108">
                  <c:v>40909</c:v>
                </c:pt>
                <c:pt idx="109">
                  <c:v>40940</c:v>
                </c:pt>
                <c:pt idx="110">
                  <c:v>40969</c:v>
                </c:pt>
                <c:pt idx="111">
                  <c:v>41000</c:v>
                </c:pt>
                <c:pt idx="112">
                  <c:v>41030</c:v>
                </c:pt>
                <c:pt idx="113">
                  <c:v>41061</c:v>
                </c:pt>
                <c:pt idx="114">
                  <c:v>41091</c:v>
                </c:pt>
                <c:pt idx="115">
                  <c:v>41122</c:v>
                </c:pt>
                <c:pt idx="116">
                  <c:v>41153</c:v>
                </c:pt>
                <c:pt idx="117">
                  <c:v>41183</c:v>
                </c:pt>
                <c:pt idx="118">
                  <c:v>41214</c:v>
                </c:pt>
                <c:pt idx="119">
                  <c:v>41244</c:v>
                </c:pt>
                <c:pt idx="120">
                  <c:v>41275</c:v>
                </c:pt>
                <c:pt idx="121">
                  <c:v>41306</c:v>
                </c:pt>
                <c:pt idx="122">
                  <c:v>41334</c:v>
                </c:pt>
                <c:pt idx="123">
                  <c:v>41365</c:v>
                </c:pt>
                <c:pt idx="124">
                  <c:v>41395</c:v>
                </c:pt>
                <c:pt idx="125">
                  <c:v>41426</c:v>
                </c:pt>
                <c:pt idx="126">
                  <c:v>41456</c:v>
                </c:pt>
                <c:pt idx="127">
                  <c:v>41487</c:v>
                </c:pt>
                <c:pt idx="128">
                  <c:v>41518</c:v>
                </c:pt>
                <c:pt idx="129">
                  <c:v>41548</c:v>
                </c:pt>
                <c:pt idx="130">
                  <c:v>41579</c:v>
                </c:pt>
                <c:pt idx="131">
                  <c:v>41609</c:v>
                </c:pt>
                <c:pt idx="132">
                  <c:v>41640</c:v>
                </c:pt>
                <c:pt idx="133">
                  <c:v>41671</c:v>
                </c:pt>
                <c:pt idx="134">
                  <c:v>41699</c:v>
                </c:pt>
                <c:pt idx="135">
                  <c:v>41730</c:v>
                </c:pt>
                <c:pt idx="136">
                  <c:v>41760</c:v>
                </c:pt>
                <c:pt idx="137">
                  <c:v>41791</c:v>
                </c:pt>
                <c:pt idx="138">
                  <c:v>41821</c:v>
                </c:pt>
                <c:pt idx="139">
                  <c:v>41852</c:v>
                </c:pt>
                <c:pt idx="140">
                  <c:v>41883</c:v>
                </c:pt>
                <c:pt idx="141">
                  <c:v>41913</c:v>
                </c:pt>
                <c:pt idx="142">
                  <c:v>41944</c:v>
                </c:pt>
                <c:pt idx="143">
                  <c:v>41974</c:v>
                </c:pt>
                <c:pt idx="144">
                  <c:v>42005</c:v>
                </c:pt>
                <c:pt idx="145">
                  <c:v>42036</c:v>
                </c:pt>
                <c:pt idx="146">
                  <c:v>42064</c:v>
                </c:pt>
                <c:pt idx="147">
                  <c:v>42095</c:v>
                </c:pt>
                <c:pt idx="148">
                  <c:v>42125</c:v>
                </c:pt>
                <c:pt idx="149">
                  <c:v>42156</c:v>
                </c:pt>
                <c:pt idx="150">
                  <c:v>42186</c:v>
                </c:pt>
                <c:pt idx="151">
                  <c:v>42217</c:v>
                </c:pt>
                <c:pt idx="152">
                  <c:v>42248</c:v>
                </c:pt>
                <c:pt idx="153">
                  <c:v>42278</c:v>
                </c:pt>
                <c:pt idx="154">
                  <c:v>42309</c:v>
                </c:pt>
                <c:pt idx="155">
                  <c:v>42339</c:v>
                </c:pt>
                <c:pt idx="156">
                  <c:v>42370</c:v>
                </c:pt>
                <c:pt idx="157">
                  <c:v>42401</c:v>
                </c:pt>
                <c:pt idx="158">
                  <c:v>42430</c:v>
                </c:pt>
                <c:pt idx="159">
                  <c:v>42461</c:v>
                </c:pt>
                <c:pt idx="160">
                  <c:v>42491</c:v>
                </c:pt>
                <c:pt idx="161">
                  <c:v>42522</c:v>
                </c:pt>
                <c:pt idx="162">
                  <c:v>42552</c:v>
                </c:pt>
                <c:pt idx="163">
                  <c:v>42583</c:v>
                </c:pt>
                <c:pt idx="164">
                  <c:v>42614</c:v>
                </c:pt>
                <c:pt idx="165">
                  <c:v>42644</c:v>
                </c:pt>
                <c:pt idx="166">
                  <c:v>42675</c:v>
                </c:pt>
                <c:pt idx="167">
                  <c:v>42705</c:v>
                </c:pt>
                <c:pt idx="168">
                  <c:v>42736</c:v>
                </c:pt>
                <c:pt idx="169">
                  <c:v>42767</c:v>
                </c:pt>
                <c:pt idx="170">
                  <c:v>42795</c:v>
                </c:pt>
                <c:pt idx="171">
                  <c:v>42826</c:v>
                </c:pt>
                <c:pt idx="172">
                  <c:v>42856</c:v>
                </c:pt>
                <c:pt idx="173">
                  <c:v>42887</c:v>
                </c:pt>
                <c:pt idx="174">
                  <c:v>42917</c:v>
                </c:pt>
                <c:pt idx="175">
                  <c:v>42948</c:v>
                </c:pt>
                <c:pt idx="176">
                  <c:v>42979</c:v>
                </c:pt>
                <c:pt idx="177">
                  <c:v>43009</c:v>
                </c:pt>
                <c:pt idx="178">
                  <c:v>43040</c:v>
                </c:pt>
                <c:pt idx="179">
                  <c:v>43070</c:v>
                </c:pt>
                <c:pt idx="180">
                  <c:v>43101</c:v>
                </c:pt>
                <c:pt idx="181">
                  <c:v>43132</c:v>
                </c:pt>
                <c:pt idx="182">
                  <c:v>43160</c:v>
                </c:pt>
                <c:pt idx="183">
                  <c:v>43191</c:v>
                </c:pt>
                <c:pt idx="184">
                  <c:v>43221</c:v>
                </c:pt>
                <c:pt idx="185">
                  <c:v>43252</c:v>
                </c:pt>
                <c:pt idx="186">
                  <c:v>43282</c:v>
                </c:pt>
                <c:pt idx="187">
                  <c:v>43313</c:v>
                </c:pt>
                <c:pt idx="188">
                  <c:v>43344</c:v>
                </c:pt>
                <c:pt idx="189">
                  <c:v>43374</c:v>
                </c:pt>
                <c:pt idx="190">
                  <c:v>43405</c:v>
                </c:pt>
                <c:pt idx="191">
                  <c:v>43435</c:v>
                </c:pt>
                <c:pt idx="192">
                  <c:v>43466</c:v>
                </c:pt>
                <c:pt idx="193">
                  <c:v>43497</c:v>
                </c:pt>
                <c:pt idx="194">
                  <c:v>43525</c:v>
                </c:pt>
                <c:pt idx="195">
                  <c:v>43556</c:v>
                </c:pt>
                <c:pt idx="196">
                  <c:v>43586</c:v>
                </c:pt>
                <c:pt idx="197">
                  <c:v>43617</c:v>
                </c:pt>
                <c:pt idx="198">
                  <c:v>43647</c:v>
                </c:pt>
                <c:pt idx="199">
                  <c:v>43678</c:v>
                </c:pt>
                <c:pt idx="200">
                  <c:v>43709</c:v>
                </c:pt>
                <c:pt idx="201">
                  <c:v>43739</c:v>
                </c:pt>
                <c:pt idx="202">
                  <c:v>43770</c:v>
                </c:pt>
                <c:pt idx="203">
                  <c:v>43800</c:v>
                </c:pt>
                <c:pt idx="204">
                  <c:v>43831</c:v>
                </c:pt>
                <c:pt idx="205">
                  <c:v>43862</c:v>
                </c:pt>
                <c:pt idx="206">
                  <c:v>43891</c:v>
                </c:pt>
                <c:pt idx="207">
                  <c:v>43922</c:v>
                </c:pt>
                <c:pt idx="208">
                  <c:v>43952</c:v>
                </c:pt>
                <c:pt idx="209">
                  <c:v>43983</c:v>
                </c:pt>
                <c:pt idx="210">
                  <c:v>44013</c:v>
                </c:pt>
                <c:pt idx="211">
                  <c:v>44044</c:v>
                </c:pt>
                <c:pt idx="212">
                  <c:v>44075</c:v>
                </c:pt>
                <c:pt idx="213">
                  <c:v>44105</c:v>
                </c:pt>
                <c:pt idx="214">
                  <c:v>44136</c:v>
                </c:pt>
                <c:pt idx="215">
                  <c:v>44166</c:v>
                </c:pt>
                <c:pt idx="216">
                  <c:v>44197</c:v>
                </c:pt>
              </c:numCache>
            </c:numRef>
          </c:cat>
          <c:val>
            <c:numRef>
              <c:f>'Step-by-Step'!$B$7:$B$223</c:f>
              <c:numCache>
                <c:formatCode>0.0</c:formatCode>
                <c:ptCount val="217"/>
                <c:pt idx="0">
                  <c:v>96.15</c:v>
                </c:pt>
                <c:pt idx="1">
                  <c:v>98.67</c:v>
                </c:pt>
                <c:pt idx="2">
                  <c:v>103.41</c:v>
                </c:pt>
                <c:pt idx="3">
                  <c:v>102.19</c:v>
                </c:pt>
                <c:pt idx="4">
                  <c:v>100.3</c:v>
                </c:pt>
                <c:pt idx="5">
                  <c:v>98.58</c:v>
                </c:pt>
                <c:pt idx="6">
                  <c:v>103.05</c:v>
                </c:pt>
                <c:pt idx="7">
                  <c:v>101.47</c:v>
                </c:pt>
                <c:pt idx="8">
                  <c:v>102.87</c:v>
                </c:pt>
                <c:pt idx="9">
                  <c:v>105.06</c:v>
                </c:pt>
                <c:pt idx="10">
                  <c:v>101.95</c:v>
                </c:pt>
                <c:pt idx="11">
                  <c:v>99.74</c:v>
                </c:pt>
                <c:pt idx="12">
                  <c:v>98.59</c:v>
                </c:pt>
                <c:pt idx="13">
                  <c:v>99.45</c:v>
                </c:pt>
                <c:pt idx="14">
                  <c:v>111.98</c:v>
                </c:pt>
                <c:pt idx="15">
                  <c:v>107.36</c:v>
                </c:pt>
                <c:pt idx="16">
                  <c:v>106.03</c:v>
                </c:pt>
                <c:pt idx="17">
                  <c:v>107</c:v>
                </c:pt>
                <c:pt idx="18">
                  <c:v>111.47</c:v>
                </c:pt>
                <c:pt idx="19">
                  <c:v>110.65</c:v>
                </c:pt>
                <c:pt idx="20">
                  <c:v>109.21</c:v>
                </c:pt>
                <c:pt idx="21">
                  <c:v>108.89</c:v>
                </c:pt>
                <c:pt idx="22">
                  <c:v>109.59</c:v>
                </c:pt>
                <c:pt idx="23">
                  <c:v>107.56</c:v>
                </c:pt>
                <c:pt idx="24">
                  <c:v>103.52</c:v>
                </c:pt>
                <c:pt idx="25">
                  <c:v>104</c:v>
                </c:pt>
                <c:pt idx="26">
                  <c:v>115.42</c:v>
                </c:pt>
                <c:pt idx="27">
                  <c:v>112.35</c:v>
                </c:pt>
                <c:pt idx="28">
                  <c:v>110.86</c:v>
                </c:pt>
                <c:pt idx="29">
                  <c:v>111.5</c:v>
                </c:pt>
                <c:pt idx="30">
                  <c:v>113.15</c:v>
                </c:pt>
                <c:pt idx="31">
                  <c:v>115.15</c:v>
                </c:pt>
                <c:pt idx="32">
                  <c:v>110.95</c:v>
                </c:pt>
                <c:pt idx="33">
                  <c:v>111.33</c:v>
                </c:pt>
                <c:pt idx="34">
                  <c:v>111.73</c:v>
                </c:pt>
                <c:pt idx="35">
                  <c:v>111.25</c:v>
                </c:pt>
                <c:pt idx="36">
                  <c:v>108.55</c:v>
                </c:pt>
                <c:pt idx="37">
                  <c:v>107.8</c:v>
                </c:pt>
                <c:pt idx="38">
                  <c:v>119.09</c:v>
                </c:pt>
                <c:pt idx="39">
                  <c:v>112.61</c:v>
                </c:pt>
                <c:pt idx="40">
                  <c:v>117.19</c:v>
                </c:pt>
                <c:pt idx="41">
                  <c:v>114.4</c:v>
                </c:pt>
                <c:pt idx="42">
                  <c:v>119.41</c:v>
                </c:pt>
                <c:pt idx="43">
                  <c:v>121.06</c:v>
                </c:pt>
                <c:pt idx="44">
                  <c:v>116.21</c:v>
                </c:pt>
                <c:pt idx="45">
                  <c:v>119.33</c:v>
                </c:pt>
                <c:pt idx="46">
                  <c:v>118.67</c:v>
                </c:pt>
                <c:pt idx="47">
                  <c:v>116.3</c:v>
                </c:pt>
                <c:pt idx="48">
                  <c:v>114.79</c:v>
                </c:pt>
                <c:pt idx="49">
                  <c:v>113.33</c:v>
                </c:pt>
                <c:pt idx="50">
                  <c:v>125.11</c:v>
                </c:pt>
                <c:pt idx="51">
                  <c:v>120.29</c:v>
                </c:pt>
                <c:pt idx="52">
                  <c:v>123.9</c:v>
                </c:pt>
                <c:pt idx="53">
                  <c:v>122.38</c:v>
                </c:pt>
                <c:pt idx="54">
                  <c:v>127.85</c:v>
                </c:pt>
                <c:pt idx="55">
                  <c:v>129.05000000000001</c:v>
                </c:pt>
                <c:pt idx="56">
                  <c:v>123.24</c:v>
                </c:pt>
                <c:pt idx="57">
                  <c:v>129.16999999999999</c:v>
                </c:pt>
                <c:pt idx="58">
                  <c:v>125.88</c:v>
                </c:pt>
                <c:pt idx="59">
                  <c:v>122.43</c:v>
                </c:pt>
                <c:pt idx="60">
                  <c:v>121.86</c:v>
                </c:pt>
                <c:pt idx="61">
                  <c:v>121.91</c:v>
                </c:pt>
                <c:pt idx="62">
                  <c:v>128.99</c:v>
                </c:pt>
                <c:pt idx="63">
                  <c:v>129.47999999999999</c:v>
                </c:pt>
                <c:pt idx="64">
                  <c:v>128.91999999999999</c:v>
                </c:pt>
                <c:pt idx="65">
                  <c:v>130.59</c:v>
                </c:pt>
                <c:pt idx="66">
                  <c:v>136.53</c:v>
                </c:pt>
                <c:pt idx="67">
                  <c:v>133.87</c:v>
                </c:pt>
                <c:pt idx="68">
                  <c:v>132.6</c:v>
                </c:pt>
                <c:pt idx="69">
                  <c:v>132.80000000000001</c:v>
                </c:pt>
                <c:pt idx="70">
                  <c:v>124.58</c:v>
                </c:pt>
                <c:pt idx="71">
                  <c:v>118.9</c:v>
                </c:pt>
                <c:pt idx="72">
                  <c:v>115.2</c:v>
                </c:pt>
                <c:pt idx="73">
                  <c:v>115.26</c:v>
                </c:pt>
                <c:pt idx="74">
                  <c:v>127.81</c:v>
                </c:pt>
                <c:pt idx="75">
                  <c:v>123.09</c:v>
                </c:pt>
                <c:pt idx="76">
                  <c:v>124.41</c:v>
                </c:pt>
                <c:pt idx="77">
                  <c:v>125.61</c:v>
                </c:pt>
                <c:pt idx="78">
                  <c:v>131.44</c:v>
                </c:pt>
                <c:pt idx="79">
                  <c:v>130.69999999999999</c:v>
                </c:pt>
                <c:pt idx="80">
                  <c:v>129.81</c:v>
                </c:pt>
                <c:pt idx="81">
                  <c:v>132.47999999999999</c:v>
                </c:pt>
                <c:pt idx="82">
                  <c:v>129.62</c:v>
                </c:pt>
                <c:pt idx="83">
                  <c:v>129.22999999999999</c:v>
                </c:pt>
                <c:pt idx="84">
                  <c:v>125.81</c:v>
                </c:pt>
                <c:pt idx="85">
                  <c:v>127.61</c:v>
                </c:pt>
                <c:pt idx="86">
                  <c:v>143.44</c:v>
                </c:pt>
                <c:pt idx="87">
                  <c:v>136.87</c:v>
                </c:pt>
                <c:pt idx="88">
                  <c:v>136.52000000000001</c:v>
                </c:pt>
                <c:pt idx="89">
                  <c:v>136.09</c:v>
                </c:pt>
                <c:pt idx="90">
                  <c:v>141.63999999999999</c:v>
                </c:pt>
                <c:pt idx="91">
                  <c:v>141.55000000000001</c:v>
                </c:pt>
                <c:pt idx="92">
                  <c:v>139.46</c:v>
                </c:pt>
                <c:pt idx="93">
                  <c:v>139.33000000000001</c:v>
                </c:pt>
                <c:pt idx="94">
                  <c:v>139.68</c:v>
                </c:pt>
                <c:pt idx="95">
                  <c:v>136.69</c:v>
                </c:pt>
                <c:pt idx="96">
                  <c:v>132.66</c:v>
                </c:pt>
                <c:pt idx="97">
                  <c:v>136.18</c:v>
                </c:pt>
                <c:pt idx="98">
                  <c:v>144.93</c:v>
                </c:pt>
                <c:pt idx="99">
                  <c:v>139.88999999999999</c:v>
                </c:pt>
                <c:pt idx="100">
                  <c:v>143.22999999999999</c:v>
                </c:pt>
                <c:pt idx="101">
                  <c:v>141.75</c:v>
                </c:pt>
                <c:pt idx="102">
                  <c:v>145.19</c:v>
                </c:pt>
                <c:pt idx="103">
                  <c:v>147.51</c:v>
                </c:pt>
                <c:pt idx="104">
                  <c:v>142.30000000000001</c:v>
                </c:pt>
                <c:pt idx="105">
                  <c:v>142.02000000000001</c:v>
                </c:pt>
                <c:pt idx="106">
                  <c:v>141.87</c:v>
                </c:pt>
                <c:pt idx="107">
                  <c:v>139.22999999999999</c:v>
                </c:pt>
                <c:pt idx="108">
                  <c:v>133.34</c:v>
                </c:pt>
                <c:pt idx="109">
                  <c:v>135.35</c:v>
                </c:pt>
                <c:pt idx="110">
                  <c:v>146.35</c:v>
                </c:pt>
                <c:pt idx="111">
                  <c:v>139.85</c:v>
                </c:pt>
                <c:pt idx="112">
                  <c:v>144.56</c:v>
                </c:pt>
                <c:pt idx="113">
                  <c:v>142.28</c:v>
                </c:pt>
                <c:pt idx="114">
                  <c:v>147.46</c:v>
                </c:pt>
                <c:pt idx="115">
                  <c:v>149.91</c:v>
                </c:pt>
                <c:pt idx="116">
                  <c:v>141.6</c:v>
                </c:pt>
                <c:pt idx="117">
                  <c:v>147.71</c:v>
                </c:pt>
                <c:pt idx="118">
                  <c:v>144.15</c:v>
                </c:pt>
                <c:pt idx="119">
                  <c:v>139.52000000000001</c:v>
                </c:pt>
                <c:pt idx="120">
                  <c:v>139.32</c:v>
                </c:pt>
                <c:pt idx="121">
                  <c:v>136.13999999999999</c:v>
                </c:pt>
                <c:pt idx="122">
                  <c:v>148.01</c:v>
                </c:pt>
                <c:pt idx="123">
                  <c:v>149.79</c:v>
                </c:pt>
                <c:pt idx="124">
                  <c:v>147.03</c:v>
                </c:pt>
                <c:pt idx="125">
                  <c:v>144.87</c:v>
                </c:pt>
                <c:pt idx="126">
                  <c:v>152.13</c:v>
                </c:pt>
                <c:pt idx="127">
                  <c:v>151.81</c:v>
                </c:pt>
                <c:pt idx="128">
                  <c:v>147.27000000000001</c:v>
                </c:pt>
                <c:pt idx="129">
                  <c:v>151.9</c:v>
                </c:pt>
                <c:pt idx="130">
                  <c:v>147.79</c:v>
                </c:pt>
                <c:pt idx="131">
                  <c:v>145.77000000000001</c:v>
                </c:pt>
                <c:pt idx="132">
                  <c:v>142.72</c:v>
                </c:pt>
                <c:pt idx="133">
                  <c:v>143.53</c:v>
                </c:pt>
                <c:pt idx="134">
                  <c:v>149.03</c:v>
                </c:pt>
                <c:pt idx="135">
                  <c:v>147.69</c:v>
                </c:pt>
                <c:pt idx="136">
                  <c:v>147.13999999999999</c:v>
                </c:pt>
                <c:pt idx="137">
                  <c:v>140.88</c:v>
                </c:pt>
                <c:pt idx="138">
                  <c:v>149.85</c:v>
                </c:pt>
                <c:pt idx="139">
                  <c:v>148.27000000000001</c:v>
                </c:pt>
                <c:pt idx="140">
                  <c:v>148.12</c:v>
                </c:pt>
                <c:pt idx="141">
                  <c:v>149.69999999999999</c:v>
                </c:pt>
                <c:pt idx="142">
                  <c:v>144.91999999999999</c:v>
                </c:pt>
                <c:pt idx="143">
                  <c:v>145.47999999999999</c:v>
                </c:pt>
                <c:pt idx="144">
                  <c:v>138.97999999999999</c:v>
                </c:pt>
                <c:pt idx="145">
                  <c:v>136.69</c:v>
                </c:pt>
                <c:pt idx="146">
                  <c:v>149.75</c:v>
                </c:pt>
                <c:pt idx="147">
                  <c:v>142.47999999999999</c:v>
                </c:pt>
                <c:pt idx="148">
                  <c:v>139.94999999999999</c:v>
                </c:pt>
                <c:pt idx="149">
                  <c:v>138.75</c:v>
                </c:pt>
                <c:pt idx="150">
                  <c:v>143.32</c:v>
                </c:pt>
                <c:pt idx="151">
                  <c:v>140.93</c:v>
                </c:pt>
                <c:pt idx="152">
                  <c:v>138.30000000000001</c:v>
                </c:pt>
                <c:pt idx="153">
                  <c:v>140.22</c:v>
                </c:pt>
                <c:pt idx="154">
                  <c:v>136.06</c:v>
                </c:pt>
                <c:pt idx="155">
                  <c:v>136.47999999999999</c:v>
                </c:pt>
                <c:pt idx="156">
                  <c:v>128.47999999999999</c:v>
                </c:pt>
                <c:pt idx="157">
                  <c:v>130.91999999999999</c:v>
                </c:pt>
                <c:pt idx="158">
                  <c:v>140.54</c:v>
                </c:pt>
                <c:pt idx="159">
                  <c:v>136.08000000000001</c:v>
                </c:pt>
                <c:pt idx="160">
                  <c:v>133.72999999999999</c:v>
                </c:pt>
                <c:pt idx="161">
                  <c:v>135.46</c:v>
                </c:pt>
                <c:pt idx="162">
                  <c:v>136.72999999999999</c:v>
                </c:pt>
                <c:pt idx="163">
                  <c:v>138.22</c:v>
                </c:pt>
                <c:pt idx="164">
                  <c:v>134.09</c:v>
                </c:pt>
                <c:pt idx="165">
                  <c:v>132.83000000000001</c:v>
                </c:pt>
                <c:pt idx="166">
                  <c:v>132.55000000000001</c:v>
                </c:pt>
                <c:pt idx="167">
                  <c:v>133.56</c:v>
                </c:pt>
                <c:pt idx="168">
                  <c:v>128.62</c:v>
                </c:pt>
                <c:pt idx="169">
                  <c:v>129.54</c:v>
                </c:pt>
                <c:pt idx="170">
                  <c:v>142.03</c:v>
                </c:pt>
                <c:pt idx="171">
                  <c:v>133.74</c:v>
                </c:pt>
                <c:pt idx="172">
                  <c:v>135.97999999999999</c:v>
                </c:pt>
                <c:pt idx="173">
                  <c:v>135.03</c:v>
                </c:pt>
                <c:pt idx="174">
                  <c:v>138.35</c:v>
                </c:pt>
                <c:pt idx="175">
                  <c:v>140.12</c:v>
                </c:pt>
                <c:pt idx="176">
                  <c:v>134.99</c:v>
                </c:pt>
                <c:pt idx="177">
                  <c:v>135.94</c:v>
                </c:pt>
                <c:pt idx="178">
                  <c:v>135.11000000000001</c:v>
                </c:pt>
                <c:pt idx="179">
                  <c:v>135.88</c:v>
                </c:pt>
                <c:pt idx="180">
                  <c:v>132.03</c:v>
                </c:pt>
                <c:pt idx="181">
                  <c:v>129.85</c:v>
                </c:pt>
                <c:pt idx="182">
                  <c:v>141.63</c:v>
                </c:pt>
                <c:pt idx="183">
                  <c:v>139.02000000000001</c:v>
                </c:pt>
                <c:pt idx="184">
                  <c:v>132.29</c:v>
                </c:pt>
                <c:pt idx="185">
                  <c:v>137.06</c:v>
                </c:pt>
                <c:pt idx="186">
                  <c:v>140.97</c:v>
                </c:pt>
                <c:pt idx="187">
                  <c:v>143.33000000000001</c:v>
                </c:pt>
                <c:pt idx="188">
                  <c:v>135.87</c:v>
                </c:pt>
                <c:pt idx="189">
                  <c:v>139.75</c:v>
                </c:pt>
                <c:pt idx="190">
                  <c:v>137.62</c:v>
                </c:pt>
                <c:pt idx="191">
                  <c:v>136.33000000000001</c:v>
                </c:pt>
                <c:pt idx="192">
                  <c:v>133.43</c:v>
                </c:pt>
                <c:pt idx="193">
                  <c:v>133.75</c:v>
                </c:pt>
                <c:pt idx="194">
                  <c:v>138.99</c:v>
                </c:pt>
                <c:pt idx="195">
                  <c:v>139.46</c:v>
                </c:pt>
                <c:pt idx="196">
                  <c:v>139.26</c:v>
                </c:pt>
                <c:pt idx="197">
                  <c:v>135.01</c:v>
                </c:pt>
                <c:pt idx="198">
                  <c:v>142.91999999999999</c:v>
                </c:pt>
                <c:pt idx="199">
                  <c:v>141.77000000000001</c:v>
                </c:pt>
                <c:pt idx="200">
                  <c:v>138.30000000000001</c:v>
                </c:pt>
                <c:pt idx="201">
                  <c:v>142.76</c:v>
                </c:pt>
                <c:pt idx="202">
                  <c:v>138.84</c:v>
                </c:pt>
                <c:pt idx="203">
                  <c:v>137.54</c:v>
                </c:pt>
                <c:pt idx="204">
                  <c:v>133.6</c:v>
                </c:pt>
                <c:pt idx="205">
                  <c:v>134.63</c:v>
                </c:pt>
                <c:pt idx="206">
                  <c:v>136.72</c:v>
                </c:pt>
                <c:pt idx="207">
                  <c:v>119.13</c:v>
                </c:pt>
                <c:pt idx="208">
                  <c:v>119.79</c:v>
                </c:pt>
                <c:pt idx="209">
                  <c:v>126.18</c:v>
                </c:pt>
                <c:pt idx="210">
                  <c:v>135.82</c:v>
                </c:pt>
                <c:pt idx="211">
                  <c:v>135.5</c:v>
                </c:pt>
                <c:pt idx="212">
                  <c:v>137.13999999999999</c:v>
                </c:pt>
                <c:pt idx="213">
                  <c:v>139.62</c:v>
                </c:pt>
                <c:pt idx="214">
                  <c:v>138.1</c:v>
                </c:pt>
                <c:pt idx="215">
                  <c:v>139.53</c:v>
                </c:pt>
                <c:pt idx="216">
                  <c:v>132.1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C8-4449-8617-3B40702E3F02}"/>
            </c:ext>
          </c:extLst>
        </c:ser>
        <c:ser>
          <c:idx val="1"/>
          <c:order val="1"/>
          <c:tx>
            <c:strRef>
              <c:f>'Step-by-Step'!$C$6</c:f>
              <c:strCache>
                <c:ptCount val="1"/>
                <c:pt idx="0">
                  <c:v>SA Depec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'Step-by-Step'!$A$7:$A$223</c:f>
              <c:numCache>
                <c:formatCode>mmm\-yy</c:formatCode>
                <c:ptCount val="217"/>
                <c:pt idx="0">
                  <c:v>37622</c:v>
                </c:pt>
                <c:pt idx="1">
                  <c:v>37653</c:v>
                </c:pt>
                <c:pt idx="2">
                  <c:v>37681</c:v>
                </c:pt>
                <c:pt idx="3">
                  <c:v>37712</c:v>
                </c:pt>
                <c:pt idx="4">
                  <c:v>37742</c:v>
                </c:pt>
                <c:pt idx="5">
                  <c:v>37773</c:v>
                </c:pt>
                <c:pt idx="6">
                  <c:v>37803</c:v>
                </c:pt>
                <c:pt idx="7">
                  <c:v>37834</c:v>
                </c:pt>
                <c:pt idx="8">
                  <c:v>37865</c:v>
                </c:pt>
                <c:pt idx="9">
                  <c:v>37895</c:v>
                </c:pt>
                <c:pt idx="10">
                  <c:v>37926</c:v>
                </c:pt>
                <c:pt idx="11">
                  <c:v>37956</c:v>
                </c:pt>
                <c:pt idx="12">
                  <c:v>37987</c:v>
                </c:pt>
                <c:pt idx="13">
                  <c:v>38018</c:v>
                </c:pt>
                <c:pt idx="14">
                  <c:v>38047</c:v>
                </c:pt>
                <c:pt idx="15">
                  <c:v>38078</c:v>
                </c:pt>
                <c:pt idx="16">
                  <c:v>38108</c:v>
                </c:pt>
                <c:pt idx="17">
                  <c:v>38139</c:v>
                </c:pt>
                <c:pt idx="18">
                  <c:v>38169</c:v>
                </c:pt>
                <c:pt idx="19">
                  <c:v>38200</c:v>
                </c:pt>
                <c:pt idx="20">
                  <c:v>38231</c:v>
                </c:pt>
                <c:pt idx="21">
                  <c:v>38261</c:v>
                </c:pt>
                <c:pt idx="22">
                  <c:v>38292</c:v>
                </c:pt>
                <c:pt idx="23">
                  <c:v>38322</c:v>
                </c:pt>
                <c:pt idx="24">
                  <c:v>38353</c:v>
                </c:pt>
                <c:pt idx="25">
                  <c:v>38384</c:v>
                </c:pt>
                <c:pt idx="26">
                  <c:v>38412</c:v>
                </c:pt>
                <c:pt idx="27">
                  <c:v>38443</c:v>
                </c:pt>
                <c:pt idx="28">
                  <c:v>38473</c:v>
                </c:pt>
                <c:pt idx="29">
                  <c:v>38504</c:v>
                </c:pt>
                <c:pt idx="30">
                  <c:v>38534</c:v>
                </c:pt>
                <c:pt idx="31">
                  <c:v>38565</c:v>
                </c:pt>
                <c:pt idx="32">
                  <c:v>38596</c:v>
                </c:pt>
                <c:pt idx="33">
                  <c:v>38626</c:v>
                </c:pt>
                <c:pt idx="34">
                  <c:v>38657</c:v>
                </c:pt>
                <c:pt idx="35">
                  <c:v>38687</c:v>
                </c:pt>
                <c:pt idx="36">
                  <c:v>38718</c:v>
                </c:pt>
                <c:pt idx="37">
                  <c:v>38749</c:v>
                </c:pt>
                <c:pt idx="38">
                  <c:v>38777</c:v>
                </c:pt>
                <c:pt idx="39">
                  <c:v>38808</c:v>
                </c:pt>
                <c:pt idx="40">
                  <c:v>38838</c:v>
                </c:pt>
                <c:pt idx="41">
                  <c:v>38869</c:v>
                </c:pt>
                <c:pt idx="42">
                  <c:v>38899</c:v>
                </c:pt>
                <c:pt idx="43">
                  <c:v>38930</c:v>
                </c:pt>
                <c:pt idx="44">
                  <c:v>38961</c:v>
                </c:pt>
                <c:pt idx="45">
                  <c:v>38991</c:v>
                </c:pt>
                <c:pt idx="46">
                  <c:v>39022</c:v>
                </c:pt>
                <c:pt idx="47">
                  <c:v>39052</c:v>
                </c:pt>
                <c:pt idx="48">
                  <c:v>39083</c:v>
                </c:pt>
                <c:pt idx="49">
                  <c:v>39114</c:v>
                </c:pt>
                <c:pt idx="50">
                  <c:v>39142</c:v>
                </c:pt>
                <c:pt idx="51">
                  <c:v>39173</c:v>
                </c:pt>
                <c:pt idx="52">
                  <c:v>39203</c:v>
                </c:pt>
                <c:pt idx="53">
                  <c:v>39234</c:v>
                </c:pt>
                <c:pt idx="54">
                  <c:v>39264</c:v>
                </c:pt>
                <c:pt idx="55">
                  <c:v>39295</c:v>
                </c:pt>
                <c:pt idx="56">
                  <c:v>39326</c:v>
                </c:pt>
                <c:pt idx="57">
                  <c:v>39356</c:v>
                </c:pt>
                <c:pt idx="58">
                  <c:v>39387</c:v>
                </c:pt>
                <c:pt idx="59">
                  <c:v>39417</c:v>
                </c:pt>
                <c:pt idx="60">
                  <c:v>39448</c:v>
                </c:pt>
                <c:pt idx="61">
                  <c:v>39479</c:v>
                </c:pt>
                <c:pt idx="62">
                  <c:v>39508</c:v>
                </c:pt>
                <c:pt idx="63">
                  <c:v>39539</c:v>
                </c:pt>
                <c:pt idx="64">
                  <c:v>39569</c:v>
                </c:pt>
                <c:pt idx="65">
                  <c:v>39600</c:v>
                </c:pt>
                <c:pt idx="66">
                  <c:v>39630</c:v>
                </c:pt>
                <c:pt idx="67">
                  <c:v>39661</c:v>
                </c:pt>
                <c:pt idx="68">
                  <c:v>39692</c:v>
                </c:pt>
                <c:pt idx="69">
                  <c:v>39722</c:v>
                </c:pt>
                <c:pt idx="70">
                  <c:v>39753</c:v>
                </c:pt>
                <c:pt idx="71">
                  <c:v>39783</c:v>
                </c:pt>
                <c:pt idx="72">
                  <c:v>39814</c:v>
                </c:pt>
                <c:pt idx="73">
                  <c:v>39845</c:v>
                </c:pt>
                <c:pt idx="74">
                  <c:v>39873</c:v>
                </c:pt>
                <c:pt idx="75">
                  <c:v>39904</c:v>
                </c:pt>
                <c:pt idx="76">
                  <c:v>39934</c:v>
                </c:pt>
                <c:pt idx="77">
                  <c:v>39965</c:v>
                </c:pt>
                <c:pt idx="78">
                  <c:v>39995</c:v>
                </c:pt>
                <c:pt idx="79">
                  <c:v>40026</c:v>
                </c:pt>
                <c:pt idx="80">
                  <c:v>40057</c:v>
                </c:pt>
                <c:pt idx="81">
                  <c:v>40087</c:v>
                </c:pt>
                <c:pt idx="82">
                  <c:v>40118</c:v>
                </c:pt>
                <c:pt idx="83">
                  <c:v>40148</c:v>
                </c:pt>
                <c:pt idx="84">
                  <c:v>40179</c:v>
                </c:pt>
                <c:pt idx="85">
                  <c:v>40210</c:v>
                </c:pt>
                <c:pt idx="86">
                  <c:v>40238</c:v>
                </c:pt>
                <c:pt idx="87">
                  <c:v>40269</c:v>
                </c:pt>
                <c:pt idx="88">
                  <c:v>40299</c:v>
                </c:pt>
                <c:pt idx="89">
                  <c:v>40330</c:v>
                </c:pt>
                <c:pt idx="90">
                  <c:v>40360</c:v>
                </c:pt>
                <c:pt idx="91">
                  <c:v>40391</c:v>
                </c:pt>
                <c:pt idx="92">
                  <c:v>40422</c:v>
                </c:pt>
                <c:pt idx="93">
                  <c:v>40452</c:v>
                </c:pt>
                <c:pt idx="94">
                  <c:v>40483</c:v>
                </c:pt>
                <c:pt idx="95">
                  <c:v>40513</c:v>
                </c:pt>
                <c:pt idx="96">
                  <c:v>40544</c:v>
                </c:pt>
                <c:pt idx="97">
                  <c:v>40575</c:v>
                </c:pt>
                <c:pt idx="98">
                  <c:v>40603</c:v>
                </c:pt>
                <c:pt idx="99">
                  <c:v>40634</c:v>
                </c:pt>
                <c:pt idx="100">
                  <c:v>40664</c:v>
                </c:pt>
                <c:pt idx="101">
                  <c:v>40695</c:v>
                </c:pt>
                <c:pt idx="102">
                  <c:v>40725</c:v>
                </c:pt>
                <c:pt idx="103">
                  <c:v>40756</c:v>
                </c:pt>
                <c:pt idx="104">
                  <c:v>40787</c:v>
                </c:pt>
                <c:pt idx="105">
                  <c:v>40817</c:v>
                </c:pt>
                <c:pt idx="106">
                  <c:v>40848</c:v>
                </c:pt>
                <c:pt idx="107">
                  <c:v>40878</c:v>
                </c:pt>
                <c:pt idx="108">
                  <c:v>40909</c:v>
                </c:pt>
                <c:pt idx="109">
                  <c:v>40940</c:v>
                </c:pt>
                <c:pt idx="110">
                  <c:v>40969</c:v>
                </c:pt>
                <c:pt idx="111">
                  <c:v>41000</c:v>
                </c:pt>
                <c:pt idx="112">
                  <c:v>41030</c:v>
                </c:pt>
                <c:pt idx="113">
                  <c:v>41061</c:v>
                </c:pt>
                <c:pt idx="114">
                  <c:v>41091</c:v>
                </c:pt>
                <c:pt idx="115">
                  <c:v>41122</c:v>
                </c:pt>
                <c:pt idx="116">
                  <c:v>41153</c:v>
                </c:pt>
                <c:pt idx="117">
                  <c:v>41183</c:v>
                </c:pt>
                <c:pt idx="118">
                  <c:v>41214</c:v>
                </c:pt>
                <c:pt idx="119">
                  <c:v>41244</c:v>
                </c:pt>
                <c:pt idx="120">
                  <c:v>41275</c:v>
                </c:pt>
                <c:pt idx="121">
                  <c:v>41306</c:v>
                </c:pt>
                <c:pt idx="122">
                  <c:v>41334</c:v>
                </c:pt>
                <c:pt idx="123">
                  <c:v>41365</c:v>
                </c:pt>
                <c:pt idx="124">
                  <c:v>41395</c:v>
                </c:pt>
                <c:pt idx="125">
                  <c:v>41426</c:v>
                </c:pt>
                <c:pt idx="126">
                  <c:v>41456</c:v>
                </c:pt>
                <c:pt idx="127">
                  <c:v>41487</c:v>
                </c:pt>
                <c:pt idx="128">
                  <c:v>41518</c:v>
                </c:pt>
                <c:pt idx="129">
                  <c:v>41548</c:v>
                </c:pt>
                <c:pt idx="130">
                  <c:v>41579</c:v>
                </c:pt>
                <c:pt idx="131">
                  <c:v>41609</c:v>
                </c:pt>
                <c:pt idx="132">
                  <c:v>41640</c:v>
                </c:pt>
                <c:pt idx="133">
                  <c:v>41671</c:v>
                </c:pt>
                <c:pt idx="134">
                  <c:v>41699</c:v>
                </c:pt>
                <c:pt idx="135">
                  <c:v>41730</c:v>
                </c:pt>
                <c:pt idx="136">
                  <c:v>41760</c:v>
                </c:pt>
                <c:pt idx="137">
                  <c:v>41791</c:v>
                </c:pt>
                <c:pt idx="138">
                  <c:v>41821</c:v>
                </c:pt>
                <c:pt idx="139">
                  <c:v>41852</c:v>
                </c:pt>
                <c:pt idx="140">
                  <c:v>41883</c:v>
                </c:pt>
                <c:pt idx="141">
                  <c:v>41913</c:v>
                </c:pt>
                <c:pt idx="142">
                  <c:v>41944</c:v>
                </c:pt>
                <c:pt idx="143">
                  <c:v>41974</c:v>
                </c:pt>
                <c:pt idx="144">
                  <c:v>42005</c:v>
                </c:pt>
                <c:pt idx="145">
                  <c:v>42036</c:v>
                </c:pt>
                <c:pt idx="146">
                  <c:v>42064</c:v>
                </c:pt>
                <c:pt idx="147">
                  <c:v>42095</c:v>
                </c:pt>
                <c:pt idx="148">
                  <c:v>42125</c:v>
                </c:pt>
                <c:pt idx="149">
                  <c:v>42156</c:v>
                </c:pt>
                <c:pt idx="150">
                  <c:v>42186</c:v>
                </c:pt>
                <c:pt idx="151">
                  <c:v>42217</c:v>
                </c:pt>
                <c:pt idx="152">
                  <c:v>42248</c:v>
                </c:pt>
                <c:pt idx="153">
                  <c:v>42278</c:v>
                </c:pt>
                <c:pt idx="154">
                  <c:v>42309</c:v>
                </c:pt>
                <c:pt idx="155">
                  <c:v>42339</c:v>
                </c:pt>
                <c:pt idx="156">
                  <c:v>42370</c:v>
                </c:pt>
                <c:pt idx="157">
                  <c:v>42401</c:v>
                </c:pt>
                <c:pt idx="158">
                  <c:v>42430</c:v>
                </c:pt>
                <c:pt idx="159">
                  <c:v>42461</c:v>
                </c:pt>
                <c:pt idx="160">
                  <c:v>42491</c:v>
                </c:pt>
                <c:pt idx="161">
                  <c:v>42522</c:v>
                </c:pt>
                <c:pt idx="162">
                  <c:v>42552</c:v>
                </c:pt>
                <c:pt idx="163">
                  <c:v>42583</c:v>
                </c:pt>
                <c:pt idx="164">
                  <c:v>42614</c:v>
                </c:pt>
                <c:pt idx="165">
                  <c:v>42644</c:v>
                </c:pt>
                <c:pt idx="166">
                  <c:v>42675</c:v>
                </c:pt>
                <c:pt idx="167">
                  <c:v>42705</c:v>
                </c:pt>
                <c:pt idx="168">
                  <c:v>42736</c:v>
                </c:pt>
                <c:pt idx="169">
                  <c:v>42767</c:v>
                </c:pt>
                <c:pt idx="170">
                  <c:v>42795</c:v>
                </c:pt>
                <c:pt idx="171">
                  <c:v>42826</c:v>
                </c:pt>
                <c:pt idx="172">
                  <c:v>42856</c:v>
                </c:pt>
                <c:pt idx="173">
                  <c:v>42887</c:v>
                </c:pt>
                <c:pt idx="174">
                  <c:v>42917</c:v>
                </c:pt>
                <c:pt idx="175">
                  <c:v>42948</c:v>
                </c:pt>
                <c:pt idx="176">
                  <c:v>42979</c:v>
                </c:pt>
                <c:pt idx="177">
                  <c:v>43009</c:v>
                </c:pt>
                <c:pt idx="178">
                  <c:v>43040</c:v>
                </c:pt>
                <c:pt idx="179">
                  <c:v>43070</c:v>
                </c:pt>
                <c:pt idx="180">
                  <c:v>43101</c:v>
                </c:pt>
                <c:pt idx="181">
                  <c:v>43132</c:v>
                </c:pt>
                <c:pt idx="182">
                  <c:v>43160</c:v>
                </c:pt>
                <c:pt idx="183">
                  <c:v>43191</c:v>
                </c:pt>
                <c:pt idx="184">
                  <c:v>43221</c:v>
                </c:pt>
                <c:pt idx="185">
                  <c:v>43252</c:v>
                </c:pt>
                <c:pt idx="186">
                  <c:v>43282</c:v>
                </c:pt>
                <c:pt idx="187">
                  <c:v>43313</c:v>
                </c:pt>
                <c:pt idx="188">
                  <c:v>43344</c:v>
                </c:pt>
                <c:pt idx="189">
                  <c:v>43374</c:v>
                </c:pt>
                <c:pt idx="190">
                  <c:v>43405</c:v>
                </c:pt>
                <c:pt idx="191">
                  <c:v>43435</c:v>
                </c:pt>
                <c:pt idx="192">
                  <c:v>43466</c:v>
                </c:pt>
                <c:pt idx="193">
                  <c:v>43497</c:v>
                </c:pt>
                <c:pt idx="194">
                  <c:v>43525</c:v>
                </c:pt>
                <c:pt idx="195">
                  <c:v>43556</c:v>
                </c:pt>
                <c:pt idx="196">
                  <c:v>43586</c:v>
                </c:pt>
                <c:pt idx="197">
                  <c:v>43617</c:v>
                </c:pt>
                <c:pt idx="198">
                  <c:v>43647</c:v>
                </c:pt>
                <c:pt idx="199">
                  <c:v>43678</c:v>
                </c:pt>
                <c:pt idx="200">
                  <c:v>43709</c:v>
                </c:pt>
                <c:pt idx="201">
                  <c:v>43739</c:v>
                </c:pt>
                <c:pt idx="202">
                  <c:v>43770</c:v>
                </c:pt>
                <c:pt idx="203">
                  <c:v>43800</c:v>
                </c:pt>
                <c:pt idx="204">
                  <c:v>43831</c:v>
                </c:pt>
                <c:pt idx="205">
                  <c:v>43862</c:v>
                </c:pt>
                <c:pt idx="206">
                  <c:v>43891</c:v>
                </c:pt>
                <c:pt idx="207">
                  <c:v>43922</c:v>
                </c:pt>
                <c:pt idx="208">
                  <c:v>43952</c:v>
                </c:pt>
                <c:pt idx="209">
                  <c:v>43983</c:v>
                </c:pt>
                <c:pt idx="210">
                  <c:v>44013</c:v>
                </c:pt>
                <c:pt idx="211">
                  <c:v>44044</c:v>
                </c:pt>
                <c:pt idx="212">
                  <c:v>44075</c:v>
                </c:pt>
                <c:pt idx="213">
                  <c:v>44105</c:v>
                </c:pt>
                <c:pt idx="214">
                  <c:v>44136</c:v>
                </c:pt>
                <c:pt idx="215">
                  <c:v>44166</c:v>
                </c:pt>
                <c:pt idx="216">
                  <c:v>44197</c:v>
                </c:pt>
              </c:numCache>
            </c:numRef>
          </c:cat>
          <c:val>
            <c:numRef>
              <c:f>'Step-by-Step'!$C$7:$C$223</c:f>
              <c:numCache>
                <c:formatCode>0.0</c:formatCode>
                <c:ptCount val="217"/>
                <c:pt idx="0">
                  <c:v>100.5</c:v>
                </c:pt>
                <c:pt idx="1">
                  <c:v>102</c:v>
                </c:pt>
                <c:pt idx="2">
                  <c:v>101.77</c:v>
                </c:pt>
                <c:pt idx="3">
                  <c:v>100.94</c:v>
                </c:pt>
                <c:pt idx="4">
                  <c:v>99.8</c:v>
                </c:pt>
                <c:pt idx="5">
                  <c:v>100.39</c:v>
                </c:pt>
                <c:pt idx="6">
                  <c:v>99.12</c:v>
                </c:pt>
                <c:pt idx="7">
                  <c:v>99.72</c:v>
                </c:pt>
                <c:pt idx="8">
                  <c:v>101.81</c:v>
                </c:pt>
                <c:pt idx="9">
                  <c:v>101.88</c:v>
                </c:pt>
                <c:pt idx="10">
                  <c:v>101.97</c:v>
                </c:pt>
                <c:pt idx="11">
                  <c:v>101.59</c:v>
                </c:pt>
                <c:pt idx="12">
                  <c:v>103.61</c:v>
                </c:pt>
                <c:pt idx="13">
                  <c:v>104.48</c:v>
                </c:pt>
                <c:pt idx="14">
                  <c:v>105.81</c:v>
                </c:pt>
                <c:pt idx="15">
                  <c:v>106.45</c:v>
                </c:pt>
                <c:pt idx="16">
                  <c:v>106.34</c:v>
                </c:pt>
                <c:pt idx="17">
                  <c:v>107.38</c:v>
                </c:pt>
                <c:pt idx="18">
                  <c:v>107.85</c:v>
                </c:pt>
                <c:pt idx="19">
                  <c:v>108.21</c:v>
                </c:pt>
                <c:pt idx="20">
                  <c:v>109.41</c:v>
                </c:pt>
                <c:pt idx="21">
                  <c:v>108.67</c:v>
                </c:pt>
                <c:pt idx="22">
                  <c:v>109.62</c:v>
                </c:pt>
                <c:pt idx="23">
                  <c:v>108.75</c:v>
                </c:pt>
                <c:pt idx="24">
                  <c:v>109.65</c:v>
                </c:pt>
                <c:pt idx="25">
                  <c:v>110.13</c:v>
                </c:pt>
                <c:pt idx="26">
                  <c:v>110.29</c:v>
                </c:pt>
                <c:pt idx="27">
                  <c:v>110.96</c:v>
                </c:pt>
                <c:pt idx="28">
                  <c:v>110.99</c:v>
                </c:pt>
                <c:pt idx="29">
                  <c:v>110.75</c:v>
                </c:pt>
                <c:pt idx="30">
                  <c:v>110.64</c:v>
                </c:pt>
                <c:pt idx="31">
                  <c:v>111.27</c:v>
                </c:pt>
                <c:pt idx="32">
                  <c:v>110.92</c:v>
                </c:pt>
                <c:pt idx="33">
                  <c:v>111.06</c:v>
                </c:pt>
                <c:pt idx="34">
                  <c:v>111.8</c:v>
                </c:pt>
                <c:pt idx="35">
                  <c:v>112.34</c:v>
                </c:pt>
                <c:pt idx="36">
                  <c:v>113.47</c:v>
                </c:pt>
                <c:pt idx="37">
                  <c:v>113.6</c:v>
                </c:pt>
                <c:pt idx="38">
                  <c:v>113.43</c:v>
                </c:pt>
                <c:pt idx="39">
                  <c:v>114.21</c:v>
                </c:pt>
                <c:pt idx="40">
                  <c:v>115.69</c:v>
                </c:pt>
                <c:pt idx="41">
                  <c:v>114.81</c:v>
                </c:pt>
                <c:pt idx="42">
                  <c:v>116.95</c:v>
                </c:pt>
                <c:pt idx="43">
                  <c:v>116.6</c:v>
                </c:pt>
                <c:pt idx="44">
                  <c:v>116.8</c:v>
                </c:pt>
                <c:pt idx="45">
                  <c:v>118.07</c:v>
                </c:pt>
                <c:pt idx="46">
                  <c:v>118.87</c:v>
                </c:pt>
                <c:pt idx="47">
                  <c:v>119.87</c:v>
                </c:pt>
                <c:pt idx="48">
                  <c:v>119.71</c:v>
                </c:pt>
                <c:pt idx="49">
                  <c:v>120.16</c:v>
                </c:pt>
                <c:pt idx="50">
                  <c:v>119.34</c:v>
                </c:pt>
                <c:pt idx="51">
                  <c:v>121.14</c:v>
                </c:pt>
                <c:pt idx="52">
                  <c:v>122.39</c:v>
                </c:pt>
                <c:pt idx="53">
                  <c:v>123.47</c:v>
                </c:pt>
                <c:pt idx="54">
                  <c:v>124.29</c:v>
                </c:pt>
                <c:pt idx="55">
                  <c:v>124.25</c:v>
                </c:pt>
                <c:pt idx="56">
                  <c:v>125.29</c:v>
                </c:pt>
                <c:pt idx="57">
                  <c:v>126.29</c:v>
                </c:pt>
                <c:pt idx="58">
                  <c:v>126.22</c:v>
                </c:pt>
                <c:pt idx="59">
                  <c:v>126.9</c:v>
                </c:pt>
                <c:pt idx="60">
                  <c:v>127.22</c:v>
                </c:pt>
                <c:pt idx="61">
                  <c:v>126.84</c:v>
                </c:pt>
                <c:pt idx="62">
                  <c:v>126.35</c:v>
                </c:pt>
                <c:pt idx="63">
                  <c:v>127.73</c:v>
                </c:pt>
                <c:pt idx="64">
                  <c:v>129.41999999999999</c:v>
                </c:pt>
                <c:pt idx="65">
                  <c:v>131.19999999999999</c:v>
                </c:pt>
                <c:pt idx="66">
                  <c:v>130.96</c:v>
                </c:pt>
                <c:pt idx="67">
                  <c:v>130.94999999999999</c:v>
                </c:pt>
                <c:pt idx="68">
                  <c:v>130.94</c:v>
                </c:pt>
                <c:pt idx="69">
                  <c:v>128.13</c:v>
                </c:pt>
                <c:pt idx="70">
                  <c:v>125.06</c:v>
                </c:pt>
                <c:pt idx="71">
                  <c:v>120.95</c:v>
                </c:pt>
                <c:pt idx="72">
                  <c:v>120.85</c:v>
                </c:pt>
                <c:pt idx="73">
                  <c:v>122.19</c:v>
                </c:pt>
                <c:pt idx="74">
                  <c:v>122.96</c:v>
                </c:pt>
                <c:pt idx="75">
                  <c:v>123.53</c:v>
                </c:pt>
                <c:pt idx="76">
                  <c:v>124.88</c:v>
                </c:pt>
                <c:pt idx="77">
                  <c:v>125.96</c:v>
                </c:pt>
                <c:pt idx="78">
                  <c:v>126.25</c:v>
                </c:pt>
                <c:pt idx="79">
                  <c:v>128.06</c:v>
                </c:pt>
                <c:pt idx="80">
                  <c:v>129.07</c:v>
                </c:pt>
                <c:pt idx="81">
                  <c:v>129.77000000000001</c:v>
                </c:pt>
                <c:pt idx="82">
                  <c:v>130.19</c:v>
                </c:pt>
                <c:pt idx="83">
                  <c:v>131.34</c:v>
                </c:pt>
                <c:pt idx="84">
                  <c:v>133.47</c:v>
                </c:pt>
                <c:pt idx="85">
                  <c:v>135.16999999999999</c:v>
                </c:pt>
                <c:pt idx="86">
                  <c:v>136.57</c:v>
                </c:pt>
                <c:pt idx="87">
                  <c:v>137.09</c:v>
                </c:pt>
                <c:pt idx="88">
                  <c:v>136.47</c:v>
                </c:pt>
                <c:pt idx="89">
                  <c:v>136.18</c:v>
                </c:pt>
                <c:pt idx="90">
                  <c:v>136.94</c:v>
                </c:pt>
                <c:pt idx="91">
                  <c:v>137.71</c:v>
                </c:pt>
                <c:pt idx="92">
                  <c:v>139.24</c:v>
                </c:pt>
                <c:pt idx="93">
                  <c:v>138.61000000000001</c:v>
                </c:pt>
                <c:pt idx="94">
                  <c:v>140.29</c:v>
                </c:pt>
                <c:pt idx="95">
                  <c:v>138.24</c:v>
                </c:pt>
                <c:pt idx="96">
                  <c:v>140.12</c:v>
                </c:pt>
                <c:pt idx="97">
                  <c:v>140.81</c:v>
                </c:pt>
                <c:pt idx="98">
                  <c:v>141.04</c:v>
                </c:pt>
                <c:pt idx="99">
                  <c:v>140.81</c:v>
                </c:pt>
                <c:pt idx="100">
                  <c:v>141.33000000000001</c:v>
                </c:pt>
                <c:pt idx="101">
                  <c:v>142.13</c:v>
                </c:pt>
                <c:pt idx="102">
                  <c:v>142.16999999999999</c:v>
                </c:pt>
                <c:pt idx="103">
                  <c:v>141.97999999999999</c:v>
                </c:pt>
                <c:pt idx="104">
                  <c:v>141.79</c:v>
                </c:pt>
                <c:pt idx="105">
                  <c:v>141.6</c:v>
                </c:pt>
                <c:pt idx="106">
                  <c:v>142.44</c:v>
                </c:pt>
                <c:pt idx="107">
                  <c:v>140.47</c:v>
                </c:pt>
                <c:pt idx="108">
                  <c:v>138.91999999999999</c:v>
                </c:pt>
                <c:pt idx="109">
                  <c:v>140.46</c:v>
                </c:pt>
                <c:pt idx="110">
                  <c:v>140.07</c:v>
                </c:pt>
                <c:pt idx="111">
                  <c:v>141</c:v>
                </c:pt>
                <c:pt idx="112">
                  <c:v>142.62</c:v>
                </c:pt>
                <c:pt idx="113">
                  <c:v>143.55000000000001</c:v>
                </c:pt>
                <c:pt idx="114">
                  <c:v>143.94999999999999</c:v>
                </c:pt>
                <c:pt idx="115">
                  <c:v>144.31</c:v>
                </c:pt>
                <c:pt idx="116">
                  <c:v>143.66999999999999</c:v>
                </c:pt>
                <c:pt idx="117">
                  <c:v>144.88999999999999</c:v>
                </c:pt>
                <c:pt idx="118">
                  <c:v>144.72999999999999</c:v>
                </c:pt>
                <c:pt idx="119">
                  <c:v>144.06</c:v>
                </c:pt>
                <c:pt idx="120">
                  <c:v>144.91999999999999</c:v>
                </c:pt>
                <c:pt idx="121">
                  <c:v>143.78</c:v>
                </c:pt>
                <c:pt idx="122">
                  <c:v>144.91999999999999</c:v>
                </c:pt>
                <c:pt idx="123">
                  <c:v>146.35</c:v>
                </c:pt>
                <c:pt idx="124">
                  <c:v>146.81</c:v>
                </c:pt>
                <c:pt idx="125">
                  <c:v>146.35</c:v>
                </c:pt>
                <c:pt idx="126">
                  <c:v>147.06</c:v>
                </c:pt>
                <c:pt idx="127">
                  <c:v>147.16999999999999</c:v>
                </c:pt>
                <c:pt idx="128">
                  <c:v>148.09</c:v>
                </c:pt>
                <c:pt idx="129">
                  <c:v>148.05000000000001</c:v>
                </c:pt>
                <c:pt idx="130">
                  <c:v>148.44</c:v>
                </c:pt>
                <c:pt idx="131">
                  <c:v>148.62</c:v>
                </c:pt>
                <c:pt idx="132">
                  <c:v>148.25</c:v>
                </c:pt>
                <c:pt idx="133">
                  <c:v>147.94999999999999</c:v>
                </c:pt>
                <c:pt idx="134">
                  <c:v>147.78</c:v>
                </c:pt>
                <c:pt idx="135">
                  <c:v>146.96</c:v>
                </c:pt>
                <c:pt idx="136">
                  <c:v>146.33000000000001</c:v>
                </c:pt>
                <c:pt idx="137">
                  <c:v>143.57</c:v>
                </c:pt>
                <c:pt idx="138">
                  <c:v>144.72</c:v>
                </c:pt>
                <c:pt idx="139">
                  <c:v>145.63</c:v>
                </c:pt>
                <c:pt idx="140">
                  <c:v>146.29</c:v>
                </c:pt>
                <c:pt idx="141">
                  <c:v>145.46</c:v>
                </c:pt>
                <c:pt idx="142">
                  <c:v>145.61000000000001</c:v>
                </c:pt>
                <c:pt idx="143">
                  <c:v>146.04</c:v>
                </c:pt>
                <c:pt idx="144">
                  <c:v>145.07</c:v>
                </c:pt>
                <c:pt idx="145">
                  <c:v>144.03</c:v>
                </c:pt>
                <c:pt idx="146">
                  <c:v>143.93</c:v>
                </c:pt>
                <c:pt idx="147">
                  <c:v>142.36000000000001</c:v>
                </c:pt>
                <c:pt idx="148">
                  <c:v>141.15</c:v>
                </c:pt>
                <c:pt idx="149">
                  <c:v>139.75</c:v>
                </c:pt>
                <c:pt idx="150">
                  <c:v>138.63</c:v>
                </c:pt>
                <c:pt idx="151">
                  <c:v>138.88999999999999</c:v>
                </c:pt>
                <c:pt idx="152">
                  <c:v>137.68</c:v>
                </c:pt>
                <c:pt idx="153">
                  <c:v>138.52000000000001</c:v>
                </c:pt>
                <c:pt idx="154">
                  <c:v>136.69999999999999</c:v>
                </c:pt>
                <c:pt idx="155">
                  <c:v>136.21</c:v>
                </c:pt>
                <c:pt idx="156">
                  <c:v>135.61000000000001</c:v>
                </c:pt>
                <c:pt idx="157">
                  <c:v>135.53</c:v>
                </c:pt>
                <c:pt idx="158">
                  <c:v>134.80000000000001</c:v>
                </c:pt>
                <c:pt idx="159">
                  <c:v>134.97</c:v>
                </c:pt>
                <c:pt idx="160">
                  <c:v>134.53</c:v>
                </c:pt>
                <c:pt idx="161">
                  <c:v>134.96</c:v>
                </c:pt>
                <c:pt idx="162">
                  <c:v>134.54</c:v>
                </c:pt>
                <c:pt idx="163">
                  <c:v>133.84</c:v>
                </c:pt>
                <c:pt idx="164">
                  <c:v>133.84</c:v>
                </c:pt>
                <c:pt idx="165">
                  <c:v>133.31</c:v>
                </c:pt>
                <c:pt idx="166">
                  <c:v>133.05000000000001</c:v>
                </c:pt>
                <c:pt idx="167">
                  <c:v>132.18</c:v>
                </c:pt>
                <c:pt idx="168">
                  <c:v>133.47999999999999</c:v>
                </c:pt>
                <c:pt idx="169">
                  <c:v>135.43</c:v>
                </c:pt>
                <c:pt idx="170">
                  <c:v>135.74</c:v>
                </c:pt>
                <c:pt idx="171">
                  <c:v>136.07</c:v>
                </c:pt>
                <c:pt idx="172">
                  <c:v>135.30000000000001</c:v>
                </c:pt>
                <c:pt idx="173">
                  <c:v>136.16</c:v>
                </c:pt>
                <c:pt idx="174">
                  <c:v>136.44999999999999</c:v>
                </c:pt>
                <c:pt idx="175">
                  <c:v>135.38999999999999</c:v>
                </c:pt>
                <c:pt idx="176">
                  <c:v>135.37</c:v>
                </c:pt>
                <c:pt idx="177">
                  <c:v>135.33000000000001</c:v>
                </c:pt>
                <c:pt idx="178">
                  <c:v>135.38</c:v>
                </c:pt>
                <c:pt idx="179">
                  <c:v>137.04</c:v>
                </c:pt>
                <c:pt idx="180">
                  <c:v>136.65</c:v>
                </c:pt>
                <c:pt idx="181">
                  <c:v>136.4</c:v>
                </c:pt>
                <c:pt idx="182">
                  <c:v>137.38</c:v>
                </c:pt>
                <c:pt idx="183">
                  <c:v>138.82</c:v>
                </c:pt>
                <c:pt idx="184">
                  <c:v>133.59</c:v>
                </c:pt>
                <c:pt idx="185">
                  <c:v>137.71</c:v>
                </c:pt>
                <c:pt idx="186">
                  <c:v>138.06</c:v>
                </c:pt>
                <c:pt idx="187">
                  <c:v>138.54</c:v>
                </c:pt>
                <c:pt idx="188">
                  <c:v>137.59</c:v>
                </c:pt>
                <c:pt idx="189">
                  <c:v>137.22</c:v>
                </c:pt>
                <c:pt idx="190">
                  <c:v>137.55000000000001</c:v>
                </c:pt>
                <c:pt idx="191">
                  <c:v>138.08000000000001</c:v>
                </c:pt>
                <c:pt idx="192">
                  <c:v>138.19</c:v>
                </c:pt>
                <c:pt idx="193">
                  <c:v>137.16</c:v>
                </c:pt>
                <c:pt idx="194">
                  <c:v>138.53</c:v>
                </c:pt>
                <c:pt idx="195">
                  <c:v>138.80000000000001</c:v>
                </c:pt>
                <c:pt idx="196">
                  <c:v>139.16999999999999</c:v>
                </c:pt>
                <c:pt idx="197">
                  <c:v>139.16</c:v>
                </c:pt>
                <c:pt idx="198">
                  <c:v>138.43</c:v>
                </c:pt>
                <c:pt idx="199">
                  <c:v>137.62</c:v>
                </c:pt>
                <c:pt idx="200">
                  <c:v>138.34</c:v>
                </c:pt>
                <c:pt idx="201">
                  <c:v>138.66999999999999</c:v>
                </c:pt>
                <c:pt idx="202">
                  <c:v>138.44999999999999</c:v>
                </c:pt>
                <c:pt idx="203">
                  <c:v>138</c:v>
                </c:pt>
                <c:pt idx="204">
                  <c:v>138.19999999999999</c:v>
                </c:pt>
                <c:pt idx="205">
                  <c:v>139.35</c:v>
                </c:pt>
                <c:pt idx="206">
                  <c:v>133.07</c:v>
                </c:pt>
                <c:pt idx="207">
                  <c:v>120.43</c:v>
                </c:pt>
                <c:pt idx="208">
                  <c:v>121.92</c:v>
                </c:pt>
                <c:pt idx="209">
                  <c:v>128.25</c:v>
                </c:pt>
                <c:pt idx="210">
                  <c:v>131.47999999999999</c:v>
                </c:pt>
                <c:pt idx="211">
                  <c:v>133.19999999999999</c:v>
                </c:pt>
                <c:pt idx="212">
                  <c:v>135.36000000000001</c:v>
                </c:pt>
                <c:pt idx="213">
                  <c:v>136.63</c:v>
                </c:pt>
                <c:pt idx="214">
                  <c:v>137.46</c:v>
                </c:pt>
                <c:pt idx="215">
                  <c:v>138.16999999999999</c:v>
                </c:pt>
                <c:pt idx="216">
                  <c:v>139.01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C8-4449-8617-3B40702E3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7836336"/>
        <c:axId val="1787850896"/>
      </c:lineChart>
      <c:dateAx>
        <c:axId val="178783633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7850896"/>
        <c:crosses val="autoZero"/>
        <c:auto val="1"/>
        <c:lblOffset val="100"/>
        <c:baseTimeUnit val="months"/>
      </c:dateAx>
      <c:valAx>
        <c:axId val="17878508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783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IBC-Br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'Step-by-Step'!$B$6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'Step-by-Step'!$A$7:$A$223</c:f>
              <c:numCache>
                <c:formatCode>mmm\-yy</c:formatCode>
                <c:ptCount val="217"/>
                <c:pt idx="0">
                  <c:v>37622</c:v>
                </c:pt>
                <c:pt idx="1">
                  <c:v>37653</c:v>
                </c:pt>
                <c:pt idx="2">
                  <c:v>37681</c:v>
                </c:pt>
                <c:pt idx="3">
                  <c:v>37712</c:v>
                </c:pt>
                <c:pt idx="4">
                  <c:v>37742</c:v>
                </c:pt>
                <c:pt idx="5">
                  <c:v>37773</c:v>
                </c:pt>
                <c:pt idx="6">
                  <c:v>37803</c:v>
                </c:pt>
                <c:pt idx="7">
                  <c:v>37834</c:v>
                </c:pt>
                <c:pt idx="8">
                  <c:v>37865</c:v>
                </c:pt>
                <c:pt idx="9">
                  <c:v>37895</c:v>
                </c:pt>
                <c:pt idx="10">
                  <c:v>37926</c:v>
                </c:pt>
                <c:pt idx="11">
                  <c:v>37956</c:v>
                </c:pt>
                <c:pt idx="12">
                  <c:v>37987</c:v>
                </c:pt>
                <c:pt idx="13">
                  <c:v>38018</c:v>
                </c:pt>
                <c:pt idx="14">
                  <c:v>38047</c:v>
                </c:pt>
                <c:pt idx="15">
                  <c:v>38078</c:v>
                </c:pt>
                <c:pt idx="16">
                  <c:v>38108</c:v>
                </c:pt>
                <c:pt idx="17">
                  <c:v>38139</c:v>
                </c:pt>
                <c:pt idx="18">
                  <c:v>38169</c:v>
                </c:pt>
                <c:pt idx="19">
                  <c:v>38200</c:v>
                </c:pt>
                <c:pt idx="20">
                  <c:v>38231</c:v>
                </c:pt>
                <c:pt idx="21">
                  <c:v>38261</c:v>
                </c:pt>
                <c:pt idx="22">
                  <c:v>38292</c:v>
                </c:pt>
                <c:pt idx="23">
                  <c:v>38322</c:v>
                </c:pt>
                <c:pt idx="24">
                  <c:v>38353</c:v>
                </c:pt>
                <c:pt idx="25">
                  <c:v>38384</c:v>
                </c:pt>
                <c:pt idx="26">
                  <c:v>38412</c:v>
                </c:pt>
                <c:pt idx="27">
                  <c:v>38443</c:v>
                </c:pt>
                <c:pt idx="28">
                  <c:v>38473</c:v>
                </c:pt>
                <c:pt idx="29">
                  <c:v>38504</c:v>
                </c:pt>
                <c:pt idx="30">
                  <c:v>38534</c:v>
                </c:pt>
                <c:pt idx="31">
                  <c:v>38565</c:v>
                </c:pt>
                <c:pt idx="32">
                  <c:v>38596</c:v>
                </c:pt>
                <c:pt idx="33">
                  <c:v>38626</c:v>
                </c:pt>
                <c:pt idx="34">
                  <c:v>38657</c:v>
                </c:pt>
                <c:pt idx="35">
                  <c:v>38687</c:v>
                </c:pt>
                <c:pt idx="36">
                  <c:v>38718</c:v>
                </c:pt>
                <c:pt idx="37">
                  <c:v>38749</c:v>
                </c:pt>
                <c:pt idx="38">
                  <c:v>38777</c:v>
                </c:pt>
                <c:pt idx="39">
                  <c:v>38808</c:v>
                </c:pt>
                <c:pt idx="40">
                  <c:v>38838</c:v>
                </c:pt>
                <c:pt idx="41">
                  <c:v>38869</c:v>
                </c:pt>
                <c:pt idx="42">
                  <c:v>38899</c:v>
                </c:pt>
                <c:pt idx="43">
                  <c:v>38930</c:v>
                </c:pt>
                <c:pt idx="44">
                  <c:v>38961</c:v>
                </c:pt>
                <c:pt idx="45">
                  <c:v>38991</c:v>
                </c:pt>
                <c:pt idx="46">
                  <c:v>39022</c:v>
                </c:pt>
                <c:pt idx="47">
                  <c:v>39052</c:v>
                </c:pt>
                <c:pt idx="48">
                  <c:v>39083</c:v>
                </c:pt>
                <c:pt idx="49">
                  <c:v>39114</c:v>
                </c:pt>
                <c:pt idx="50">
                  <c:v>39142</c:v>
                </c:pt>
                <c:pt idx="51">
                  <c:v>39173</c:v>
                </c:pt>
                <c:pt idx="52">
                  <c:v>39203</c:v>
                </c:pt>
                <c:pt idx="53">
                  <c:v>39234</c:v>
                </c:pt>
                <c:pt idx="54">
                  <c:v>39264</c:v>
                </c:pt>
                <c:pt idx="55">
                  <c:v>39295</c:v>
                </c:pt>
                <c:pt idx="56">
                  <c:v>39326</c:v>
                </c:pt>
                <c:pt idx="57">
                  <c:v>39356</c:v>
                </c:pt>
                <c:pt idx="58">
                  <c:v>39387</c:v>
                </c:pt>
                <c:pt idx="59">
                  <c:v>39417</c:v>
                </c:pt>
                <c:pt idx="60">
                  <c:v>39448</c:v>
                </c:pt>
                <c:pt idx="61">
                  <c:v>39479</c:v>
                </c:pt>
                <c:pt idx="62">
                  <c:v>39508</c:v>
                </c:pt>
                <c:pt idx="63">
                  <c:v>39539</c:v>
                </c:pt>
                <c:pt idx="64">
                  <c:v>39569</c:v>
                </c:pt>
                <c:pt idx="65">
                  <c:v>39600</c:v>
                </c:pt>
                <c:pt idx="66">
                  <c:v>39630</c:v>
                </c:pt>
                <c:pt idx="67">
                  <c:v>39661</c:v>
                </c:pt>
                <c:pt idx="68">
                  <c:v>39692</c:v>
                </c:pt>
                <c:pt idx="69">
                  <c:v>39722</c:v>
                </c:pt>
                <c:pt idx="70">
                  <c:v>39753</c:v>
                </c:pt>
                <c:pt idx="71">
                  <c:v>39783</c:v>
                </c:pt>
                <c:pt idx="72">
                  <c:v>39814</c:v>
                </c:pt>
                <c:pt idx="73">
                  <c:v>39845</c:v>
                </c:pt>
                <c:pt idx="74">
                  <c:v>39873</c:v>
                </c:pt>
                <c:pt idx="75">
                  <c:v>39904</c:v>
                </c:pt>
                <c:pt idx="76">
                  <c:v>39934</c:v>
                </c:pt>
                <c:pt idx="77">
                  <c:v>39965</c:v>
                </c:pt>
                <c:pt idx="78">
                  <c:v>39995</c:v>
                </c:pt>
                <c:pt idx="79">
                  <c:v>40026</c:v>
                </c:pt>
                <c:pt idx="80">
                  <c:v>40057</c:v>
                </c:pt>
                <c:pt idx="81">
                  <c:v>40087</c:v>
                </c:pt>
                <c:pt idx="82">
                  <c:v>40118</c:v>
                </c:pt>
                <c:pt idx="83">
                  <c:v>40148</c:v>
                </c:pt>
                <c:pt idx="84">
                  <c:v>40179</c:v>
                </c:pt>
                <c:pt idx="85">
                  <c:v>40210</c:v>
                </c:pt>
                <c:pt idx="86">
                  <c:v>40238</c:v>
                </c:pt>
                <c:pt idx="87">
                  <c:v>40269</c:v>
                </c:pt>
                <c:pt idx="88">
                  <c:v>40299</c:v>
                </c:pt>
                <c:pt idx="89">
                  <c:v>40330</c:v>
                </c:pt>
                <c:pt idx="90">
                  <c:v>40360</c:v>
                </c:pt>
                <c:pt idx="91">
                  <c:v>40391</c:v>
                </c:pt>
                <c:pt idx="92">
                  <c:v>40422</c:v>
                </c:pt>
                <c:pt idx="93">
                  <c:v>40452</c:v>
                </c:pt>
                <c:pt idx="94">
                  <c:v>40483</c:v>
                </c:pt>
                <c:pt idx="95">
                  <c:v>40513</c:v>
                </c:pt>
                <c:pt idx="96">
                  <c:v>40544</c:v>
                </c:pt>
                <c:pt idx="97">
                  <c:v>40575</c:v>
                </c:pt>
                <c:pt idx="98">
                  <c:v>40603</c:v>
                </c:pt>
                <c:pt idx="99">
                  <c:v>40634</c:v>
                </c:pt>
                <c:pt idx="100">
                  <c:v>40664</c:v>
                </c:pt>
                <c:pt idx="101">
                  <c:v>40695</c:v>
                </c:pt>
                <c:pt idx="102">
                  <c:v>40725</c:v>
                </c:pt>
                <c:pt idx="103">
                  <c:v>40756</c:v>
                </c:pt>
                <c:pt idx="104">
                  <c:v>40787</c:v>
                </c:pt>
                <c:pt idx="105">
                  <c:v>40817</c:v>
                </c:pt>
                <c:pt idx="106">
                  <c:v>40848</c:v>
                </c:pt>
                <c:pt idx="107">
                  <c:v>40878</c:v>
                </c:pt>
                <c:pt idx="108">
                  <c:v>40909</c:v>
                </c:pt>
                <c:pt idx="109">
                  <c:v>40940</c:v>
                </c:pt>
                <c:pt idx="110">
                  <c:v>40969</c:v>
                </c:pt>
                <c:pt idx="111">
                  <c:v>41000</c:v>
                </c:pt>
                <c:pt idx="112">
                  <c:v>41030</c:v>
                </c:pt>
                <c:pt idx="113">
                  <c:v>41061</c:v>
                </c:pt>
                <c:pt idx="114">
                  <c:v>41091</c:v>
                </c:pt>
                <c:pt idx="115">
                  <c:v>41122</c:v>
                </c:pt>
                <c:pt idx="116">
                  <c:v>41153</c:v>
                </c:pt>
                <c:pt idx="117">
                  <c:v>41183</c:v>
                </c:pt>
                <c:pt idx="118">
                  <c:v>41214</c:v>
                </c:pt>
                <c:pt idx="119">
                  <c:v>41244</c:v>
                </c:pt>
                <c:pt idx="120">
                  <c:v>41275</c:v>
                </c:pt>
                <c:pt idx="121">
                  <c:v>41306</c:v>
                </c:pt>
                <c:pt idx="122">
                  <c:v>41334</c:v>
                </c:pt>
                <c:pt idx="123">
                  <c:v>41365</c:v>
                </c:pt>
                <c:pt idx="124">
                  <c:v>41395</c:v>
                </c:pt>
                <c:pt idx="125">
                  <c:v>41426</c:v>
                </c:pt>
                <c:pt idx="126">
                  <c:v>41456</c:v>
                </c:pt>
                <c:pt idx="127">
                  <c:v>41487</c:v>
                </c:pt>
                <c:pt idx="128">
                  <c:v>41518</c:v>
                </c:pt>
                <c:pt idx="129">
                  <c:v>41548</c:v>
                </c:pt>
                <c:pt idx="130">
                  <c:v>41579</c:v>
                </c:pt>
                <c:pt idx="131">
                  <c:v>41609</c:v>
                </c:pt>
                <c:pt idx="132">
                  <c:v>41640</c:v>
                </c:pt>
                <c:pt idx="133">
                  <c:v>41671</c:v>
                </c:pt>
                <c:pt idx="134">
                  <c:v>41699</c:v>
                </c:pt>
                <c:pt idx="135">
                  <c:v>41730</c:v>
                </c:pt>
                <c:pt idx="136">
                  <c:v>41760</c:v>
                </c:pt>
                <c:pt idx="137">
                  <c:v>41791</c:v>
                </c:pt>
                <c:pt idx="138">
                  <c:v>41821</c:v>
                </c:pt>
                <c:pt idx="139">
                  <c:v>41852</c:v>
                </c:pt>
                <c:pt idx="140">
                  <c:v>41883</c:v>
                </c:pt>
                <c:pt idx="141">
                  <c:v>41913</c:v>
                </c:pt>
                <c:pt idx="142">
                  <c:v>41944</c:v>
                </c:pt>
                <c:pt idx="143">
                  <c:v>41974</c:v>
                </c:pt>
                <c:pt idx="144">
                  <c:v>42005</c:v>
                </c:pt>
                <c:pt idx="145">
                  <c:v>42036</c:v>
                </c:pt>
                <c:pt idx="146">
                  <c:v>42064</c:v>
                </c:pt>
                <c:pt idx="147">
                  <c:v>42095</c:v>
                </c:pt>
                <c:pt idx="148">
                  <c:v>42125</c:v>
                </c:pt>
                <c:pt idx="149">
                  <c:v>42156</c:v>
                </c:pt>
                <c:pt idx="150">
                  <c:v>42186</c:v>
                </c:pt>
                <c:pt idx="151">
                  <c:v>42217</c:v>
                </c:pt>
                <c:pt idx="152">
                  <c:v>42248</c:v>
                </c:pt>
                <c:pt idx="153">
                  <c:v>42278</c:v>
                </c:pt>
                <c:pt idx="154">
                  <c:v>42309</c:v>
                </c:pt>
                <c:pt idx="155">
                  <c:v>42339</c:v>
                </c:pt>
                <c:pt idx="156">
                  <c:v>42370</c:v>
                </c:pt>
                <c:pt idx="157">
                  <c:v>42401</c:v>
                </c:pt>
                <c:pt idx="158">
                  <c:v>42430</c:v>
                </c:pt>
                <c:pt idx="159">
                  <c:v>42461</c:v>
                </c:pt>
                <c:pt idx="160">
                  <c:v>42491</c:v>
                </c:pt>
                <c:pt idx="161">
                  <c:v>42522</c:v>
                </c:pt>
                <c:pt idx="162">
                  <c:v>42552</c:v>
                </c:pt>
                <c:pt idx="163">
                  <c:v>42583</c:v>
                </c:pt>
                <c:pt idx="164">
                  <c:v>42614</c:v>
                </c:pt>
                <c:pt idx="165">
                  <c:v>42644</c:v>
                </c:pt>
                <c:pt idx="166">
                  <c:v>42675</c:v>
                </c:pt>
                <c:pt idx="167">
                  <c:v>42705</c:v>
                </c:pt>
                <c:pt idx="168">
                  <c:v>42736</c:v>
                </c:pt>
                <c:pt idx="169">
                  <c:v>42767</c:v>
                </c:pt>
                <c:pt idx="170">
                  <c:v>42795</c:v>
                </c:pt>
                <c:pt idx="171">
                  <c:v>42826</c:v>
                </c:pt>
                <c:pt idx="172">
                  <c:v>42856</c:v>
                </c:pt>
                <c:pt idx="173">
                  <c:v>42887</c:v>
                </c:pt>
                <c:pt idx="174">
                  <c:v>42917</c:v>
                </c:pt>
                <c:pt idx="175">
                  <c:v>42948</c:v>
                </c:pt>
                <c:pt idx="176">
                  <c:v>42979</c:v>
                </c:pt>
                <c:pt idx="177">
                  <c:v>43009</c:v>
                </c:pt>
                <c:pt idx="178">
                  <c:v>43040</c:v>
                </c:pt>
                <c:pt idx="179">
                  <c:v>43070</c:v>
                </c:pt>
                <c:pt idx="180">
                  <c:v>43101</c:v>
                </c:pt>
                <c:pt idx="181">
                  <c:v>43132</c:v>
                </c:pt>
                <c:pt idx="182">
                  <c:v>43160</c:v>
                </c:pt>
                <c:pt idx="183">
                  <c:v>43191</c:v>
                </c:pt>
                <c:pt idx="184">
                  <c:v>43221</c:v>
                </c:pt>
                <c:pt idx="185">
                  <c:v>43252</c:v>
                </c:pt>
                <c:pt idx="186">
                  <c:v>43282</c:v>
                </c:pt>
                <c:pt idx="187">
                  <c:v>43313</c:v>
                </c:pt>
                <c:pt idx="188">
                  <c:v>43344</c:v>
                </c:pt>
                <c:pt idx="189">
                  <c:v>43374</c:v>
                </c:pt>
                <c:pt idx="190">
                  <c:v>43405</c:v>
                </c:pt>
                <c:pt idx="191">
                  <c:v>43435</c:v>
                </c:pt>
                <c:pt idx="192">
                  <c:v>43466</c:v>
                </c:pt>
                <c:pt idx="193">
                  <c:v>43497</c:v>
                </c:pt>
                <c:pt idx="194">
                  <c:v>43525</c:v>
                </c:pt>
                <c:pt idx="195">
                  <c:v>43556</c:v>
                </c:pt>
                <c:pt idx="196">
                  <c:v>43586</c:v>
                </c:pt>
                <c:pt idx="197">
                  <c:v>43617</c:v>
                </c:pt>
                <c:pt idx="198">
                  <c:v>43647</c:v>
                </c:pt>
                <c:pt idx="199">
                  <c:v>43678</c:v>
                </c:pt>
                <c:pt idx="200">
                  <c:v>43709</c:v>
                </c:pt>
                <c:pt idx="201">
                  <c:v>43739</c:v>
                </c:pt>
                <c:pt idx="202">
                  <c:v>43770</c:v>
                </c:pt>
                <c:pt idx="203">
                  <c:v>43800</c:v>
                </c:pt>
                <c:pt idx="204">
                  <c:v>43831</c:v>
                </c:pt>
                <c:pt idx="205">
                  <c:v>43862</c:v>
                </c:pt>
                <c:pt idx="206">
                  <c:v>43891</c:v>
                </c:pt>
                <c:pt idx="207">
                  <c:v>43922</c:v>
                </c:pt>
                <c:pt idx="208">
                  <c:v>43952</c:v>
                </c:pt>
                <c:pt idx="209">
                  <c:v>43983</c:v>
                </c:pt>
                <c:pt idx="210">
                  <c:v>44013</c:v>
                </c:pt>
                <c:pt idx="211">
                  <c:v>44044</c:v>
                </c:pt>
                <c:pt idx="212">
                  <c:v>44075</c:v>
                </c:pt>
                <c:pt idx="213">
                  <c:v>44105</c:v>
                </c:pt>
                <c:pt idx="214">
                  <c:v>44136</c:v>
                </c:pt>
                <c:pt idx="215">
                  <c:v>44166</c:v>
                </c:pt>
                <c:pt idx="216">
                  <c:v>44197</c:v>
                </c:pt>
              </c:numCache>
            </c:numRef>
          </c:cat>
          <c:val>
            <c:numRef>
              <c:f>'Step-by-Step'!$B$7:$B$223</c:f>
              <c:numCache>
                <c:formatCode>0.0</c:formatCode>
                <c:ptCount val="217"/>
                <c:pt idx="0">
                  <c:v>96.15</c:v>
                </c:pt>
                <c:pt idx="1">
                  <c:v>98.67</c:v>
                </c:pt>
                <c:pt idx="2">
                  <c:v>103.41</c:v>
                </c:pt>
                <c:pt idx="3">
                  <c:v>102.19</c:v>
                </c:pt>
                <c:pt idx="4">
                  <c:v>100.3</c:v>
                </c:pt>
                <c:pt idx="5">
                  <c:v>98.58</c:v>
                </c:pt>
                <c:pt idx="6">
                  <c:v>103.05</c:v>
                </c:pt>
                <c:pt idx="7">
                  <c:v>101.47</c:v>
                </c:pt>
                <c:pt idx="8">
                  <c:v>102.87</c:v>
                </c:pt>
                <c:pt idx="9">
                  <c:v>105.06</c:v>
                </c:pt>
                <c:pt idx="10">
                  <c:v>101.95</c:v>
                </c:pt>
                <c:pt idx="11">
                  <c:v>99.74</c:v>
                </c:pt>
                <c:pt idx="12">
                  <c:v>98.59</c:v>
                </c:pt>
                <c:pt idx="13">
                  <c:v>99.45</c:v>
                </c:pt>
                <c:pt idx="14">
                  <c:v>111.98</c:v>
                </c:pt>
                <c:pt idx="15">
                  <c:v>107.36</c:v>
                </c:pt>
                <c:pt idx="16">
                  <c:v>106.03</c:v>
                </c:pt>
                <c:pt idx="17">
                  <c:v>107</c:v>
                </c:pt>
                <c:pt idx="18">
                  <c:v>111.47</c:v>
                </c:pt>
                <c:pt idx="19">
                  <c:v>110.65</c:v>
                </c:pt>
                <c:pt idx="20">
                  <c:v>109.21</c:v>
                </c:pt>
                <c:pt idx="21">
                  <c:v>108.89</c:v>
                </c:pt>
                <c:pt idx="22">
                  <c:v>109.59</c:v>
                </c:pt>
                <c:pt idx="23">
                  <c:v>107.56</c:v>
                </c:pt>
                <c:pt idx="24">
                  <c:v>103.52</c:v>
                </c:pt>
                <c:pt idx="25">
                  <c:v>104</c:v>
                </c:pt>
                <c:pt idx="26">
                  <c:v>115.42</c:v>
                </c:pt>
                <c:pt idx="27">
                  <c:v>112.35</c:v>
                </c:pt>
                <c:pt idx="28">
                  <c:v>110.86</c:v>
                </c:pt>
                <c:pt idx="29">
                  <c:v>111.5</c:v>
                </c:pt>
                <c:pt idx="30">
                  <c:v>113.15</c:v>
                </c:pt>
                <c:pt idx="31">
                  <c:v>115.15</c:v>
                </c:pt>
                <c:pt idx="32">
                  <c:v>110.95</c:v>
                </c:pt>
                <c:pt idx="33">
                  <c:v>111.33</c:v>
                </c:pt>
                <c:pt idx="34">
                  <c:v>111.73</c:v>
                </c:pt>
                <c:pt idx="35">
                  <c:v>111.25</c:v>
                </c:pt>
                <c:pt idx="36">
                  <c:v>108.55</c:v>
                </c:pt>
                <c:pt idx="37">
                  <c:v>107.8</c:v>
                </c:pt>
                <c:pt idx="38">
                  <c:v>119.09</c:v>
                </c:pt>
                <c:pt idx="39">
                  <c:v>112.61</c:v>
                </c:pt>
                <c:pt idx="40">
                  <c:v>117.19</c:v>
                </c:pt>
                <c:pt idx="41">
                  <c:v>114.4</c:v>
                </c:pt>
                <c:pt idx="42">
                  <c:v>119.41</c:v>
                </c:pt>
                <c:pt idx="43">
                  <c:v>121.06</c:v>
                </c:pt>
                <c:pt idx="44">
                  <c:v>116.21</c:v>
                </c:pt>
                <c:pt idx="45">
                  <c:v>119.33</c:v>
                </c:pt>
                <c:pt idx="46">
                  <c:v>118.67</c:v>
                </c:pt>
                <c:pt idx="47">
                  <c:v>116.3</c:v>
                </c:pt>
                <c:pt idx="48">
                  <c:v>114.79</c:v>
                </c:pt>
                <c:pt idx="49">
                  <c:v>113.33</c:v>
                </c:pt>
                <c:pt idx="50">
                  <c:v>125.11</c:v>
                </c:pt>
                <c:pt idx="51">
                  <c:v>120.29</c:v>
                </c:pt>
                <c:pt idx="52">
                  <c:v>123.9</c:v>
                </c:pt>
                <c:pt idx="53">
                  <c:v>122.38</c:v>
                </c:pt>
                <c:pt idx="54">
                  <c:v>127.85</c:v>
                </c:pt>
                <c:pt idx="55">
                  <c:v>129.05000000000001</c:v>
                </c:pt>
                <c:pt idx="56">
                  <c:v>123.24</c:v>
                </c:pt>
                <c:pt idx="57">
                  <c:v>129.16999999999999</c:v>
                </c:pt>
                <c:pt idx="58">
                  <c:v>125.88</c:v>
                </c:pt>
                <c:pt idx="59">
                  <c:v>122.43</c:v>
                </c:pt>
                <c:pt idx="60">
                  <c:v>121.86</c:v>
                </c:pt>
                <c:pt idx="61">
                  <c:v>121.91</c:v>
                </c:pt>
                <c:pt idx="62">
                  <c:v>128.99</c:v>
                </c:pt>
                <c:pt idx="63">
                  <c:v>129.47999999999999</c:v>
                </c:pt>
                <c:pt idx="64">
                  <c:v>128.91999999999999</c:v>
                </c:pt>
                <c:pt idx="65">
                  <c:v>130.59</c:v>
                </c:pt>
                <c:pt idx="66">
                  <c:v>136.53</c:v>
                </c:pt>
                <c:pt idx="67">
                  <c:v>133.87</c:v>
                </c:pt>
                <c:pt idx="68">
                  <c:v>132.6</c:v>
                </c:pt>
                <c:pt idx="69">
                  <c:v>132.80000000000001</c:v>
                </c:pt>
                <c:pt idx="70">
                  <c:v>124.58</c:v>
                </c:pt>
                <c:pt idx="71">
                  <c:v>118.9</c:v>
                </c:pt>
                <c:pt idx="72">
                  <c:v>115.2</c:v>
                </c:pt>
                <c:pt idx="73">
                  <c:v>115.26</c:v>
                </c:pt>
                <c:pt idx="74">
                  <c:v>127.81</c:v>
                </c:pt>
                <c:pt idx="75">
                  <c:v>123.09</c:v>
                </c:pt>
                <c:pt idx="76">
                  <c:v>124.41</c:v>
                </c:pt>
                <c:pt idx="77">
                  <c:v>125.61</c:v>
                </c:pt>
                <c:pt idx="78">
                  <c:v>131.44</c:v>
                </c:pt>
                <c:pt idx="79">
                  <c:v>130.69999999999999</c:v>
                </c:pt>
                <c:pt idx="80">
                  <c:v>129.81</c:v>
                </c:pt>
                <c:pt idx="81">
                  <c:v>132.47999999999999</c:v>
                </c:pt>
                <c:pt idx="82">
                  <c:v>129.62</c:v>
                </c:pt>
                <c:pt idx="83">
                  <c:v>129.22999999999999</c:v>
                </c:pt>
                <c:pt idx="84">
                  <c:v>125.81</c:v>
                </c:pt>
                <c:pt idx="85">
                  <c:v>127.61</c:v>
                </c:pt>
                <c:pt idx="86">
                  <c:v>143.44</c:v>
                </c:pt>
                <c:pt idx="87">
                  <c:v>136.87</c:v>
                </c:pt>
                <c:pt idx="88">
                  <c:v>136.52000000000001</c:v>
                </c:pt>
                <c:pt idx="89">
                  <c:v>136.09</c:v>
                </c:pt>
                <c:pt idx="90">
                  <c:v>141.63999999999999</c:v>
                </c:pt>
                <c:pt idx="91">
                  <c:v>141.55000000000001</c:v>
                </c:pt>
                <c:pt idx="92">
                  <c:v>139.46</c:v>
                </c:pt>
                <c:pt idx="93">
                  <c:v>139.33000000000001</c:v>
                </c:pt>
                <c:pt idx="94">
                  <c:v>139.68</c:v>
                </c:pt>
                <c:pt idx="95">
                  <c:v>136.69</c:v>
                </c:pt>
                <c:pt idx="96">
                  <c:v>132.66</c:v>
                </c:pt>
                <c:pt idx="97">
                  <c:v>136.18</c:v>
                </c:pt>
                <c:pt idx="98">
                  <c:v>144.93</c:v>
                </c:pt>
                <c:pt idx="99">
                  <c:v>139.88999999999999</c:v>
                </c:pt>
                <c:pt idx="100">
                  <c:v>143.22999999999999</c:v>
                </c:pt>
                <c:pt idx="101">
                  <c:v>141.75</c:v>
                </c:pt>
                <c:pt idx="102">
                  <c:v>145.19</c:v>
                </c:pt>
                <c:pt idx="103">
                  <c:v>147.51</c:v>
                </c:pt>
                <c:pt idx="104">
                  <c:v>142.30000000000001</c:v>
                </c:pt>
                <c:pt idx="105">
                  <c:v>142.02000000000001</c:v>
                </c:pt>
                <c:pt idx="106">
                  <c:v>141.87</c:v>
                </c:pt>
                <c:pt idx="107">
                  <c:v>139.22999999999999</c:v>
                </c:pt>
                <c:pt idx="108">
                  <c:v>133.34</c:v>
                </c:pt>
                <c:pt idx="109">
                  <c:v>135.35</c:v>
                </c:pt>
                <c:pt idx="110">
                  <c:v>146.35</c:v>
                </c:pt>
                <c:pt idx="111">
                  <c:v>139.85</c:v>
                </c:pt>
                <c:pt idx="112">
                  <c:v>144.56</c:v>
                </c:pt>
                <c:pt idx="113">
                  <c:v>142.28</c:v>
                </c:pt>
                <c:pt idx="114">
                  <c:v>147.46</c:v>
                </c:pt>
                <c:pt idx="115">
                  <c:v>149.91</c:v>
                </c:pt>
                <c:pt idx="116">
                  <c:v>141.6</c:v>
                </c:pt>
                <c:pt idx="117">
                  <c:v>147.71</c:v>
                </c:pt>
                <c:pt idx="118">
                  <c:v>144.15</c:v>
                </c:pt>
                <c:pt idx="119">
                  <c:v>139.52000000000001</c:v>
                </c:pt>
                <c:pt idx="120">
                  <c:v>139.32</c:v>
                </c:pt>
                <c:pt idx="121">
                  <c:v>136.13999999999999</c:v>
                </c:pt>
                <c:pt idx="122">
                  <c:v>148.01</c:v>
                </c:pt>
                <c:pt idx="123">
                  <c:v>149.79</c:v>
                </c:pt>
                <c:pt idx="124">
                  <c:v>147.03</c:v>
                </c:pt>
                <c:pt idx="125">
                  <c:v>144.87</c:v>
                </c:pt>
                <c:pt idx="126">
                  <c:v>152.13</c:v>
                </c:pt>
                <c:pt idx="127">
                  <c:v>151.81</c:v>
                </c:pt>
                <c:pt idx="128">
                  <c:v>147.27000000000001</c:v>
                </c:pt>
                <c:pt idx="129">
                  <c:v>151.9</c:v>
                </c:pt>
                <c:pt idx="130">
                  <c:v>147.79</c:v>
                </c:pt>
                <c:pt idx="131">
                  <c:v>145.77000000000001</c:v>
                </c:pt>
                <c:pt idx="132">
                  <c:v>142.72</c:v>
                </c:pt>
                <c:pt idx="133">
                  <c:v>143.53</c:v>
                </c:pt>
                <c:pt idx="134">
                  <c:v>149.03</c:v>
                </c:pt>
                <c:pt idx="135">
                  <c:v>147.69</c:v>
                </c:pt>
                <c:pt idx="136">
                  <c:v>147.13999999999999</c:v>
                </c:pt>
                <c:pt idx="137">
                  <c:v>140.88</c:v>
                </c:pt>
                <c:pt idx="138">
                  <c:v>149.85</c:v>
                </c:pt>
                <c:pt idx="139">
                  <c:v>148.27000000000001</c:v>
                </c:pt>
                <c:pt idx="140">
                  <c:v>148.12</c:v>
                </c:pt>
                <c:pt idx="141">
                  <c:v>149.69999999999999</c:v>
                </c:pt>
                <c:pt idx="142">
                  <c:v>144.91999999999999</c:v>
                </c:pt>
                <c:pt idx="143">
                  <c:v>145.47999999999999</c:v>
                </c:pt>
                <c:pt idx="144">
                  <c:v>138.97999999999999</c:v>
                </c:pt>
                <c:pt idx="145">
                  <c:v>136.69</c:v>
                </c:pt>
                <c:pt idx="146">
                  <c:v>149.75</c:v>
                </c:pt>
                <c:pt idx="147">
                  <c:v>142.47999999999999</c:v>
                </c:pt>
                <c:pt idx="148">
                  <c:v>139.94999999999999</c:v>
                </c:pt>
                <c:pt idx="149">
                  <c:v>138.75</c:v>
                </c:pt>
                <c:pt idx="150">
                  <c:v>143.32</c:v>
                </c:pt>
                <c:pt idx="151">
                  <c:v>140.93</c:v>
                </c:pt>
                <c:pt idx="152">
                  <c:v>138.30000000000001</c:v>
                </c:pt>
                <c:pt idx="153">
                  <c:v>140.22</c:v>
                </c:pt>
                <c:pt idx="154">
                  <c:v>136.06</c:v>
                </c:pt>
                <c:pt idx="155">
                  <c:v>136.47999999999999</c:v>
                </c:pt>
                <c:pt idx="156">
                  <c:v>128.47999999999999</c:v>
                </c:pt>
                <c:pt idx="157">
                  <c:v>130.91999999999999</c:v>
                </c:pt>
                <c:pt idx="158">
                  <c:v>140.54</c:v>
                </c:pt>
                <c:pt idx="159">
                  <c:v>136.08000000000001</c:v>
                </c:pt>
                <c:pt idx="160">
                  <c:v>133.72999999999999</c:v>
                </c:pt>
                <c:pt idx="161">
                  <c:v>135.46</c:v>
                </c:pt>
                <c:pt idx="162">
                  <c:v>136.72999999999999</c:v>
                </c:pt>
                <c:pt idx="163">
                  <c:v>138.22</c:v>
                </c:pt>
                <c:pt idx="164">
                  <c:v>134.09</c:v>
                </c:pt>
                <c:pt idx="165">
                  <c:v>132.83000000000001</c:v>
                </c:pt>
                <c:pt idx="166">
                  <c:v>132.55000000000001</c:v>
                </c:pt>
                <c:pt idx="167">
                  <c:v>133.56</c:v>
                </c:pt>
                <c:pt idx="168">
                  <c:v>128.62</c:v>
                </c:pt>
                <c:pt idx="169">
                  <c:v>129.54</c:v>
                </c:pt>
                <c:pt idx="170">
                  <c:v>142.03</c:v>
                </c:pt>
                <c:pt idx="171">
                  <c:v>133.74</c:v>
                </c:pt>
                <c:pt idx="172">
                  <c:v>135.97999999999999</c:v>
                </c:pt>
                <c:pt idx="173">
                  <c:v>135.03</c:v>
                </c:pt>
                <c:pt idx="174">
                  <c:v>138.35</c:v>
                </c:pt>
                <c:pt idx="175">
                  <c:v>140.12</c:v>
                </c:pt>
                <c:pt idx="176">
                  <c:v>134.99</c:v>
                </c:pt>
                <c:pt idx="177">
                  <c:v>135.94</c:v>
                </c:pt>
                <c:pt idx="178">
                  <c:v>135.11000000000001</c:v>
                </c:pt>
                <c:pt idx="179">
                  <c:v>135.88</c:v>
                </c:pt>
                <c:pt idx="180">
                  <c:v>132.03</c:v>
                </c:pt>
                <c:pt idx="181">
                  <c:v>129.85</c:v>
                </c:pt>
                <c:pt idx="182">
                  <c:v>141.63</c:v>
                </c:pt>
                <c:pt idx="183">
                  <c:v>139.02000000000001</c:v>
                </c:pt>
                <c:pt idx="184">
                  <c:v>132.29</c:v>
                </c:pt>
                <c:pt idx="185">
                  <c:v>137.06</c:v>
                </c:pt>
                <c:pt idx="186">
                  <c:v>140.97</c:v>
                </c:pt>
                <c:pt idx="187">
                  <c:v>143.33000000000001</c:v>
                </c:pt>
                <c:pt idx="188">
                  <c:v>135.87</c:v>
                </c:pt>
                <c:pt idx="189">
                  <c:v>139.75</c:v>
                </c:pt>
                <c:pt idx="190">
                  <c:v>137.62</c:v>
                </c:pt>
                <c:pt idx="191">
                  <c:v>136.33000000000001</c:v>
                </c:pt>
                <c:pt idx="192">
                  <c:v>133.43</c:v>
                </c:pt>
                <c:pt idx="193">
                  <c:v>133.75</c:v>
                </c:pt>
                <c:pt idx="194">
                  <c:v>138.99</c:v>
                </c:pt>
                <c:pt idx="195">
                  <c:v>139.46</c:v>
                </c:pt>
                <c:pt idx="196">
                  <c:v>139.26</c:v>
                </c:pt>
                <c:pt idx="197">
                  <c:v>135.01</c:v>
                </c:pt>
                <c:pt idx="198">
                  <c:v>142.91999999999999</c:v>
                </c:pt>
                <c:pt idx="199">
                  <c:v>141.77000000000001</c:v>
                </c:pt>
                <c:pt idx="200">
                  <c:v>138.30000000000001</c:v>
                </c:pt>
                <c:pt idx="201">
                  <c:v>142.76</c:v>
                </c:pt>
                <c:pt idx="202">
                  <c:v>138.84</c:v>
                </c:pt>
                <c:pt idx="203">
                  <c:v>137.54</c:v>
                </c:pt>
                <c:pt idx="204">
                  <c:v>133.6</c:v>
                </c:pt>
                <c:pt idx="205">
                  <c:v>134.63</c:v>
                </c:pt>
                <c:pt idx="206">
                  <c:v>136.72</c:v>
                </c:pt>
                <c:pt idx="207">
                  <c:v>119.13</c:v>
                </c:pt>
                <c:pt idx="208">
                  <c:v>119.79</c:v>
                </c:pt>
                <c:pt idx="209">
                  <c:v>126.18</c:v>
                </c:pt>
                <c:pt idx="210">
                  <c:v>135.82</c:v>
                </c:pt>
                <c:pt idx="211">
                  <c:v>135.5</c:v>
                </c:pt>
                <c:pt idx="212">
                  <c:v>137.13999999999999</c:v>
                </c:pt>
                <c:pt idx="213">
                  <c:v>139.62</c:v>
                </c:pt>
                <c:pt idx="214">
                  <c:v>138.1</c:v>
                </c:pt>
                <c:pt idx="215">
                  <c:v>139.53</c:v>
                </c:pt>
                <c:pt idx="216">
                  <c:v>132.1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FC-41E6-B9AE-2B8BB602A29A}"/>
            </c:ext>
          </c:extLst>
        </c:ser>
        <c:ser>
          <c:idx val="1"/>
          <c:order val="1"/>
          <c:tx>
            <c:strRef>
              <c:f>'Step-by-Step'!$E$6</c:f>
              <c:strCache>
                <c:ptCount val="1"/>
                <c:pt idx="0">
                  <c:v>SA X13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'Step-by-Step'!$A$7:$A$223</c:f>
              <c:numCache>
                <c:formatCode>mmm\-yy</c:formatCode>
                <c:ptCount val="217"/>
                <c:pt idx="0">
                  <c:v>37622</c:v>
                </c:pt>
                <c:pt idx="1">
                  <c:v>37653</c:v>
                </c:pt>
                <c:pt idx="2">
                  <c:v>37681</c:v>
                </c:pt>
                <c:pt idx="3">
                  <c:v>37712</c:v>
                </c:pt>
                <c:pt idx="4">
                  <c:v>37742</c:v>
                </c:pt>
                <c:pt idx="5">
                  <c:v>37773</c:v>
                </c:pt>
                <c:pt idx="6">
                  <c:v>37803</c:v>
                </c:pt>
                <c:pt idx="7">
                  <c:v>37834</c:v>
                </c:pt>
                <c:pt idx="8">
                  <c:v>37865</c:v>
                </c:pt>
                <c:pt idx="9">
                  <c:v>37895</c:v>
                </c:pt>
                <c:pt idx="10">
                  <c:v>37926</c:v>
                </c:pt>
                <c:pt idx="11">
                  <c:v>37956</c:v>
                </c:pt>
                <c:pt idx="12">
                  <c:v>37987</c:v>
                </c:pt>
                <c:pt idx="13">
                  <c:v>38018</c:v>
                </c:pt>
                <c:pt idx="14">
                  <c:v>38047</c:v>
                </c:pt>
                <c:pt idx="15">
                  <c:v>38078</c:v>
                </c:pt>
                <c:pt idx="16">
                  <c:v>38108</c:v>
                </c:pt>
                <c:pt idx="17">
                  <c:v>38139</c:v>
                </c:pt>
                <c:pt idx="18">
                  <c:v>38169</c:v>
                </c:pt>
                <c:pt idx="19">
                  <c:v>38200</c:v>
                </c:pt>
                <c:pt idx="20">
                  <c:v>38231</c:v>
                </c:pt>
                <c:pt idx="21">
                  <c:v>38261</c:v>
                </c:pt>
                <c:pt idx="22">
                  <c:v>38292</c:v>
                </c:pt>
                <c:pt idx="23">
                  <c:v>38322</c:v>
                </c:pt>
                <c:pt idx="24">
                  <c:v>38353</c:v>
                </c:pt>
                <c:pt idx="25">
                  <c:v>38384</c:v>
                </c:pt>
                <c:pt idx="26">
                  <c:v>38412</c:v>
                </c:pt>
                <c:pt idx="27">
                  <c:v>38443</c:v>
                </c:pt>
                <c:pt idx="28">
                  <c:v>38473</c:v>
                </c:pt>
                <c:pt idx="29">
                  <c:v>38504</c:v>
                </c:pt>
                <c:pt idx="30">
                  <c:v>38534</c:v>
                </c:pt>
                <c:pt idx="31">
                  <c:v>38565</c:v>
                </c:pt>
                <c:pt idx="32">
                  <c:v>38596</c:v>
                </c:pt>
                <c:pt idx="33">
                  <c:v>38626</c:v>
                </c:pt>
                <c:pt idx="34">
                  <c:v>38657</c:v>
                </c:pt>
                <c:pt idx="35">
                  <c:v>38687</c:v>
                </c:pt>
                <c:pt idx="36">
                  <c:v>38718</c:v>
                </c:pt>
                <c:pt idx="37">
                  <c:v>38749</c:v>
                </c:pt>
                <c:pt idx="38">
                  <c:v>38777</c:v>
                </c:pt>
                <c:pt idx="39">
                  <c:v>38808</c:v>
                </c:pt>
                <c:pt idx="40">
                  <c:v>38838</c:v>
                </c:pt>
                <c:pt idx="41">
                  <c:v>38869</c:v>
                </c:pt>
                <c:pt idx="42">
                  <c:v>38899</c:v>
                </c:pt>
                <c:pt idx="43">
                  <c:v>38930</c:v>
                </c:pt>
                <c:pt idx="44">
                  <c:v>38961</c:v>
                </c:pt>
                <c:pt idx="45">
                  <c:v>38991</c:v>
                </c:pt>
                <c:pt idx="46">
                  <c:v>39022</c:v>
                </c:pt>
                <c:pt idx="47">
                  <c:v>39052</c:v>
                </c:pt>
                <c:pt idx="48">
                  <c:v>39083</c:v>
                </c:pt>
                <c:pt idx="49">
                  <c:v>39114</c:v>
                </c:pt>
                <c:pt idx="50">
                  <c:v>39142</c:v>
                </c:pt>
                <c:pt idx="51">
                  <c:v>39173</c:v>
                </c:pt>
                <c:pt idx="52">
                  <c:v>39203</c:v>
                </c:pt>
                <c:pt idx="53">
                  <c:v>39234</c:v>
                </c:pt>
                <c:pt idx="54">
                  <c:v>39264</c:v>
                </c:pt>
                <c:pt idx="55">
                  <c:v>39295</c:v>
                </c:pt>
                <c:pt idx="56">
                  <c:v>39326</c:v>
                </c:pt>
                <c:pt idx="57">
                  <c:v>39356</c:v>
                </c:pt>
                <c:pt idx="58">
                  <c:v>39387</c:v>
                </c:pt>
                <c:pt idx="59">
                  <c:v>39417</c:v>
                </c:pt>
                <c:pt idx="60">
                  <c:v>39448</c:v>
                </c:pt>
                <c:pt idx="61">
                  <c:v>39479</c:v>
                </c:pt>
                <c:pt idx="62">
                  <c:v>39508</c:v>
                </c:pt>
                <c:pt idx="63">
                  <c:v>39539</c:v>
                </c:pt>
                <c:pt idx="64">
                  <c:v>39569</c:v>
                </c:pt>
                <c:pt idx="65">
                  <c:v>39600</c:v>
                </c:pt>
                <c:pt idx="66">
                  <c:v>39630</c:v>
                </c:pt>
                <c:pt idx="67">
                  <c:v>39661</c:v>
                </c:pt>
                <c:pt idx="68">
                  <c:v>39692</c:v>
                </c:pt>
                <c:pt idx="69">
                  <c:v>39722</c:v>
                </c:pt>
                <c:pt idx="70">
                  <c:v>39753</c:v>
                </c:pt>
                <c:pt idx="71">
                  <c:v>39783</c:v>
                </c:pt>
                <c:pt idx="72">
                  <c:v>39814</c:v>
                </c:pt>
                <c:pt idx="73">
                  <c:v>39845</c:v>
                </c:pt>
                <c:pt idx="74">
                  <c:v>39873</c:v>
                </c:pt>
                <c:pt idx="75">
                  <c:v>39904</c:v>
                </c:pt>
                <c:pt idx="76">
                  <c:v>39934</c:v>
                </c:pt>
                <c:pt idx="77">
                  <c:v>39965</c:v>
                </c:pt>
                <c:pt idx="78">
                  <c:v>39995</c:v>
                </c:pt>
                <c:pt idx="79">
                  <c:v>40026</c:v>
                </c:pt>
                <c:pt idx="80">
                  <c:v>40057</c:v>
                </c:pt>
                <c:pt idx="81">
                  <c:v>40087</c:v>
                </c:pt>
                <c:pt idx="82">
                  <c:v>40118</c:v>
                </c:pt>
                <c:pt idx="83">
                  <c:v>40148</c:v>
                </c:pt>
                <c:pt idx="84">
                  <c:v>40179</c:v>
                </c:pt>
                <c:pt idx="85">
                  <c:v>40210</c:v>
                </c:pt>
                <c:pt idx="86">
                  <c:v>40238</c:v>
                </c:pt>
                <c:pt idx="87">
                  <c:v>40269</c:v>
                </c:pt>
                <c:pt idx="88">
                  <c:v>40299</c:v>
                </c:pt>
                <c:pt idx="89">
                  <c:v>40330</c:v>
                </c:pt>
                <c:pt idx="90">
                  <c:v>40360</c:v>
                </c:pt>
                <c:pt idx="91">
                  <c:v>40391</c:v>
                </c:pt>
                <c:pt idx="92">
                  <c:v>40422</c:v>
                </c:pt>
                <c:pt idx="93">
                  <c:v>40452</c:v>
                </c:pt>
                <c:pt idx="94">
                  <c:v>40483</c:v>
                </c:pt>
                <c:pt idx="95">
                  <c:v>40513</c:v>
                </c:pt>
                <c:pt idx="96">
                  <c:v>40544</c:v>
                </c:pt>
                <c:pt idx="97">
                  <c:v>40575</c:v>
                </c:pt>
                <c:pt idx="98">
                  <c:v>40603</c:v>
                </c:pt>
                <c:pt idx="99">
                  <c:v>40634</c:v>
                </c:pt>
                <c:pt idx="100">
                  <c:v>40664</c:v>
                </c:pt>
                <c:pt idx="101">
                  <c:v>40695</c:v>
                </c:pt>
                <c:pt idx="102">
                  <c:v>40725</c:v>
                </c:pt>
                <c:pt idx="103">
                  <c:v>40756</c:v>
                </c:pt>
                <c:pt idx="104">
                  <c:v>40787</c:v>
                </c:pt>
                <c:pt idx="105">
                  <c:v>40817</c:v>
                </c:pt>
                <c:pt idx="106">
                  <c:v>40848</c:v>
                </c:pt>
                <c:pt idx="107">
                  <c:v>40878</c:v>
                </c:pt>
                <c:pt idx="108">
                  <c:v>40909</c:v>
                </c:pt>
                <c:pt idx="109">
                  <c:v>40940</c:v>
                </c:pt>
                <c:pt idx="110">
                  <c:v>40969</c:v>
                </c:pt>
                <c:pt idx="111">
                  <c:v>41000</c:v>
                </c:pt>
                <c:pt idx="112">
                  <c:v>41030</c:v>
                </c:pt>
                <c:pt idx="113">
                  <c:v>41061</c:v>
                </c:pt>
                <c:pt idx="114">
                  <c:v>41091</c:v>
                </c:pt>
                <c:pt idx="115">
                  <c:v>41122</c:v>
                </c:pt>
                <c:pt idx="116">
                  <c:v>41153</c:v>
                </c:pt>
                <c:pt idx="117">
                  <c:v>41183</c:v>
                </c:pt>
                <c:pt idx="118">
                  <c:v>41214</c:v>
                </c:pt>
                <c:pt idx="119">
                  <c:v>41244</c:v>
                </c:pt>
                <c:pt idx="120">
                  <c:v>41275</c:v>
                </c:pt>
                <c:pt idx="121">
                  <c:v>41306</c:v>
                </c:pt>
                <c:pt idx="122">
                  <c:v>41334</c:v>
                </c:pt>
                <c:pt idx="123">
                  <c:v>41365</c:v>
                </c:pt>
                <c:pt idx="124">
                  <c:v>41395</c:v>
                </c:pt>
                <c:pt idx="125">
                  <c:v>41426</c:v>
                </c:pt>
                <c:pt idx="126">
                  <c:v>41456</c:v>
                </c:pt>
                <c:pt idx="127">
                  <c:v>41487</c:v>
                </c:pt>
                <c:pt idx="128">
                  <c:v>41518</c:v>
                </c:pt>
                <c:pt idx="129">
                  <c:v>41548</c:v>
                </c:pt>
                <c:pt idx="130">
                  <c:v>41579</c:v>
                </c:pt>
                <c:pt idx="131">
                  <c:v>41609</c:v>
                </c:pt>
                <c:pt idx="132">
                  <c:v>41640</c:v>
                </c:pt>
                <c:pt idx="133">
                  <c:v>41671</c:v>
                </c:pt>
                <c:pt idx="134">
                  <c:v>41699</c:v>
                </c:pt>
                <c:pt idx="135">
                  <c:v>41730</c:v>
                </c:pt>
                <c:pt idx="136">
                  <c:v>41760</c:v>
                </c:pt>
                <c:pt idx="137">
                  <c:v>41791</c:v>
                </c:pt>
                <c:pt idx="138">
                  <c:v>41821</c:v>
                </c:pt>
                <c:pt idx="139">
                  <c:v>41852</c:v>
                </c:pt>
                <c:pt idx="140">
                  <c:v>41883</c:v>
                </c:pt>
                <c:pt idx="141">
                  <c:v>41913</c:v>
                </c:pt>
                <c:pt idx="142">
                  <c:v>41944</c:v>
                </c:pt>
                <c:pt idx="143">
                  <c:v>41974</c:v>
                </c:pt>
                <c:pt idx="144">
                  <c:v>42005</c:v>
                </c:pt>
                <c:pt idx="145">
                  <c:v>42036</c:v>
                </c:pt>
                <c:pt idx="146">
                  <c:v>42064</c:v>
                </c:pt>
                <c:pt idx="147">
                  <c:v>42095</c:v>
                </c:pt>
                <c:pt idx="148">
                  <c:v>42125</c:v>
                </c:pt>
                <c:pt idx="149">
                  <c:v>42156</c:v>
                </c:pt>
                <c:pt idx="150">
                  <c:v>42186</c:v>
                </c:pt>
                <c:pt idx="151">
                  <c:v>42217</c:v>
                </c:pt>
                <c:pt idx="152">
                  <c:v>42248</c:v>
                </c:pt>
                <c:pt idx="153">
                  <c:v>42278</c:v>
                </c:pt>
                <c:pt idx="154">
                  <c:v>42309</c:v>
                </c:pt>
                <c:pt idx="155">
                  <c:v>42339</c:v>
                </c:pt>
                <c:pt idx="156">
                  <c:v>42370</c:v>
                </c:pt>
                <c:pt idx="157">
                  <c:v>42401</c:v>
                </c:pt>
                <c:pt idx="158">
                  <c:v>42430</c:v>
                </c:pt>
                <c:pt idx="159">
                  <c:v>42461</c:v>
                </c:pt>
                <c:pt idx="160">
                  <c:v>42491</c:v>
                </c:pt>
                <c:pt idx="161">
                  <c:v>42522</c:v>
                </c:pt>
                <c:pt idx="162">
                  <c:v>42552</c:v>
                </c:pt>
                <c:pt idx="163">
                  <c:v>42583</c:v>
                </c:pt>
                <c:pt idx="164">
                  <c:v>42614</c:v>
                </c:pt>
                <c:pt idx="165">
                  <c:v>42644</c:v>
                </c:pt>
                <c:pt idx="166">
                  <c:v>42675</c:v>
                </c:pt>
                <c:pt idx="167">
                  <c:v>42705</c:v>
                </c:pt>
                <c:pt idx="168">
                  <c:v>42736</c:v>
                </c:pt>
                <c:pt idx="169">
                  <c:v>42767</c:v>
                </c:pt>
                <c:pt idx="170">
                  <c:v>42795</c:v>
                </c:pt>
                <c:pt idx="171">
                  <c:v>42826</c:v>
                </c:pt>
                <c:pt idx="172">
                  <c:v>42856</c:v>
                </c:pt>
                <c:pt idx="173">
                  <c:v>42887</c:v>
                </c:pt>
                <c:pt idx="174">
                  <c:v>42917</c:v>
                </c:pt>
                <c:pt idx="175">
                  <c:v>42948</c:v>
                </c:pt>
                <c:pt idx="176">
                  <c:v>42979</c:v>
                </c:pt>
                <c:pt idx="177">
                  <c:v>43009</c:v>
                </c:pt>
                <c:pt idx="178">
                  <c:v>43040</c:v>
                </c:pt>
                <c:pt idx="179">
                  <c:v>43070</c:v>
                </c:pt>
                <c:pt idx="180">
                  <c:v>43101</c:v>
                </c:pt>
                <c:pt idx="181">
                  <c:v>43132</c:v>
                </c:pt>
                <c:pt idx="182">
                  <c:v>43160</c:v>
                </c:pt>
                <c:pt idx="183">
                  <c:v>43191</c:v>
                </c:pt>
                <c:pt idx="184">
                  <c:v>43221</c:v>
                </c:pt>
                <c:pt idx="185">
                  <c:v>43252</c:v>
                </c:pt>
                <c:pt idx="186">
                  <c:v>43282</c:v>
                </c:pt>
                <c:pt idx="187">
                  <c:v>43313</c:v>
                </c:pt>
                <c:pt idx="188">
                  <c:v>43344</c:v>
                </c:pt>
                <c:pt idx="189">
                  <c:v>43374</c:v>
                </c:pt>
                <c:pt idx="190">
                  <c:v>43405</c:v>
                </c:pt>
                <c:pt idx="191">
                  <c:v>43435</c:v>
                </c:pt>
                <c:pt idx="192">
                  <c:v>43466</c:v>
                </c:pt>
                <c:pt idx="193">
                  <c:v>43497</c:v>
                </c:pt>
                <c:pt idx="194">
                  <c:v>43525</c:v>
                </c:pt>
                <c:pt idx="195">
                  <c:v>43556</c:v>
                </c:pt>
                <c:pt idx="196">
                  <c:v>43586</c:v>
                </c:pt>
                <c:pt idx="197">
                  <c:v>43617</c:v>
                </c:pt>
                <c:pt idx="198">
                  <c:v>43647</c:v>
                </c:pt>
                <c:pt idx="199">
                  <c:v>43678</c:v>
                </c:pt>
                <c:pt idx="200">
                  <c:v>43709</c:v>
                </c:pt>
                <c:pt idx="201">
                  <c:v>43739</c:v>
                </c:pt>
                <c:pt idx="202">
                  <c:v>43770</c:v>
                </c:pt>
                <c:pt idx="203">
                  <c:v>43800</c:v>
                </c:pt>
                <c:pt idx="204">
                  <c:v>43831</c:v>
                </c:pt>
                <c:pt idx="205">
                  <c:v>43862</c:v>
                </c:pt>
                <c:pt idx="206">
                  <c:v>43891</c:v>
                </c:pt>
                <c:pt idx="207">
                  <c:v>43922</c:v>
                </c:pt>
                <c:pt idx="208">
                  <c:v>43952</c:v>
                </c:pt>
                <c:pt idx="209">
                  <c:v>43983</c:v>
                </c:pt>
                <c:pt idx="210">
                  <c:v>44013</c:v>
                </c:pt>
                <c:pt idx="211">
                  <c:v>44044</c:v>
                </c:pt>
                <c:pt idx="212">
                  <c:v>44075</c:v>
                </c:pt>
                <c:pt idx="213">
                  <c:v>44105</c:v>
                </c:pt>
                <c:pt idx="214">
                  <c:v>44136</c:v>
                </c:pt>
                <c:pt idx="215">
                  <c:v>44166</c:v>
                </c:pt>
                <c:pt idx="216">
                  <c:v>44197</c:v>
                </c:pt>
              </c:numCache>
            </c:numRef>
          </c:cat>
          <c:val>
            <c:numRef>
              <c:f>'Step-by-Step'!$E$7:$E$223</c:f>
              <c:numCache>
                <c:formatCode>0.0</c:formatCode>
                <c:ptCount val="217"/>
                <c:pt idx="0">
                  <c:v>101.580051050555</c:v>
                </c:pt>
                <c:pt idx="1">
                  <c:v>104.319529580658</c:v>
                </c:pt>
                <c:pt idx="2">
                  <c:v>97.853067294410394</c:v>
                </c:pt>
                <c:pt idx="3">
                  <c:v>100.706855574748</c:v>
                </c:pt>
                <c:pt idx="4">
                  <c:v>100.201790870327</c:v>
                </c:pt>
                <c:pt idx="5">
                  <c:v>99.028018924873706</c:v>
                </c:pt>
                <c:pt idx="6">
                  <c:v>100.086923622285</c:v>
                </c:pt>
                <c:pt idx="7">
                  <c:v>97.9721154001694</c:v>
                </c:pt>
                <c:pt idx="8">
                  <c:v>102.554330970539</c:v>
                </c:pt>
                <c:pt idx="9">
                  <c:v>104.85673319103</c:v>
                </c:pt>
                <c:pt idx="10">
                  <c:v>102.13332963821701</c:v>
                </c:pt>
                <c:pt idx="11">
                  <c:v>102.104482335387</c:v>
                </c:pt>
                <c:pt idx="12">
                  <c:v>103.925477428923</c:v>
                </c:pt>
                <c:pt idx="13">
                  <c:v>105.185342785239</c:v>
                </c:pt>
                <c:pt idx="14">
                  <c:v>106.52893619227901</c:v>
                </c:pt>
                <c:pt idx="15">
                  <c:v>106.105588406495</c:v>
                </c:pt>
                <c:pt idx="16">
                  <c:v>105.77383733198</c:v>
                </c:pt>
                <c:pt idx="17">
                  <c:v>107.480549081782</c:v>
                </c:pt>
                <c:pt idx="18">
                  <c:v>108.390933089664</c:v>
                </c:pt>
                <c:pt idx="19">
                  <c:v>107.001064260376</c:v>
                </c:pt>
                <c:pt idx="20">
                  <c:v>109.009581020775</c:v>
                </c:pt>
                <c:pt idx="21">
                  <c:v>108.513997975777</c:v>
                </c:pt>
                <c:pt idx="22">
                  <c:v>109.705109738991</c:v>
                </c:pt>
                <c:pt idx="23">
                  <c:v>110.028019007935</c:v>
                </c:pt>
                <c:pt idx="24">
                  <c:v>108.78570376115501</c:v>
                </c:pt>
                <c:pt idx="25">
                  <c:v>109.860204120536</c:v>
                </c:pt>
                <c:pt idx="26">
                  <c:v>110.139084436574</c:v>
                </c:pt>
                <c:pt idx="27">
                  <c:v>111.449885996295</c:v>
                </c:pt>
                <c:pt idx="28">
                  <c:v>110.52891321011001</c:v>
                </c:pt>
                <c:pt idx="29">
                  <c:v>111.90244516947899</c:v>
                </c:pt>
                <c:pt idx="30">
                  <c:v>109.74799721238099</c:v>
                </c:pt>
                <c:pt idx="31">
                  <c:v>111.387152299261</c:v>
                </c:pt>
                <c:pt idx="32">
                  <c:v>110.865600429952</c:v>
                </c:pt>
                <c:pt idx="33">
                  <c:v>110.709597958562</c:v>
                </c:pt>
                <c:pt idx="34">
                  <c:v>111.72967676090801</c:v>
                </c:pt>
                <c:pt idx="35">
                  <c:v>113.788719939068</c:v>
                </c:pt>
                <c:pt idx="36">
                  <c:v>113.875256447547</c:v>
                </c:pt>
                <c:pt idx="37">
                  <c:v>113.87281448776599</c:v>
                </c:pt>
                <c:pt idx="38">
                  <c:v>114.036597353697</c:v>
                </c:pt>
                <c:pt idx="39">
                  <c:v>112.108090862507</c:v>
                </c:pt>
                <c:pt idx="40">
                  <c:v>116.796747873252</c:v>
                </c:pt>
                <c:pt idx="41">
                  <c:v>114.654906878166</c:v>
                </c:pt>
                <c:pt idx="42">
                  <c:v>115.621437624438</c:v>
                </c:pt>
                <c:pt idx="43">
                  <c:v>117.18786896311499</c:v>
                </c:pt>
                <c:pt idx="44">
                  <c:v>116.12521247811701</c:v>
                </c:pt>
                <c:pt idx="45">
                  <c:v>118.360590245404</c:v>
                </c:pt>
                <c:pt idx="46">
                  <c:v>118.695272473168</c:v>
                </c:pt>
                <c:pt idx="47">
                  <c:v>118.951419148398</c:v>
                </c:pt>
                <c:pt idx="48">
                  <c:v>120.290984053372</c:v>
                </c:pt>
                <c:pt idx="49">
                  <c:v>119.582878059956</c:v>
                </c:pt>
                <c:pt idx="50">
                  <c:v>120.253604345879</c:v>
                </c:pt>
                <c:pt idx="51">
                  <c:v>120.065921560097</c:v>
                </c:pt>
                <c:pt idx="52">
                  <c:v>123.533113479086</c:v>
                </c:pt>
                <c:pt idx="53">
                  <c:v>122.56827810880399</c:v>
                </c:pt>
                <c:pt idx="54">
                  <c:v>123.600977279475</c:v>
                </c:pt>
                <c:pt idx="55">
                  <c:v>125.1614444618</c:v>
                </c:pt>
                <c:pt idx="56">
                  <c:v>122.995419928052</c:v>
                </c:pt>
                <c:pt idx="57">
                  <c:v>127.865383687858</c:v>
                </c:pt>
                <c:pt idx="58">
                  <c:v>125.89888578852</c:v>
                </c:pt>
                <c:pt idx="59">
                  <c:v>125.210475109507</c:v>
                </c:pt>
                <c:pt idx="60">
                  <c:v>127.71693097823599</c:v>
                </c:pt>
                <c:pt idx="61">
                  <c:v>128.21436632171</c:v>
                </c:pt>
                <c:pt idx="62">
                  <c:v>124.34544382939001</c:v>
                </c:pt>
                <c:pt idx="63">
                  <c:v>129.532494192325</c:v>
                </c:pt>
                <c:pt idx="64">
                  <c:v>128.45569858272199</c:v>
                </c:pt>
                <c:pt idx="65">
                  <c:v>130.75225993833499</c:v>
                </c:pt>
                <c:pt idx="66">
                  <c:v>132.028401506184</c:v>
                </c:pt>
                <c:pt idx="67">
                  <c:v>129.83765664175601</c:v>
                </c:pt>
                <c:pt idx="68">
                  <c:v>132.08159474467101</c:v>
                </c:pt>
                <c:pt idx="69">
                  <c:v>131.296425771625</c:v>
                </c:pt>
                <c:pt idx="70">
                  <c:v>124.62919867740101</c:v>
                </c:pt>
                <c:pt idx="71">
                  <c:v>121.80493666242999</c:v>
                </c:pt>
                <c:pt idx="72">
                  <c:v>121.536611195654</c:v>
                </c:pt>
                <c:pt idx="73">
                  <c:v>121.456594681585</c:v>
                </c:pt>
                <c:pt idx="74">
                  <c:v>123.25572625188801</c:v>
                </c:pt>
                <c:pt idx="75">
                  <c:v>123.35583515712599</c:v>
                </c:pt>
                <c:pt idx="76">
                  <c:v>123.880509476556</c:v>
                </c:pt>
                <c:pt idx="77">
                  <c:v>125.808263814011</c:v>
                </c:pt>
                <c:pt idx="78">
                  <c:v>126.82173594654699</c:v>
                </c:pt>
                <c:pt idx="79">
                  <c:v>126.53357491684601</c:v>
                </c:pt>
                <c:pt idx="80">
                  <c:v>129.00966216130399</c:v>
                </c:pt>
                <c:pt idx="81">
                  <c:v>130.84946981733199</c:v>
                </c:pt>
                <c:pt idx="82">
                  <c:v>129.62084374235599</c:v>
                </c:pt>
                <c:pt idx="83">
                  <c:v>132.21465278134201</c:v>
                </c:pt>
                <c:pt idx="84">
                  <c:v>132.53786285006899</c:v>
                </c:pt>
                <c:pt idx="85">
                  <c:v>133.68718059266999</c:v>
                </c:pt>
                <c:pt idx="86">
                  <c:v>139.02730102816301</c:v>
                </c:pt>
                <c:pt idx="87">
                  <c:v>137.307205852821</c:v>
                </c:pt>
                <c:pt idx="88">
                  <c:v>135.80911230436399</c:v>
                </c:pt>
                <c:pt idx="89">
                  <c:v>136.37709917866201</c:v>
                </c:pt>
                <c:pt idx="90">
                  <c:v>137.12266759990399</c:v>
                </c:pt>
                <c:pt idx="91">
                  <c:v>137.15874886953699</c:v>
                </c:pt>
                <c:pt idx="92">
                  <c:v>138.63009651847599</c:v>
                </c:pt>
                <c:pt idx="93">
                  <c:v>137.493368983403</c:v>
                </c:pt>
                <c:pt idx="94">
                  <c:v>139.74245977051001</c:v>
                </c:pt>
                <c:pt idx="95">
                  <c:v>139.62661137812901</c:v>
                </c:pt>
                <c:pt idx="96">
                  <c:v>139.51252484457601</c:v>
                </c:pt>
                <c:pt idx="97">
                  <c:v>142.07360459191599</c:v>
                </c:pt>
                <c:pt idx="98">
                  <c:v>140.71644577897399</c:v>
                </c:pt>
                <c:pt idx="99">
                  <c:v>140.33366494212601</c:v>
                </c:pt>
                <c:pt idx="100">
                  <c:v>142.36696708922599</c:v>
                </c:pt>
                <c:pt idx="101">
                  <c:v>142.32356720527801</c:v>
                </c:pt>
                <c:pt idx="102">
                  <c:v>140.882175394689</c:v>
                </c:pt>
                <c:pt idx="103">
                  <c:v>143.06750535047499</c:v>
                </c:pt>
                <c:pt idx="104">
                  <c:v>141.51838604845699</c:v>
                </c:pt>
                <c:pt idx="105">
                  <c:v>139.882812382369</c:v>
                </c:pt>
                <c:pt idx="106">
                  <c:v>142.00863711969799</c:v>
                </c:pt>
                <c:pt idx="107">
                  <c:v>141.98778901533501</c:v>
                </c:pt>
                <c:pt idx="108">
                  <c:v>140.016655845027</c:v>
                </c:pt>
                <c:pt idx="109">
                  <c:v>141.16189283976499</c:v>
                </c:pt>
                <c:pt idx="110">
                  <c:v>142.277378721768</c:v>
                </c:pt>
                <c:pt idx="111">
                  <c:v>140.28314439819999</c:v>
                </c:pt>
                <c:pt idx="112">
                  <c:v>143.634748871477</c:v>
                </c:pt>
                <c:pt idx="113">
                  <c:v>143.15667780661801</c:v>
                </c:pt>
                <c:pt idx="114">
                  <c:v>143.35087310817201</c:v>
                </c:pt>
                <c:pt idx="115">
                  <c:v>145.57563049500499</c:v>
                </c:pt>
                <c:pt idx="116">
                  <c:v>140.996235465165</c:v>
                </c:pt>
                <c:pt idx="117">
                  <c:v>145.259790088747</c:v>
                </c:pt>
                <c:pt idx="118">
                  <c:v>144.43349227231701</c:v>
                </c:pt>
                <c:pt idx="119">
                  <c:v>141.88586108294601</c:v>
                </c:pt>
                <c:pt idx="120">
                  <c:v>145.83248574086801</c:v>
                </c:pt>
                <c:pt idx="121">
                  <c:v>141.86059571541099</c:v>
                </c:pt>
                <c:pt idx="122">
                  <c:v>143.90053092680199</c:v>
                </c:pt>
                <c:pt idx="123">
                  <c:v>150.04860864488001</c:v>
                </c:pt>
                <c:pt idx="124">
                  <c:v>146.356906430962</c:v>
                </c:pt>
                <c:pt idx="125">
                  <c:v>145.86704206864599</c:v>
                </c:pt>
                <c:pt idx="126">
                  <c:v>148.24242961152399</c:v>
                </c:pt>
                <c:pt idx="127">
                  <c:v>147.80257083264999</c:v>
                </c:pt>
                <c:pt idx="128">
                  <c:v>146.761905349475</c:v>
                </c:pt>
                <c:pt idx="129">
                  <c:v>149.23599464868201</c:v>
                </c:pt>
                <c:pt idx="130">
                  <c:v>148.31299279361201</c:v>
                </c:pt>
                <c:pt idx="131">
                  <c:v>147.67884150179901</c:v>
                </c:pt>
                <c:pt idx="132">
                  <c:v>149.01469235682001</c:v>
                </c:pt>
                <c:pt idx="133">
                  <c:v>149.284161382348</c:v>
                </c:pt>
                <c:pt idx="134">
                  <c:v>144.67238921511</c:v>
                </c:pt>
                <c:pt idx="135">
                  <c:v>147.667552538612</c:v>
                </c:pt>
                <c:pt idx="136">
                  <c:v>146.83309790244201</c:v>
                </c:pt>
                <c:pt idx="137">
                  <c:v>141.85377056767899</c:v>
                </c:pt>
                <c:pt idx="138">
                  <c:v>146.14392767303499</c:v>
                </c:pt>
                <c:pt idx="139">
                  <c:v>144.59045139667501</c:v>
                </c:pt>
                <c:pt idx="140">
                  <c:v>147.80928972580699</c:v>
                </c:pt>
                <c:pt idx="141">
                  <c:v>147.05597812288801</c:v>
                </c:pt>
                <c:pt idx="142">
                  <c:v>145.72766513649901</c:v>
                </c:pt>
                <c:pt idx="143">
                  <c:v>146.85196659028099</c:v>
                </c:pt>
                <c:pt idx="144">
                  <c:v>145.09568427976001</c:v>
                </c:pt>
                <c:pt idx="145">
                  <c:v>142.450646347082</c:v>
                </c:pt>
                <c:pt idx="146">
                  <c:v>145.11443619899501</c:v>
                </c:pt>
                <c:pt idx="147">
                  <c:v>142.03587662981801</c:v>
                </c:pt>
                <c:pt idx="148">
                  <c:v>140.017248018873</c:v>
                </c:pt>
                <c:pt idx="149">
                  <c:v>139.60634906279401</c:v>
                </c:pt>
                <c:pt idx="150">
                  <c:v>139.90714734514901</c:v>
                </c:pt>
                <c:pt idx="151">
                  <c:v>137.43343900206099</c:v>
                </c:pt>
                <c:pt idx="152">
                  <c:v>138.21338607301999</c:v>
                </c:pt>
                <c:pt idx="153">
                  <c:v>137.84864404908899</c:v>
                </c:pt>
                <c:pt idx="154">
                  <c:v>137.0307529147</c:v>
                </c:pt>
                <c:pt idx="155">
                  <c:v>137.43953269774701</c:v>
                </c:pt>
                <c:pt idx="156">
                  <c:v>134.345810773621</c:v>
                </c:pt>
                <c:pt idx="157">
                  <c:v>136.66159184313599</c:v>
                </c:pt>
                <c:pt idx="158">
                  <c:v>135.62286844749099</c:v>
                </c:pt>
                <c:pt idx="159">
                  <c:v>135.34129878753501</c:v>
                </c:pt>
                <c:pt idx="160">
                  <c:v>133.97375779208801</c:v>
                </c:pt>
                <c:pt idx="161">
                  <c:v>136.407454379413</c:v>
                </c:pt>
                <c:pt idx="162">
                  <c:v>133.506258891892</c:v>
                </c:pt>
                <c:pt idx="163">
                  <c:v>134.73785563993101</c:v>
                </c:pt>
                <c:pt idx="164">
                  <c:v>134.352881866518</c:v>
                </c:pt>
                <c:pt idx="165">
                  <c:v>130.75524111718599</c:v>
                </c:pt>
                <c:pt idx="166">
                  <c:v>133.45915436229899</c:v>
                </c:pt>
                <c:pt idx="167">
                  <c:v>134.25121803345101</c:v>
                </c:pt>
                <c:pt idx="168">
                  <c:v>134.286042768242</c:v>
                </c:pt>
                <c:pt idx="169">
                  <c:v>135.048294958154</c:v>
                </c:pt>
                <c:pt idx="170">
                  <c:v>137.025500966864</c:v>
                </c:pt>
                <c:pt idx="171">
                  <c:v>132.92331516343401</c:v>
                </c:pt>
                <c:pt idx="172">
                  <c:v>136.23315922408199</c:v>
                </c:pt>
                <c:pt idx="173">
                  <c:v>136.247580610244</c:v>
                </c:pt>
                <c:pt idx="174">
                  <c:v>135.31819563712301</c:v>
                </c:pt>
                <c:pt idx="175">
                  <c:v>136.607598876042</c:v>
                </c:pt>
                <c:pt idx="176">
                  <c:v>135.579933689657</c:v>
                </c:pt>
                <c:pt idx="177">
                  <c:v>133.90955016321601</c:v>
                </c:pt>
                <c:pt idx="178">
                  <c:v>135.784654696811</c:v>
                </c:pt>
                <c:pt idx="179">
                  <c:v>136.45707925284199</c:v>
                </c:pt>
                <c:pt idx="180">
                  <c:v>137.464674645879</c:v>
                </c:pt>
                <c:pt idx="181">
                  <c:v>135.04980702994399</c:v>
                </c:pt>
                <c:pt idx="182">
                  <c:v>136.68610306711099</c:v>
                </c:pt>
                <c:pt idx="183">
                  <c:v>138.380741865619</c:v>
                </c:pt>
                <c:pt idx="184">
                  <c:v>132.39223228997</c:v>
                </c:pt>
                <c:pt idx="185">
                  <c:v>138.869014535806</c:v>
                </c:pt>
                <c:pt idx="186">
                  <c:v>137.974527797489</c:v>
                </c:pt>
                <c:pt idx="187">
                  <c:v>139.897280049915</c:v>
                </c:pt>
                <c:pt idx="188">
                  <c:v>136.63778574257901</c:v>
                </c:pt>
                <c:pt idx="189">
                  <c:v>137.55942386026399</c:v>
                </c:pt>
                <c:pt idx="190">
                  <c:v>137.91711003262299</c:v>
                </c:pt>
                <c:pt idx="191">
                  <c:v>136.809931034843</c:v>
                </c:pt>
                <c:pt idx="192">
                  <c:v>138.674515127983</c:v>
                </c:pt>
                <c:pt idx="193">
                  <c:v>138.60278938679701</c:v>
                </c:pt>
                <c:pt idx="194">
                  <c:v>134.29326406798401</c:v>
                </c:pt>
                <c:pt idx="195">
                  <c:v>139.079728718929</c:v>
                </c:pt>
                <c:pt idx="196">
                  <c:v>139.246185847654</c:v>
                </c:pt>
                <c:pt idx="197">
                  <c:v>137.40376688655101</c:v>
                </c:pt>
                <c:pt idx="198">
                  <c:v>139.95851600950999</c:v>
                </c:pt>
                <c:pt idx="199">
                  <c:v>138.55130785240499</c:v>
                </c:pt>
                <c:pt idx="200">
                  <c:v>139.06416143045999</c:v>
                </c:pt>
                <c:pt idx="201">
                  <c:v>140.260034751587</c:v>
                </c:pt>
                <c:pt idx="202">
                  <c:v>138.75274198401999</c:v>
                </c:pt>
                <c:pt idx="203">
                  <c:v>137.86068374741001</c:v>
                </c:pt>
                <c:pt idx="204">
                  <c:v>138.79627857836601</c:v>
                </c:pt>
                <c:pt idx="205">
                  <c:v>139.217176357959</c:v>
                </c:pt>
                <c:pt idx="206">
                  <c:v>132.18363556896901</c:v>
                </c:pt>
                <c:pt idx="207">
                  <c:v>119.081015887088</c:v>
                </c:pt>
                <c:pt idx="208">
                  <c:v>119.703570533285</c:v>
                </c:pt>
                <c:pt idx="209">
                  <c:v>129.12793860755599</c:v>
                </c:pt>
                <c:pt idx="210">
                  <c:v>132.80399817287699</c:v>
                </c:pt>
                <c:pt idx="211">
                  <c:v>132.57068373862899</c:v>
                </c:pt>
                <c:pt idx="212">
                  <c:v>137.755912417459</c:v>
                </c:pt>
                <c:pt idx="213">
                  <c:v>136.79260250683501</c:v>
                </c:pt>
                <c:pt idx="214">
                  <c:v>137.716720358054</c:v>
                </c:pt>
                <c:pt idx="215">
                  <c:v>139.70800760210901</c:v>
                </c:pt>
                <c:pt idx="216">
                  <c:v>137.380660207001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FC-41E6-B9AE-2B8BB602A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7836336"/>
        <c:axId val="1787850896"/>
      </c:lineChart>
      <c:dateAx>
        <c:axId val="178783633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7850896"/>
        <c:crosses val="autoZero"/>
        <c:auto val="1"/>
        <c:lblOffset val="100"/>
        <c:baseTimeUnit val="months"/>
      </c:dateAx>
      <c:valAx>
        <c:axId val="17878508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783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Difference of</a:t>
            </a:r>
            <a:r>
              <a:rPr lang="pt-BR" baseline="0"/>
              <a:t> SAs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'Step-by-Step'!$J$6</c:f>
              <c:strCache>
                <c:ptCount val="1"/>
                <c:pt idx="0">
                  <c:v>X13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'Step-by-Step'!$A$7:$A$226</c:f>
              <c:numCache>
                <c:formatCode>mmm\-yy</c:formatCode>
                <c:ptCount val="220"/>
                <c:pt idx="0">
                  <c:v>37622</c:v>
                </c:pt>
                <c:pt idx="1">
                  <c:v>37653</c:v>
                </c:pt>
                <c:pt idx="2">
                  <c:v>37681</c:v>
                </c:pt>
                <c:pt idx="3">
                  <c:v>37712</c:v>
                </c:pt>
                <c:pt idx="4">
                  <c:v>37742</c:v>
                </c:pt>
                <c:pt idx="5">
                  <c:v>37773</c:v>
                </c:pt>
                <c:pt idx="6">
                  <c:v>37803</c:v>
                </c:pt>
                <c:pt idx="7">
                  <c:v>37834</c:v>
                </c:pt>
                <c:pt idx="8">
                  <c:v>37865</c:v>
                </c:pt>
                <c:pt idx="9">
                  <c:v>37895</c:v>
                </c:pt>
                <c:pt idx="10">
                  <c:v>37926</c:v>
                </c:pt>
                <c:pt idx="11">
                  <c:v>37956</c:v>
                </c:pt>
                <c:pt idx="12">
                  <c:v>37987</c:v>
                </c:pt>
                <c:pt idx="13">
                  <c:v>38018</c:v>
                </c:pt>
                <c:pt idx="14">
                  <c:v>38047</c:v>
                </c:pt>
                <c:pt idx="15">
                  <c:v>38078</c:v>
                </c:pt>
                <c:pt idx="16">
                  <c:v>38108</c:v>
                </c:pt>
                <c:pt idx="17">
                  <c:v>38139</c:v>
                </c:pt>
                <c:pt idx="18">
                  <c:v>38169</c:v>
                </c:pt>
                <c:pt idx="19">
                  <c:v>38200</c:v>
                </c:pt>
                <c:pt idx="20">
                  <c:v>38231</c:v>
                </c:pt>
                <c:pt idx="21">
                  <c:v>38261</c:v>
                </c:pt>
                <c:pt idx="22">
                  <c:v>38292</c:v>
                </c:pt>
                <c:pt idx="23">
                  <c:v>38322</c:v>
                </c:pt>
                <c:pt idx="24">
                  <c:v>38353</c:v>
                </c:pt>
                <c:pt idx="25">
                  <c:v>38384</c:v>
                </c:pt>
                <c:pt idx="26">
                  <c:v>38412</c:v>
                </c:pt>
                <c:pt idx="27">
                  <c:v>38443</c:v>
                </c:pt>
                <c:pt idx="28">
                  <c:v>38473</c:v>
                </c:pt>
                <c:pt idx="29">
                  <c:v>38504</c:v>
                </c:pt>
                <c:pt idx="30">
                  <c:v>38534</c:v>
                </c:pt>
                <c:pt idx="31">
                  <c:v>38565</c:v>
                </c:pt>
                <c:pt idx="32">
                  <c:v>38596</c:v>
                </c:pt>
                <c:pt idx="33">
                  <c:v>38626</c:v>
                </c:pt>
                <c:pt idx="34">
                  <c:v>38657</c:v>
                </c:pt>
                <c:pt idx="35">
                  <c:v>38687</c:v>
                </c:pt>
                <c:pt idx="36">
                  <c:v>38718</c:v>
                </c:pt>
                <c:pt idx="37">
                  <c:v>38749</c:v>
                </c:pt>
                <c:pt idx="38">
                  <c:v>38777</c:v>
                </c:pt>
                <c:pt idx="39">
                  <c:v>38808</c:v>
                </c:pt>
                <c:pt idx="40">
                  <c:v>38838</c:v>
                </c:pt>
                <c:pt idx="41">
                  <c:v>38869</c:v>
                </c:pt>
                <c:pt idx="42">
                  <c:v>38899</c:v>
                </c:pt>
                <c:pt idx="43">
                  <c:v>38930</c:v>
                </c:pt>
                <c:pt idx="44">
                  <c:v>38961</c:v>
                </c:pt>
                <c:pt idx="45">
                  <c:v>38991</c:v>
                </c:pt>
                <c:pt idx="46">
                  <c:v>39022</c:v>
                </c:pt>
                <c:pt idx="47">
                  <c:v>39052</c:v>
                </c:pt>
                <c:pt idx="48">
                  <c:v>39083</c:v>
                </c:pt>
                <c:pt idx="49">
                  <c:v>39114</c:v>
                </c:pt>
                <c:pt idx="50">
                  <c:v>39142</c:v>
                </c:pt>
                <c:pt idx="51">
                  <c:v>39173</c:v>
                </c:pt>
                <c:pt idx="52">
                  <c:v>39203</c:v>
                </c:pt>
                <c:pt idx="53">
                  <c:v>39234</c:v>
                </c:pt>
                <c:pt idx="54">
                  <c:v>39264</c:v>
                </c:pt>
                <c:pt idx="55">
                  <c:v>39295</c:v>
                </c:pt>
                <c:pt idx="56">
                  <c:v>39326</c:v>
                </c:pt>
                <c:pt idx="57">
                  <c:v>39356</c:v>
                </c:pt>
                <c:pt idx="58">
                  <c:v>39387</c:v>
                </c:pt>
                <c:pt idx="59">
                  <c:v>39417</c:v>
                </c:pt>
                <c:pt idx="60">
                  <c:v>39448</c:v>
                </c:pt>
                <c:pt idx="61">
                  <c:v>39479</c:v>
                </c:pt>
                <c:pt idx="62">
                  <c:v>39508</c:v>
                </c:pt>
                <c:pt idx="63">
                  <c:v>39539</c:v>
                </c:pt>
                <c:pt idx="64">
                  <c:v>39569</c:v>
                </c:pt>
                <c:pt idx="65">
                  <c:v>39600</c:v>
                </c:pt>
                <c:pt idx="66">
                  <c:v>39630</c:v>
                </c:pt>
                <c:pt idx="67">
                  <c:v>39661</c:v>
                </c:pt>
                <c:pt idx="68">
                  <c:v>39692</c:v>
                </c:pt>
                <c:pt idx="69">
                  <c:v>39722</c:v>
                </c:pt>
                <c:pt idx="70">
                  <c:v>39753</c:v>
                </c:pt>
                <c:pt idx="71">
                  <c:v>39783</c:v>
                </c:pt>
                <c:pt idx="72">
                  <c:v>39814</c:v>
                </c:pt>
                <c:pt idx="73">
                  <c:v>39845</c:v>
                </c:pt>
                <c:pt idx="74">
                  <c:v>39873</c:v>
                </c:pt>
                <c:pt idx="75">
                  <c:v>39904</c:v>
                </c:pt>
                <c:pt idx="76">
                  <c:v>39934</c:v>
                </c:pt>
                <c:pt idx="77">
                  <c:v>39965</c:v>
                </c:pt>
                <c:pt idx="78">
                  <c:v>39995</c:v>
                </c:pt>
                <c:pt idx="79">
                  <c:v>40026</c:v>
                </c:pt>
                <c:pt idx="80">
                  <c:v>40057</c:v>
                </c:pt>
                <c:pt idx="81">
                  <c:v>40087</c:v>
                </c:pt>
                <c:pt idx="82">
                  <c:v>40118</c:v>
                </c:pt>
                <c:pt idx="83">
                  <c:v>40148</c:v>
                </c:pt>
                <c:pt idx="84">
                  <c:v>40179</c:v>
                </c:pt>
                <c:pt idx="85">
                  <c:v>40210</c:v>
                </c:pt>
                <c:pt idx="86">
                  <c:v>40238</c:v>
                </c:pt>
                <c:pt idx="87">
                  <c:v>40269</c:v>
                </c:pt>
                <c:pt idx="88">
                  <c:v>40299</c:v>
                </c:pt>
                <c:pt idx="89">
                  <c:v>40330</c:v>
                </c:pt>
                <c:pt idx="90">
                  <c:v>40360</c:v>
                </c:pt>
                <c:pt idx="91">
                  <c:v>40391</c:v>
                </c:pt>
                <c:pt idx="92">
                  <c:v>40422</c:v>
                </c:pt>
                <c:pt idx="93">
                  <c:v>40452</c:v>
                </c:pt>
                <c:pt idx="94">
                  <c:v>40483</c:v>
                </c:pt>
                <c:pt idx="95">
                  <c:v>40513</c:v>
                </c:pt>
                <c:pt idx="96">
                  <c:v>40544</c:v>
                </c:pt>
                <c:pt idx="97">
                  <c:v>40575</c:v>
                </c:pt>
                <c:pt idx="98">
                  <c:v>40603</c:v>
                </c:pt>
                <c:pt idx="99">
                  <c:v>40634</c:v>
                </c:pt>
                <c:pt idx="100">
                  <c:v>40664</c:v>
                </c:pt>
                <c:pt idx="101">
                  <c:v>40695</c:v>
                </c:pt>
                <c:pt idx="102">
                  <c:v>40725</c:v>
                </c:pt>
                <c:pt idx="103">
                  <c:v>40756</c:v>
                </c:pt>
                <c:pt idx="104">
                  <c:v>40787</c:v>
                </c:pt>
                <c:pt idx="105">
                  <c:v>40817</c:v>
                </c:pt>
                <c:pt idx="106">
                  <c:v>40848</c:v>
                </c:pt>
                <c:pt idx="107">
                  <c:v>40878</c:v>
                </c:pt>
                <c:pt idx="108">
                  <c:v>40909</c:v>
                </c:pt>
                <c:pt idx="109">
                  <c:v>40940</c:v>
                </c:pt>
                <c:pt idx="110">
                  <c:v>40969</c:v>
                </c:pt>
                <c:pt idx="111">
                  <c:v>41000</c:v>
                </c:pt>
                <c:pt idx="112">
                  <c:v>41030</c:v>
                </c:pt>
                <c:pt idx="113">
                  <c:v>41061</c:v>
                </c:pt>
                <c:pt idx="114">
                  <c:v>41091</c:v>
                </c:pt>
                <c:pt idx="115">
                  <c:v>41122</c:v>
                </c:pt>
                <c:pt idx="116">
                  <c:v>41153</c:v>
                </c:pt>
                <c:pt idx="117">
                  <c:v>41183</c:v>
                </c:pt>
                <c:pt idx="118">
                  <c:v>41214</c:v>
                </c:pt>
                <c:pt idx="119">
                  <c:v>41244</c:v>
                </c:pt>
                <c:pt idx="120">
                  <c:v>41275</c:v>
                </c:pt>
                <c:pt idx="121">
                  <c:v>41306</c:v>
                </c:pt>
                <c:pt idx="122">
                  <c:v>41334</c:v>
                </c:pt>
                <c:pt idx="123">
                  <c:v>41365</c:v>
                </c:pt>
                <c:pt idx="124">
                  <c:v>41395</c:v>
                </c:pt>
                <c:pt idx="125">
                  <c:v>41426</c:v>
                </c:pt>
                <c:pt idx="126">
                  <c:v>41456</c:v>
                </c:pt>
                <c:pt idx="127">
                  <c:v>41487</c:v>
                </c:pt>
                <c:pt idx="128">
                  <c:v>41518</c:v>
                </c:pt>
                <c:pt idx="129">
                  <c:v>41548</c:v>
                </c:pt>
                <c:pt idx="130">
                  <c:v>41579</c:v>
                </c:pt>
                <c:pt idx="131">
                  <c:v>41609</c:v>
                </c:pt>
                <c:pt idx="132">
                  <c:v>41640</c:v>
                </c:pt>
                <c:pt idx="133">
                  <c:v>41671</c:v>
                </c:pt>
                <c:pt idx="134">
                  <c:v>41699</c:v>
                </c:pt>
                <c:pt idx="135">
                  <c:v>41730</c:v>
                </c:pt>
                <c:pt idx="136">
                  <c:v>41760</c:v>
                </c:pt>
                <c:pt idx="137">
                  <c:v>41791</c:v>
                </c:pt>
                <c:pt idx="138">
                  <c:v>41821</c:v>
                </c:pt>
                <c:pt idx="139">
                  <c:v>41852</c:v>
                </c:pt>
                <c:pt idx="140">
                  <c:v>41883</c:v>
                </c:pt>
                <c:pt idx="141">
                  <c:v>41913</c:v>
                </c:pt>
                <c:pt idx="142">
                  <c:v>41944</c:v>
                </c:pt>
                <c:pt idx="143">
                  <c:v>41974</c:v>
                </c:pt>
                <c:pt idx="144">
                  <c:v>42005</c:v>
                </c:pt>
                <c:pt idx="145">
                  <c:v>42036</c:v>
                </c:pt>
                <c:pt idx="146">
                  <c:v>42064</c:v>
                </c:pt>
                <c:pt idx="147">
                  <c:v>42095</c:v>
                </c:pt>
                <c:pt idx="148">
                  <c:v>42125</c:v>
                </c:pt>
                <c:pt idx="149">
                  <c:v>42156</c:v>
                </c:pt>
                <c:pt idx="150">
                  <c:v>42186</c:v>
                </c:pt>
                <c:pt idx="151">
                  <c:v>42217</c:v>
                </c:pt>
                <c:pt idx="152">
                  <c:v>42248</c:v>
                </c:pt>
                <c:pt idx="153">
                  <c:v>42278</c:v>
                </c:pt>
                <c:pt idx="154">
                  <c:v>42309</c:v>
                </c:pt>
                <c:pt idx="155">
                  <c:v>42339</c:v>
                </c:pt>
                <c:pt idx="156">
                  <c:v>42370</c:v>
                </c:pt>
                <c:pt idx="157">
                  <c:v>42401</c:v>
                </c:pt>
                <c:pt idx="158">
                  <c:v>42430</c:v>
                </c:pt>
                <c:pt idx="159">
                  <c:v>42461</c:v>
                </c:pt>
                <c:pt idx="160">
                  <c:v>42491</c:v>
                </c:pt>
                <c:pt idx="161">
                  <c:v>42522</c:v>
                </c:pt>
                <c:pt idx="162">
                  <c:v>42552</c:v>
                </c:pt>
                <c:pt idx="163">
                  <c:v>42583</c:v>
                </c:pt>
                <c:pt idx="164">
                  <c:v>42614</c:v>
                </c:pt>
                <c:pt idx="165">
                  <c:v>42644</c:v>
                </c:pt>
                <c:pt idx="166">
                  <c:v>42675</c:v>
                </c:pt>
                <c:pt idx="167">
                  <c:v>42705</c:v>
                </c:pt>
                <c:pt idx="168">
                  <c:v>42736</c:v>
                </c:pt>
                <c:pt idx="169">
                  <c:v>42767</c:v>
                </c:pt>
                <c:pt idx="170">
                  <c:v>42795</c:v>
                </c:pt>
                <c:pt idx="171">
                  <c:v>42826</c:v>
                </c:pt>
                <c:pt idx="172">
                  <c:v>42856</c:v>
                </c:pt>
                <c:pt idx="173">
                  <c:v>42887</c:v>
                </c:pt>
                <c:pt idx="174">
                  <c:v>42917</c:v>
                </c:pt>
                <c:pt idx="175">
                  <c:v>42948</c:v>
                </c:pt>
                <c:pt idx="176">
                  <c:v>42979</c:v>
                </c:pt>
                <c:pt idx="177">
                  <c:v>43009</c:v>
                </c:pt>
                <c:pt idx="178">
                  <c:v>43040</c:v>
                </c:pt>
                <c:pt idx="179">
                  <c:v>43070</c:v>
                </c:pt>
                <c:pt idx="180">
                  <c:v>43101</c:v>
                </c:pt>
                <c:pt idx="181">
                  <c:v>43132</c:v>
                </c:pt>
                <c:pt idx="182">
                  <c:v>43160</c:v>
                </c:pt>
                <c:pt idx="183">
                  <c:v>43191</c:v>
                </c:pt>
                <c:pt idx="184">
                  <c:v>43221</c:v>
                </c:pt>
                <c:pt idx="185">
                  <c:v>43252</c:v>
                </c:pt>
                <c:pt idx="186">
                  <c:v>43282</c:v>
                </c:pt>
                <c:pt idx="187">
                  <c:v>43313</c:v>
                </c:pt>
                <c:pt idx="188">
                  <c:v>43344</c:v>
                </c:pt>
                <c:pt idx="189">
                  <c:v>43374</c:v>
                </c:pt>
                <c:pt idx="190">
                  <c:v>43405</c:v>
                </c:pt>
                <c:pt idx="191">
                  <c:v>43435</c:v>
                </c:pt>
                <c:pt idx="192">
                  <c:v>43466</c:v>
                </c:pt>
                <c:pt idx="193">
                  <c:v>43497</c:v>
                </c:pt>
                <c:pt idx="194">
                  <c:v>43525</c:v>
                </c:pt>
                <c:pt idx="195">
                  <c:v>43556</c:v>
                </c:pt>
                <c:pt idx="196">
                  <c:v>43586</c:v>
                </c:pt>
                <c:pt idx="197">
                  <c:v>43617</c:v>
                </c:pt>
                <c:pt idx="198">
                  <c:v>43647</c:v>
                </c:pt>
                <c:pt idx="199">
                  <c:v>43678</c:v>
                </c:pt>
                <c:pt idx="200">
                  <c:v>43709</c:v>
                </c:pt>
                <c:pt idx="201">
                  <c:v>43739</c:v>
                </c:pt>
                <c:pt idx="202">
                  <c:v>43770</c:v>
                </c:pt>
                <c:pt idx="203">
                  <c:v>43800</c:v>
                </c:pt>
                <c:pt idx="204">
                  <c:v>43831</c:v>
                </c:pt>
                <c:pt idx="205">
                  <c:v>43862</c:v>
                </c:pt>
                <c:pt idx="206">
                  <c:v>43891</c:v>
                </c:pt>
                <c:pt idx="207">
                  <c:v>43922</c:v>
                </c:pt>
                <c:pt idx="208">
                  <c:v>43952</c:v>
                </c:pt>
                <c:pt idx="209">
                  <c:v>43983</c:v>
                </c:pt>
                <c:pt idx="210">
                  <c:v>44013</c:v>
                </c:pt>
                <c:pt idx="211">
                  <c:v>44044</c:v>
                </c:pt>
                <c:pt idx="212">
                  <c:v>44075</c:v>
                </c:pt>
                <c:pt idx="213">
                  <c:v>44105</c:v>
                </c:pt>
                <c:pt idx="214">
                  <c:v>44136</c:v>
                </c:pt>
                <c:pt idx="215">
                  <c:v>44166</c:v>
                </c:pt>
                <c:pt idx="216">
                  <c:v>44197</c:v>
                </c:pt>
                <c:pt idx="217">
                  <c:v>44228</c:v>
                </c:pt>
                <c:pt idx="218">
                  <c:v>44256</c:v>
                </c:pt>
                <c:pt idx="219">
                  <c:v>44287</c:v>
                </c:pt>
              </c:numCache>
            </c:numRef>
          </c:cat>
          <c:val>
            <c:numRef>
              <c:f>'Step-by-Step'!$J$7:$J$223</c:f>
              <c:numCache>
                <c:formatCode>0.0%</c:formatCode>
                <c:ptCount val="217"/>
                <c:pt idx="0">
                  <c:v>1.0746776622437837E-2</c:v>
                </c:pt>
                <c:pt idx="1">
                  <c:v>2.2740486084882328E-2</c:v>
                </c:pt>
                <c:pt idx="2">
                  <c:v>-3.848808790006486E-2</c:v>
                </c:pt>
                <c:pt idx="3">
                  <c:v>-2.3097327645332788E-3</c:v>
                </c:pt>
                <c:pt idx="4">
                  <c:v>4.0259606245189872E-3</c:v>
                </c:pt>
                <c:pt idx="5">
                  <c:v>-1.3566899841879643E-2</c:v>
                </c:pt>
                <c:pt idx="6">
                  <c:v>9.7550809350785972E-3</c:v>
                </c:pt>
                <c:pt idx="7">
                  <c:v>-1.7527924186026889E-2</c:v>
                </c:pt>
                <c:pt idx="8">
                  <c:v>7.310980950191448E-3</c:v>
                </c:pt>
                <c:pt idx="9">
                  <c:v>2.9218032891931811E-2</c:v>
                </c:pt>
                <c:pt idx="10">
                  <c:v>1.6017420635188184E-3</c:v>
                </c:pt>
                <c:pt idx="11">
                  <c:v>5.0643009684712137E-3</c:v>
                </c:pt>
                <c:pt idx="12">
                  <c:v>3.0448550229031923E-3</c:v>
                </c:pt>
                <c:pt idx="13">
                  <c:v>6.7509837790868943E-3</c:v>
                </c:pt>
                <c:pt idx="14">
                  <c:v>6.7945959009452217E-3</c:v>
                </c:pt>
                <c:pt idx="15">
                  <c:v>-3.2354306576326541E-3</c:v>
                </c:pt>
                <c:pt idx="16">
                  <c:v>-5.3240800077111183E-3</c:v>
                </c:pt>
                <c:pt idx="17">
                  <c:v>9.3638556325204014E-4</c:v>
                </c:pt>
                <c:pt idx="18">
                  <c:v>5.0156058383310498E-3</c:v>
                </c:pt>
                <c:pt idx="19">
                  <c:v>-1.1172125862896176E-2</c:v>
                </c:pt>
                <c:pt idx="20">
                  <c:v>-3.6598023875787922E-3</c:v>
                </c:pt>
                <c:pt idx="21">
                  <c:v>-1.4355574144013783E-3</c:v>
                </c:pt>
                <c:pt idx="22">
                  <c:v>7.7640703330583705E-4</c:v>
                </c:pt>
                <c:pt idx="23">
                  <c:v>1.1751898923540338E-2</c:v>
                </c:pt>
                <c:pt idx="24">
                  <c:v>-7.8823186397173339E-3</c:v>
                </c:pt>
                <c:pt idx="25">
                  <c:v>-2.4497946015072936E-3</c:v>
                </c:pt>
                <c:pt idx="26">
                  <c:v>-1.3683521935443643E-3</c:v>
                </c:pt>
                <c:pt idx="27">
                  <c:v>4.4149783371936202E-3</c:v>
                </c:pt>
                <c:pt idx="28">
                  <c:v>-4.1543093061535696E-3</c:v>
                </c:pt>
                <c:pt idx="29">
                  <c:v>1.0405825458049689E-2</c:v>
                </c:pt>
                <c:pt idx="30">
                  <c:v>-8.0622088541124626E-3</c:v>
                </c:pt>
                <c:pt idx="31">
                  <c:v>1.0528650962613462E-3</c:v>
                </c:pt>
                <c:pt idx="32">
                  <c:v>-4.9043968669315596E-4</c:v>
                </c:pt>
                <c:pt idx="33">
                  <c:v>-3.1550697050063414E-3</c:v>
                </c:pt>
                <c:pt idx="34">
                  <c:v>-6.2900929420384166E-4</c:v>
                </c:pt>
                <c:pt idx="35">
                  <c:v>1.2895851335837705E-2</c:v>
                </c:pt>
                <c:pt idx="36">
                  <c:v>3.5714853930290946E-3</c:v>
                </c:pt>
                <c:pt idx="37">
                  <c:v>2.4015359838556183E-3</c:v>
                </c:pt>
                <c:pt idx="38">
                  <c:v>5.3477682596931864E-3</c:v>
                </c:pt>
                <c:pt idx="39">
                  <c:v>-1.8403897535180791E-2</c:v>
                </c:pt>
                <c:pt idx="40">
                  <c:v>9.5664955765579762E-3</c:v>
                </c:pt>
                <c:pt idx="41">
                  <c:v>-1.3508677104259181E-3</c:v>
                </c:pt>
                <c:pt idx="42">
                  <c:v>-1.1360088717930705E-2</c:v>
                </c:pt>
                <c:pt idx="43">
                  <c:v>5.0417578311749978E-3</c:v>
                </c:pt>
                <c:pt idx="44">
                  <c:v>-5.7772904270804171E-3</c:v>
                </c:pt>
                <c:pt idx="45">
                  <c:v>2.4611691827221005E-3</c:v>
                </c:pt>
                <c:pt idx="46">
                  <c:v>-1.4699043226381603E-3</c:v>
                </c:pt>
                <c:pt idx="47">
                  <c:v>-7.6631421673646338E-3</c:v>
                </c:pt>
                <c:pt idx="48">
                  <c:v>4.8532624957982051E-3</c:v>
                </c:pt>
                <c:pt idx="49">
                  <c:v>-4.8029455729360349E-3</c:v>
                </c:pt>
                <c:pt idx="50">
                  <c:v>7.6554746596195766E-3</c:v>
                </c:pt>
                <c:pt idx="51">
                  <c:v>-8.8664226506769417E-3</c:v>
                </c:pt>
                <c:pt idx="52">
                  <c:v>9.3399254766401985E-3</c:v>
                </c:pt>
                <c:pt idx="53">
                  <c:v>-7.3031658799385113E-3</c:v>
                </c:pt>
                <c:pt idx="54">
                  <c:v>-5.5436698087135694E-3</c:v>
                </c:pt>
                <c:pt idx="55">
                  <c:v>7.3355691090544184E-3</c:v>
                </c:pt>
                <c:pt idx="56">
                  <c:v>-1.8314151743539009E-2</c:v>
                </c:pt>
                <c:pt idx="57">
                  <c:v>1.2474334372143403E-2</c:v>
                </c:pt>
                <c:pt idx="58">
                  <c:v>-2.544083437490019E-3</c:v>
                </c:pt>
                <c:pt idx="59">
                  <c:v>-1.3313828924294779E-2</c:v>
                </c:pt>
                <c:pt idx="60">
                  <c:v>3.9060759175915116E-3</c:v>
                </c:pt>
                <c:pt idx="61">
                  <c:v>1.083543299992118E-2</c:v>
                </c:pt>
                <c:pt idx="62">
                  <c:v>-1.5865106217728409E-2</c:v>
                </c:pt>
                <c:pt idx="63">
                  <c:v>1.4111752856220239E-2</c:v>
                </c:pt>
                <c:pt idx="64">
                  <c:v>-7.4509458915005267E-3</c:v>
                </c:pt>
                <c:pt idx="65">
                  <c:v>-3.4126529090320323E-3</c:v>
                </c:pt>
                <c:pt idx="66">
                  <c:v>8.1582277503358114E-3</c:v>
                </c:pt>
                <c:pt idx="67">
                  <c:v>-8.4944128159143428E-3</c:v>
                </c:pt>
                <c:pt idx="68">
                  <c:v>8.7184568861387035E-3</c:v>
                </c:pt>
                <c:pt idx="69">
                  <c:v>2.4712602603800926E-2</c:v>
                </c:pt>
                <c:pt idx="70">
                  <c:v>-3.4447570973852315E-3</c:v>
                </c:pt>
                <c:pt idx="71">
                  <c:v>7.0685131246794874E-3</c:v>
                </c:pt>
                <c:pt idx="72">
                  <c:v>5.6815158928755771E-3</c:v>
                </c:pt>
                <c:pt idx="73">
                  <c:v>-6.0021713594811121E-3</c:v>
                </c:pt>
                <c:pt idx="74">
                  <c:v>2.405060604164122E-3</c:v>
                </c:pt>
                <c:pt idx="75">
                  <c:v>-1.4098991570793418E-3</c:v>
                </c:pt>
                <c:pt idx="76">
                  <c:v>-8.0036076508968046E-3</c:v>
                </c:pt>
                <c:pt idx="77">
                  <c:v>-1.2046378690774295E-3</c:v>
                </c:pt>
                <c:pt idx="78">
                  <c:v>4.5286015568077875E-3</c:v>
                </c:pt>
                <c:pt idx="79">
                  <c:v>-1.1919608645587942E-2</c:v>
                </c:pt>
                <c:pt idx="80">
                  <c:v>-4.6748151155184825E-4</c:v>
                </c:pt>
                <c:pt idx="81">
                  <c:v>8.3183310266778943E-3</c:v>
                </c:pt>
                <c:pt idx="82">
                  <c:v>-4.3717355990783302E-3</c:v>
                </c:pt>
                <c:pt idx="83">
                  <c:v>6.6594547079488198E-3</c:v>
                </c:pt>
                <c:pt idx="84">
                  <c:v>-6.9838701575710704E-3</c:v>
                </c:pt>
                <c:pt idx="85">
                  <c:v>-1.0970033345638841E-2</c:v>
                </c:pt>
                <c:pt idx="86">
                  <c:v>1.7992978166237128E-2</c:v>
                </c:pt>
                <c:pt idx="87">
                  <c:v>1.5844033322707229E-3</c:v>
                </c:pt>
                <c:pt idx="88">
                  <c:v>-4.8427324366967506E-3</c:v>
                </c:pt>
                <c:pt idx="89">
                  <c:v>1.4473430655161934E-3</c:v>
                </c:pt>
                <c:pt idx="90">
                  <c:v>1.3339243457279881E-3</c:v>
                </c:pt>
                <c:pt idx="91">
                  <c:v>-4.0029854800887055E-3</c:v>
                </c:pt>
                <c:pt idx="92">
                  <c:v>-4.3802318408792118E-3</c:v>
                </c:pt>
                <c:pt idx="93">
                  <c:v>-8.055919606067441E-3</c:v>
                </c:pt>
                <c:pt idx="94">
                  <c:v>-3.9029170253759293E-3</c:v>
                </c:pt>
                <c:pt idx="95">
                  <c:v>1.0030464251511884E-2</c:v>
                </c:pt>
                <c:pt idx="96">
                  <c:v>-4.3353922025691771E-3</c:v>
                </c:pt>
                <c:pt idx="97">
                  <c:v>8.9738270855479474E-3</c:v>
                </c:pt>
                <c:pt idx="98">
                  <c:v>-2.2940599902581127E-3</c:v>
                </c:pt>
                <c:pt idx="99">
                  <c:v>-3.3828212333925078E-3</c:v>
                </c:pt>
                <c:pt idx="100">
                  <c:v>7.3372043389654529E-3</c:v>
                </c:pt>
                <c:pt idx="101">
                  <c:v>1.3619025207769475E-3</c:v>
                </c:pt>
                <c:pt idx="102">
                  <c:v>-9.0583428663640886E-3</c:v>
                </c:pt>
                <c:pt idx="103">
                  <c:v>7.6595671959078793E-3</c:v>
                </c:pt>
                <c:pt idx="104">
                  <c:v>-1.9156072469356245E-3</c:v>
                </c:pt>
                <c:pt idx="105">
                  <c:v>-1.2127031197958993E-2</c:v>
                </c:pt>
                <c:pt idx="106">
                  <c:v>-3.0283830405926082E-3</c:v>
                </c:pt>
                <c:pt idx="107">
                  <c:v>1.0805075926069607E-2</c:v>
                </c:pt>
                <c:pt idx="108">
                  <c:v>7.8941537937446959E-3</c:v>
                </c:pt>
                <c:pt idx="109">
                  <c:v>4.9971012371137213E-3</c:v>
                </c:pt>
                <c:pt idx="110">
                  <c:v>1.5759111314114449E-2</c:v>
                </c:pt>
                <c:pt idx="111">
                  <c:v>-5.0840822822695309E-3</c:v>
                </c:pt>
                <c:pt idx="112">
                  <c:v>7.1150530884658281E-3</c:v>
                </c:pt>
                <c:pt idx="113">
                  <c:v>-2.7399665160711129E-3</c:v>
                </c:pt>
                <c:pt idx="114">
                  <c:v>-4.1620485712259292E-3</c:v>
                </c:pt>
                <c:pt idx="115">
                  <c:v>8.7702203243364973E-3</c:v>
                </c:pt>
                <c:pt idx="116">
                  <c:v>-1.8610458236479333E-2</c:v>
                </c:pt>
                <c:pt idx="117">
                  <c:v>2.5522126354269314E-3</c:v>
                </c:pt>
                <c:pt idx="118">
                  <c:v>-2.0486956932423972E-3</c:v>
                </c:pt>
                <c:pt idx="119">
                  <c:v>-1.5091898632889067E-2</c:v>
                </c:pt>
                <c:pt idx="120">
                  <c:v>6.2964790288988493E-3</c:v>
                </c:pt>
                <c:pt idx="121">
                  <c:v>-1.3349591630192004E-2</c:v>
                </c:pt>
                <c:pt idx="122">
                  <c:v>-7.0347024095914756E-3</c:v>
                </c:pt>
                <c:pt idx="123">
                  <c:v>2.5272351519508129E-2</c:v>
                </c:pt>
                <c:pt idx="124">
                  <c:v>-3.0862582183639464E-3</c:v>
                </c:pt>
                <c:pt idx="125">
                  <c:v>-3.3000200297506055E-3</c:v>
                </c:pt>
                <c:pt idx="126">
                  <c:v>8.0404570347067938E-3</c:v>
                </c:pt>
                <c:pt idx="127">
                  <c:v>4.2982321984779137E-3</c:v>
                </c:pt>
                <c:pt idx="128">
                  <c:v>-8.9681588934094059E-3</c:v>
                </c:pt>
                <c:pt idx="129">
                  <c:v>8.0107710144006194E-3</c:v>
                </c:pt>
                <c:pt idx="130">
                  <c:v>-8.556130853407673E-4</c:v>
                </c:pt>
                <c:pt idx="131">
                  <c:v>-6.3326503714237203E-3</c:v>
                </c:pt>
                <c:pt idx="132">
                  <c:v>5.1581271960876585E-3</c:v>
                </c:pt>
                <c:pt idx="133">
                  <c:v>9.0176504383103762E-3</c:v>
                </c:pt>
                <c:pt idx="134">
                  <c:v>-2.102862894092572E-2</c:v>
                </c:pt>
                <c:pt idx="135">
                  <c:v>4.8145926688349938E-3</c:v>
                </c:pt>
                <c:pt idx="136">
                  <c:v>3.438104984910817E-3</c:v>
                </c:pt>
                <c:pt idx="137">
                  <c:v>-1.1953955786870529E-2</c:v>
                </c:pt>
                <c:pt idx="138">
                  <c:v>9.8391906649737404E-3</c:v>
                </c:pt>
                <c:pt idx="139">
                  <c:v>-7.138286090262902E-3</c:v>
                </c:pt>
                <c:pt idx="140">
                  <c:v>1.0385465348328626E-2</c:v>
                </c:pt>
                <c:pt idx="141">
                  <c:v>1.0971938147174454E-2</c:v>
                </c:pt>
                <c:pt idx="142">
                  <c:v>8.0808417347011385E-4</c:v>
                </c:pt>
                <c:pt idx="143">
                  <c:v>5.5598917439125817E-3</c:v>
                </c:pt>
                <c:pt idx="144">
                  <c:v>1.7704749265878839E-4</c:v>
                </c:pt>
                <c:pt idx="145">
                  <c:v>-1.0965449232229418E-2</c:v>
                </c:pt>
                <c:pt idx="146">
                  <c:v>8.2292517126034692E-3</c:v>
                </c:pt>
                <c:pt idx="147">
                  <c:v>-2.2767868093707122E-3</c:v>
                </c:pt>
                <c:pt idx="148">
                  <c:v>-8.0251645846758368E-3</c:v>
                </c:pt>
                <c:pt idx="149">
                  <c:v>-1.0279136830482205E-3</c:v>
                </c:pt>
                <c:pt idx="150">
                  <c:v>9.2126332334199201E-3</c:v>
                </c:pt>
                <c:pt idx="151">
                  <c:v>-1.0487155287918437E-2</c:v>
                </c:pt>
                <c:pt idx="152">
                  <c:v>3.8740998911968028E-3</c:v>
                </c:pt>
                <c:pt idx="153">
                  <c:v>-4.8466355104751502E-3</c:v>
                </c:pt>
                <c:pt idx="154">
                  <c:v>2.4195531433797157E-3</c:v>
                </c:pt>
                <c:pt idx="155">
                  <c:v>9.0267432475368281E-3</c:v>
                </c:pt>
                <c:pt idx="156">
                  <c:v>-9.322241917107954E-3</c:v>
                </c:pt>
                <c:pt idx="157">
                  <c:v>8.3493827428318124E-3</c:v>
                </c:pt>
                <c:pt idx="158">
                  <c:v>6.1043653374701634E-3</c:v>
                </c:pt>
                <c:pt idx="159">
                  <c:v>2.7509727164185538E-3</c:v>
                </c:pt>
                <c:pt idx="160">
                  <c:v>-4.1347075589979188E-3</c:v>
                </c:pt>
                <c:pt idx="161">
                  <c:v>1.0725062088122295E-2</c:v>
                </c:pt>
                <c:pt idx="162">
                  <c:v>-7.6835224327931329E-3</c:v>
                </c:pt>
                <c:pt idx="163">
                  <c:v>6.7084252834055391E-3</c:v>
                </c:pt>
                <c:pt idx="164">
                  <c:v>3.8320522005230728E-3</c:v>
                </c:pt>
                <c:pt idx="165">
                  <c:v>-1.9164045329037704E-2</c:v>
                </c:pt>
                <c:pt idx="166">
                  <c:v>3.0751925013074999E-3</c:v>
                </c:pt>
                <c:pt idx="167">
                  <c:v>1.5669677965282292E-2</c:v>
                </c:pt>
                <c:pt idx="168">
                  <c:v>6.0386782157777485E-3</c:v>
                </c:pt>
                <c:pt idx="169">
                  <c:v>-2.8184674137635701E-3</c:v>
                </c:pt>
                <c:pt idx="170">
                  <c:v>9.4703180113746566E-3</c:v>
                </c:pt>
                <c:pt idx="171">
                  <c:v>-2.3125485680649538E-2</c:v>
                </c:pt>
                <c:pt idx="172">
                  <c:v>6.8969639621727641E-3</c:v>
                </c:pt>
                <c:pt idx="173">
                  <c:v>6.4321834785552312E-4</c:v>
                </c:pt>
                <c:pt idx="174">
                  <c:v>-8.2946453856869162E-3</c:v>
                </c:pt>
                <c:pt idx="175">
                  <c:v>8.9932703747841458E-3</c:v>
                </c:pt>
                <c:pt idx="176">
                  <c:v>1.5508139887492334E-3</c:v>
                </c:pt>
                <c:pt idx="177">
                  <c:v>-1.0496193281489652E-2</c:v>
                </c:pt>
                <c:pt idx="178">
                  <c:v>2.989028636512181E-3</c:v>
                </c:pt>
                <c:pt idx="179">
                  <c:v>-4.2536540218768293E-3</c:v>
                </c:pt>
                <c:pt idx="180">
                  <c:v>5.9617610382656228E-3</c:v>
                </c:pt>
                <c:pt idx="181">
                  <c:v>-9.8987754402933836E-3</c:v>
                </c:pt>
                <c:pt idx="182">
                  <c:v>-5.0509312337240209E-3</c:v>
                </c:pt>
                <c:pt idx="183">
                  <c:v>-3.1642280246433341E-3</c:v>
                </c:pt>
                <c:pt idx="184">
                  <c:v>-8.9659982785388337E-3</c:v>
                </c:pt>
                <c:pt idx="185">
                  <c:v>8.4163425735674924E-3</c:v>
                </c:pt>
                <c:pt idx="186">
                  <c:v>-6.1909461473996785E-4</c:v>
                </c:pt>
                <c:pt idx="187">
                  <c:v>9.7970264899307491E-3</c:v>
                </c:pt>
                <c:pt idx="188">
                  <c:v>-6.9206647097971308E-3</c:v>
                </c:pt>
                <c:pt idx="189">
                  <c:v>2.4735742622357115E-3</c:v>
                </c:pt>
                <c:pt idx="190">
                  <c:v>2.6689206297563217E-3</c:v>
                </c:pt>
                <c:pt idx="191">
                  <c:v>-9.1980660860153662E-3</c:v>
                </c:pt>
                <c:pt idx="192">
                  <c:v>3.5061518777264045E-3</c:v>
                </c:pt>
                <c:pt idx="193">
                  <c:v>1.051902440067809E-2</c:v>
                </c:pt>
                <c:pt idx="194">
                  <c:v>-3.0583526543102479E-2</c:v>
                </c:pt>
                <c:pt idx="195">
                  <c:v>2.015336591707495E-3</c:v>
                </c:pt>
                <c:pt idx="196">
                  <c:v>5.4743010457736219E-4</c:v>
                </c:pt>
                <c:pt idx="197">
                  <c:v>-1.2620243701128131E-2</c:v>
                </c:pt>
                <c:pt idx="198">
                  <c:v>1.1041797366972306E-2</c:v>
                </c:pt>
                <c:pt idx="199">
                  <c:v>6.7672420607831629E-3</c:v>
                </c:pt>
                <c:pt idx="200">
                  <c:v>5.2346496346680205E-3</c:v>
                </c:pt>
                <c:pt idx="201">
                  <c:v>1.1466321133532853E-2</c:v>
                </c:pt>
                <c:pt idx="202">
                  <c:v>2.1866521055977639E-3</c:v>
                </c:pt>
                <c:pt idx="203">
                  <c:v>-1.0095380622463512E-3</c:v>
                </c:pt>
                <c:pt idx="204">
                  <c:v>4.3146062110421823E-3</c:v>
                </c:pt>
                <c:pt idx="205">
                  <c:v>-9.5316571252956894E-4</c:v>
                </c:pt>
                <c:pt idx="206">
                  <c:v>-6.6608884874951313E-3</c:v>
                </c:pt>
                <c:pt idx="207">
                  <c:v>-1.1201395938819303E-2</c:v>
                </c:pt>
                <c:pt idx="208">
                  <c:v>-1.8179375547203058E-2</c:v>
                </c:pt>
                <c:pt idx="209">
                  <c:v>6.845525205114944E-3</c:v>
                </c:pt>
                <c:pt idx="210">
                  <c:v>1.006995872282479E-2</c:v>
                </c:pt>
                <c:pt idx="211">
                  <c:v>-4.7245965568393222E-3</c:v>
                </c:pt>
                <c:pt idx="212">
                  <c:v>1.7700298592338903E-2</c:v>
                </c:pt>
                <c:pt idx="213">
                  <c:v>1.1900937336970507E-3</c:v>
                </c:pt>
                <c:pt idx="214">
                  <c:v>1.8676004514330824E-3</c:v>
                </c:pt>
                <c:pt idx="215">
                  <c:v>1.1131270189686848E-2</c:v>
                </c:pt>
                <c:pt idx="216">
                  <c:v>-1.17210257751168E-2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2-404D-8DF3-066A3307EBC9}"/>
            </c:ext>
          </c:extLst>
        </c:ser>
        <c:ser>
          <c:idx val="3"/>
          <c:order val="1"/>
          <c:tx>
            <c:strRef>
              <c:f>'Step-by-Step'!$K$6</c:f>
              <c:strCache>
                <c:ptCount val="1"/>
                <c:pt idx="0">
                  <c:v>Depec Spec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'Step-by-Step'!$A$7:$A$226</c:f>
              <c:numCache>
                <c:formatCode>mmm\-yy</c:formatCode>
                <c:ptCount val="220"/>
                <c:pt idx="0">
                  <c:v>37622</c:v>
                </c:pt>
                <c:pt idx="1">
                  <c:v>37653</c:v>
                </c:pt>
                <c:pt idx="2">
                  <c:v>37681</c:v>
                </c:pt>
                <c:pt idx="3">
                  <c:v>37712</c:v>
                </c:pt>
                <c:pt idx="4">
                  <c:v>37742</c:v>
                </c:pt>
                <c:pt idx="5">
                  <c:v>37773</c:v>
                </c:pt>
                <c:pt idx="6">
                  <c:v>37803</c:v>
                </c:pt>
                <c:pt idx="7">
                  <c:v>37834</c:v>
                </c:pt>
                <c:pt idx="8">
                  <c:v>37865</c:v>
                </c:pt>
                <c:pt idx="9">
                  <c:v>37895</c:v>
                </c:pt>
                <c:pt idx="10">
                  <c:v>37926</c:v>
                </c:pt>
                <c:pt idx="11">
                  <c:v>37956</c:v>
                </c:pt>
                <c:pt idx="12">
                  <c:v>37987</c:v>
                </c:pt>
                <c:pt idx="13">
                  <c:v>38018</c:v>
                </c:pt>
                <c:pt idx="14">
                  <c:v>38047</c:v>
                </c:pt>
                <c:pt idx="15">
                  <c:v>38078</c:v>
                </c:pt>
                <c:pt idx="16">
                  <c:v>38108</c:v>
                </c:pt>
                <c:pt idx="17">
                  <c:v>38139</c:v>
                </c:pt>
                <c:pt idx="18">
                  <c:v>38169</c:v>
                </c:pt>
                <c:pt idx="19">
                  <c:v>38200</c:v>
                </c:pt>
                <c:pt idx="20">
                  <c:v>38231</c:v>
                </c:pt>
                <c:pt idx="21">
                  <c:v>38261</c:v>
                </c:pt>
                <c:pt idx="22">
                  <c:v>38292</c:v>
                </c:pt>
                <c:pt idx="23">
                  <c:v>38322</c:v>
                </c:pt>
                <c:pt idx="24">
                  <c:v>38353</c:v>
                </c:pt>
                <c:pt idx="25">
                  <c:v>38384</c:v>
                </c:pt>
                <c:pt idx="26">
                  <c:v>38412</c:v>
                </c:pt>
                <c:pt idx="27">
                  <c:v>38443</c:v>
                </c:pt>
                <c:pt idx="28">
                  <c:v>38473</c:v>
                </c:pt>
                <c:pt idx="29">
                  <c:v>38504</c:v>
                </c:pt>
                <c:pt idx="30">
                  <c:v>38534</c:v>
                </c:pt>
                <c:pt idx="31">
                  <c:v>38565</c:v>
                </c:pt>
                <c:pt idx="32">
                  <c:v>38596</c:v>
                </c:pt>
                <c:pt idx="33">
                  <c:v>38626</c:v>
                </c:pt>
                <c:pt idx="34">
                  <c:v>38657</c:v>
                </c:pt>
                <c:pt idx="35">
                  <c:v>38687</c:v>
                </c:pt>
                <c:pt idx="36">
                  <c:v>38718</c:v>
                </c:pt>
                <c:pt idx="37">
                  <c:v>38749</c:v>
                </c:pt>
                <c:pt idx="38">
                  <c:v>38777</c:v>
                </c:pt>
                <c:pt idx="39">
                  <c:v>38808</c:v>
                </c:pt>
                <c:pt idx="40">
                  <c:v>38838</c:v>
                </c:pt>
                <c:pt idx="41">
                  <c:v>38869</c:v>
                </c:pt>
                <c:pt idx="42">
                  <c:v>38899</c:v>
                </c:pt>
                <c:pt idx="43">
                  <c:v>38930</c:v>
                </c:pt>
                <c:pt idx="44">
                  <c:v>38961</c:v>
                </c:pt>
                <c:pt idx="45">
                  <c:v>38991</c:v>
                </c:pt>
                <c:pt idx="46">
                  <c:v>39022</c:v>
                </c:pt>
                <c:pt idx="47">
                  <c:v>39052</c:v>
                </c:pt>
                <c:pt idx="48">
                  <c:v>39083</c:v>
                </c:pt>
                <c:pt idx="49">
                  <c:v>39114</c:v>
                </c:pt>
                <c:pt idx="50">
                  <c:v>39142</c:v>
                </c:pt>
                <c:pt idx="51">
                  <c:v>39173</c:v>
                </c:pt>
                <c:pt idx="52">
                  <c:v>39203</c:v>
                </c:pt>
                <c:pt idx="53">
                  <c:v>39234</c:v>
                </c:pt>
                <c:pt idx="54">
                  <c:v>39264</c:v>
                </c:pt>
                <c:pt idx="55">
                  <c:v>39295</c:v>
                </c:pt>
                <c:pt idx="56">
                  <c:v>39326</c:v>
                </c:pt>
                <c:pt idx="57">
                  <c:v>39356</c:v>
                </c:pt>
                <c:pt idx="58">
                  <c:v>39387</c:v>
                </c:pt>
                <c:pt idx="59">
                  <c:v>39417</c:v>
                </c:pt>
                <c:pt idx="60">
                  <c:v>39448</c:v>
                </c:pt>
                <c:pt idx="61">
                  <c:v>39479</c:v>
                </c:pt>
                <c:pt idx="62">
                  <c:v>39508</c:v>
                </c:pt>
                <c:pt idx="63">
                  <c:v>39539</c:v>
                </c:pt>
                <c:pt idx="64">
                  <c:v>39569</c:v>
                </c:pt>
                <c:pt idx="65">
                  <c:v>39600</c:v>
                </c:pt>
                <c:pt idx="66">
                  <c:v>39630</c:v>
                </c:pt>
                <c:pt idx="67">
                  <c:v>39661</c:v>
                </c:pt>
                <c:pt idx="68">
                  <c:v>39692</c:v>
                </c:pt>
                <c:pt idx="69">
                  <c:v>39722</c:v>
                </c:pt>
                <c:pt idx="70">
                  <c:v>39753</c:v>
                </c:pt>
                <c:pt idx="71">
                  <c:v>39783</c:v>
                </c:pt>
                <c:pt idx="72">
                  <c:v>39814</c:v>
                </c:pt>
                <c:pt idx="73">
                  <c:v>39845</c:v>
                </c:pt>
                <c:pt idx="74">
                  <c:v>39873</c:v>
                </c:pt>
                <c:pt idx="75">
                  <c:v>39904</c:v>
                </c:pt>
                <c:pt idx="76">
                  <c:v>39934</c:v>
                </c:pt>
                <c:pt idx="77">
                  <c:v>39965</c:v>
                </c:pt>
                <c:pt idx="78">
                  <c:v>39995</c:v>
                </c:pt>
                <c:pt idx="79">
                  <c:v>40026</c:v>
                </c:pt>
                <c:pt idx="80">
                  <c:v>40057</c:v>
                </c:pt>
                <c:pt idx="81">
                  <c:v>40087</c:v>
                </c:pt>
                <c:pt idx="82">
                  <c:v>40118</c:v>
                </c:pt>
                <c:pt idx="83">
                  <c:v>40148</c:v>
                </c:pt>
                <c:pt idx="84">
                  <c:v>40179</c:v>
                </c:pt>
                <c:pt idx="85">
                  <c:v>40210</c:v>
                </c:pt>
                <c:pt idx="86">
                  <c:v>40238</c:v>
                </c:pt>
                <c:pt idx="87">
                  <c:v>40269</c:v>
                </c:pt>
                <c:pt idx="88">
                  <c:v>40299</c:v>
                </c:pt>
                <c:pt idx="89">
                  <c:v>40330</c:v>
                </c:pt>
                <c:pt idx="90">
                  <c:v>40360</c:v>
                </c:pt>
                <c:pt idx="91">
                  <c:v>40391</c:v>
                </c:pt>
                <c:pt idx="92">
                  <c:v>40422</c:v>
                </c:pt>
                <c:pt idx="93">
                  <c:v>40452</c:v>
                </c:pt>
                <c:pt idx="94">
                  <c:v>40483</c:v>
                </c:pt>
                <c:pt idx="95">
                  <c:v>40513</c:v>
                </c:pt>
                <c:pt idx="96">
                  <c:v>40544</c:v>
                </c:pt>
                <c:pt idx="97">
                  <c:v>40575</c:v>
                </c:pt>
                <c:pt idx="98">
                  <c:v>40603</c:v>
                </c:pt>
                <c:pt idx="99">
                  <c:v>40634</c:v>
                </c:pt>
                <c:pt idx="100">
                  <c:v>40664</c:v>
                </c:pt>
                <c:pt idx="101">
                  <c:v>40695</c:v>
                </c:pt>
                <c:pt idx="102">
                  <c:v>40725</c:v>
                </c:pt>
                <c:pt idx="103">
                  <c:v>40756</c:v>
                </c:pt>
                <c:pt idx="104">
                  <c:v>40787</c:v>
                </c:pt>
                <c:pt idx="105">
                  <c:v>40817</c:v>
                </c:pt>
                <c:pt idx="106">
                  <c:v>40848</c:v>
                </c:pt>
                <c:pt idx="107">
                  <c:v>40878</c:v>
                </c:pt>
                <c:pt idx="108">
                  <c:v>40909</c:v>
                </c:pt>
                <c:pt idx="109">
                  <c:v>40940</c:v>
                </c:pt>
                <c:pt idx="110">
                  <c:v>40969</c:v>
                </c:pt>
                <c:pt idx="111">
                  <c:v>41000</c:v>
                </c:pt>
                <c:pt idx="112">
                  <c:v>41030</c:v>
                </c:pt>
                <c:pt idx="113">
                  <c:v>41061</c:v>
                </c:pt>
                <c:pt idx="114">
                  <c:v>41091</c:v>
                </c:pt>
                <c:pt idx="115">
                  <c:v>41122</c:v>
                </c:pt>
                <c:pt idx="116">
                  <c:v>41153</c:v>
                </c:pt>
                <c:pt idx="117">
                  <c:v>41183</c:v>
                </c:pt>
                <c:pt idx="118">
                  <c:v>41214</c:v>
                </c:pt>
                <c:pt idx="119">
                  <c:v>41244</c:v>
                </c:pt>
                <c:pt idx="120">
                  <c:v>41275</c:v>
                </c:pt>
                <c:pt idx="121">
                  <c:v>41306</c:v>
                </c:pt>
                <c:pt idx="122">
                  <c:v>41334</c:v>
                </c:pt>
                <c:pt idx="123">
                  <c:v>41365</c:v>
                </c:pt>
                <c:pt idx="124">
                  <c:v>41395</c:v>
                </c:pt>
                <c:pt idx="125">
                  <c:v>41426</c:v>
                </c:pt>
                <c:pt idx="126">
                  <c:v>41456</c:v>
                </c:pt>
                <c:pt idx="127">
                  <c:v>41487</c:v>
                </c:pt>
                <c:pt idx="128">
                  <c:v>41518</c:v>
                </c:pt>
                <c:pt idx="129">
                  <c:v>41548</c:v>
                </c:pt>
                <c:pt idx="130">
                  <c:v>41579</c:v>
                </c:pt>
                <c:pt idx="131">
                  <c:v>41609</c:v>
                </c:pt>
                <c:pt idx="132">
                  <c:v>41640</c:v>
                </c:pt>
                <c:pt idx="133">
                  <c:v>41671</c:v>
                </c:pt>
                <c:pt idx="134">
                  <c:v>41699</c:v>
                </c:pt>
                <c:pt idx="135">
                  <c:v>41730</c:v>
                </c:pt>
                <c:pt idx="136">
                  <c:v>41760</c:v>
                </c:pt>
                <c:pt idx="137">
                  <c:v>41791</c:v>
                </c:pt>
                <c:pt idx="138">
                  <c:v>41821</c:v>
                </c:pt>
                <c:pt idx="139">
                  <c:v>41852</c:v>
                </c:pt>
                <c:pt idx="140">
                  <c:v>41883</c:v>
                </c:pt>
                <c:pt idx="141">
                  <c:v>41913</c:v>
                </c:pt>
                <c:pt idx="142">
                  <c:v>41944</c:v>
                </c:pt>
                <c:pt idx="143">
                  <c:v>41974</c:v>
                </c:pt>
                <c:pt idx="144">
                  <c:v>42005</c:v>
                </c:pt>
                <c:pt idx="145">
                  <c:v>42036</c:v>
                </c:pt>
                <c:pt idx="146">
                  <c:v>42064</c:v>
                </c:pt>
                <c:pt idx="147">
                  <c:v>42095</c:v>
                </c:pt>
                <c:pt idx="148">
                  <c:v>42125</c:v>
                </c:pt>
                <c:pt idx="149">
                  <c:v>42156</c:v>
                </c:pt>
                <c:pt idx="150">
                  <c:v>42186</c:v>
                </c:pt>
                <c:pt idx="151">
                  <c:v>42217</c:v>
                </c:pt>
                <c:pt idx="152">
                  <c:v>42248</c:v>
                </c:pt>
                <c:pt idx="153">
                  <c:v>42278</c:v>
                </c:pt>
                <c:pt idx="154">
                  <c:v>42309</c:v>
                </c:pt>
                <c:pt idx="155">
                  <c:v>42339</c:v>
                </c:pt>
                <c:pt idx="156">
                  <c:v>42370</c:v>
                </c:pt>
                <c:pt idx="157">
                  <c:v>42401</c:v>
                </c:pt>
                <c:pt idx="158">
                  <c:v>42430</c:v>
                </c:pt>
                <c:pt idx="159">
                  <c:v>42461</c:v>
                </c:pt>
                <c:pt idx="160">
                  <c:v>42491</c:v>
                </c:pt>
                <c:pt idx="161">
                  <c:v>42522</c:v>
                </c:pt>
                <c:pt idx="162">
                  <c:v>42552</c:v>
                </c:pt>
                <c:pt idx="163">
                  <c:v>42583</c:v>
                </c:pt>
                <c:pt idx="164">
                  <c:v>42614</c:v>
                </c:pt>
                <c:pt idx="165">
                  <c:v>42644</c:v>
                </c:pt>
                <c:pt idx="166">
                  <c:v>42675</c:v>
                </c:pt>
                <c:pt idx="167">
                  <c:v>42705</c:v>
                </c:pt>
                <c:pt idx="168">
                  <c:v>42736</c:v>
                </c:pt>
                <c:pt idx="169">
                  <c:v>42767</c:v>
                </c:pt>
                <c:pt idx="170">
                  <c:v>42795</c:v>
                </c:pt>
                <c:pt idx="171">
                  <c:v>42826</c:v>
                </c:pt>
                <c:pt idx="172">
                  <c:v>42856</c:v>
                </c:pt>
                <c:pt idx="173">
                  <c:v>42887</c:v>
                </c:pt>
                <c:pt idx="174">
                  <c:v>42917</c:v>
                </c:pt>
                <c:pt idx="175">
                  <c:v>42948</c:v>
                </c:pt>
                <c:pt idx="176">
                  <c:v>42979</c:v>
                </c:pt>
                <c:pt idx="177">
                  <c:v>43009</c:v>
                </c:pt>
                <c:pt idx="178">
                  <c:v>43040</c:v>
                </c:pt>
                <c:pt idx="179">
                  <c:v>43070</c:v>
                </c:pt>
                <c:pt idx="180">
                  <c:v>43101</c:v>
                </c:pt>
                <c:pt idx="181">
                  <c:v>43132</c:v>
                </c:pt>
                <c:pt idx="182">
                  <c:v>43160</c:v>
                </c:pt>
                <c:pt idx="183">
                  <c:v>43191</c:v>
                </c:pt>
                <c:pt idx="184">
                  <c:v>43221</c:v>
                </c:pt>
                <c:pt idx="185">
                  <c:v>43252</c:v>
                </c:pt>
                <c:pt idx="186">
                  <c:v>43282</c:v>
                </c:pt>
                <c:pt idx="187">
                  <c:v>43313</c:v>
                </c:pt>
                <c:pt idx="188">
                  <c:v>43344</c:v>
                </c:pt>
                <c:pt idx="189">
                  <c:v>43374</c:v>
                </c:pt>
                <c:pt idx="190">
                  <c:v>43405</c:v>
                </c:pt>
                <c:pt idx="191">
                  <c:v>43435</c:v>
                </c:pt>
                <c:pt idx="192">
                  <c:v>43466</c:v>
                </c:pt>
                <c:pt idx="193">
                  <c:v>43497</c:v>
                </c:pt>
                <c:pt idx="194">
                  <c:v>43525</c:v>
                </c:pt>
                <c:pt idx="195">
                  <c:v>43556</c:v>
                </c:pt>
                <c:pt idx="196">
                  <c:v>43586</c:v>
                </c:pt>
                <c:pt idx="197">
                  <c:v>43617</c:v>
                </c:pt>
                <c:pt idx="198">
                  <c:v>43647</c:v>
                </c:pt>
                <c:pt idx="199">
                  <c:v>43678</c:v>
                </c:pt>
                <c:pt idx="200">
                  <c:v>43709</c:v>
                </c:pt>
                <c:pt idx="201">
                  <c:v>43739</c:v>
                </c:pt>
                <c:pt idx="202">
                  <c:v>43770</c:v>
                </c:pt>
                <c:pt idx="203">
                  <c:v>43800</c:v>
                </c:pt>
                <c:pt idx="204">
                  <c:v>43831</c:v>
                </c:pt>
                <c:pt idx="205">
                  <c:v>43862</c:v>
                </c:pt>
                <c:pt idx="206">
                  <c:v>43891</c:v>
                </c:pt>
                <c:pt idx="207">
                  <c:v>43922</c:v>
                </c:pt>
                <c:pt idx="208">
                  <c:v>43952</c:v>
                </c:pt>
                <c:pt idx="209">
                  <c:v>43983</c:v>
                </c:pt>
                <c:pt idx="210">
                  <c:v>44013</c:v>
                </c:pt>
                <c:pt idx="211">
                  <c:v>44044</c:v>
                </c:pt>
                <c:pt idx="212">
                  <c:v>44075</c:v>
                </c:pt>
                <c:pt idx="213">
                  <c:v>44105</c:v>
                </c:pt>
                <c:pt idx="214">
                  <c:v>44136</c:v>
                </c:pt>
                <c:pt idx="215">
                  <c:v>44166</c:v>
                </c:pt>
                <c:pt idx="216">
                  <c:v>44197</c:v>
                </c:pt>
                <c:pt idx="217">
                  <c:v>44228</c:v>
                </c:pt>
                <c:pt idx="218">
                  <c:v>44256</c:v>
                </c:pt>
                <c:pt idx="219">
                  <c:v>44287</c:v>
                </c:pt>
              </c:numCache>
            </c:numRef>
          </c:cat>
          <c:val>
            <c:numRef>
              <c:f>'Step-by-Step'!$K$7:$K$223</c:f>
              <c:numCache>
                <c:formatCode>0.0%</c:formatCode>
                <c:ptCount val="217"/>
                <c:pt idx="0">
                  <c:v>-1.939876633827442E-5</c:v>
                </c:pt>
                <c:pt idx="1">
                  <c:v>3.9112070127522713E-5</c:v>
                </c:pt>
                <c:pt idx="2">
                  <c:v>-4.6270998231179306E-5</c:v>
                </c:pt>
                <c:pt idx="3">
                  <c:v>-1.5678930404106062E-5</c:v>
                </c:pt>
                <c:pt idx="4">
                  <c:v>-4.0351723968878872E-5</c:v>
                </c:pt>
                <c:pt idx="5">
                  <c:v>4.2044634465554509E-5</c:v>
                </c:pt>
                <c:pt idx="6">
                  <c:v>-2.6071970065655314E-5</c:v>
                </c:pt>
                <c:pt idx="7">
                  <c:v>-2.279547212791222E-5</c:v>
                </c:pt>
                <c:pt idx="8">
                  <c:v>1.6457624015364658E-5</c:v>
                </c:pt>
                <c:pt idx="9">
                  <c:v>8.03001617599719E-6</c:v>
                </c:pt>
                <c:pt idx="10">
                  <c:v>3.098815663427068E-5</c:v>
                </c:pt>
                <c:pt idx="11">
                  <c:v>-3.2815425248577945E-5</c:v>
                </c:pt>
                <c:pt idx="12">
                  <c:v>4.6896615925051677E-5</c:v>
                </c:pt>
                <c:pt idx="13">
                  <c:v>-2.6952499588395185E-5</c:v>
                </c:pt>
                <c:pt idx="14">
                  <c:v>2.2668643124390542E-5</c:v>
                </c:pt>
                <c:pt idx="15">
                  <c:v>4.4645126716869044E-5</c:v>
                </c:pt>
                <c:pt idx="16">
                  <c:v>-2.3831499821436175E-5</c:v>
                </c:pt>
                <c:pt idx="17">
                  <c:v>-4.3632724138542578E-5</c:v>
                </c:pt>
                <c:pt idx="18">
                  <c:v>-9.7434916457306286E-6</c:v>
                </c:pt>
                <c:pt idx="19">
                  <c:v>2.9072118474804398E-6</c:v>
                </c:pt>
                <c:pt idx="20">
                  <c:v>-1.5852929192927689E-5</c:v>
                </c:pt>
                <c:pt idx="21">
                  <c:v>2.9554159814093595E-5</c:v>
                </c:pt>
                <c:pt idx="22">
                  <c:v>7.3444323844817916E-6</c:v>
                </c:pt>
                <c:pt idx="23">
                  <c:v>4.9455167265843869E-6</c:v>
                </c:pt>
                <c:pt idx="24">
                  <c:v>-3.3095656972181864E-5</c:v>
                </c:pt>
                <c:pt idx="25">
                  <c:v>-4.2266358303288953E-6</c:v>
                </c:pt>
                <c:pt idx="26">
                  <c:v>2.9806448608171721E-5</c:v>
                </c:pt>
                <c:pt idx="27">
                  <c:v>-2.2515683300250444E-5</c:v>
                </c:pt>
                <c:pt idx="28">
                  <c:v>-2.7562121767688019E-5</c:v>
                </c:pt>
                <c:pt idx="29">
                  <c:v>-1.2427980451534815E-5</c:v>
                </c:pt>
                <c:pt idx="30">
                  <c:v>-3.1445175325384156E-5</c:v>
                </c:pt>
                <c:pt idx="31">
                  <c:v>2.3353048503649276E-5</c:v>
                </c:pt>
                <c:pt idx="32">
                  <c:v>-4.2479925856486744E-5</c:v>
                </c:pt>
                <c:pt idx="33">
                  <c:v>4.2524635323282212E-5</c:v>
                </c:pt>
                <c:pt idx="34">
                  <c:v>-1.8847960912005135E-6</c:v>
                </c:pt>
                <c:pt idx="35">
                  <c:v>3.7777125938998068E-5</c:v>
                </c:pt>
                <c:pt idx="36">
                  <c:v>-7.3008642548222369E-6</c:v>
                </c:pt>
                <c:pt idx="37">
                  <c:v>-2.4514826980515103E-5</c:v>
                </c:pt>
                <c:pt idx="38">
                  <c:v>1.6779400952016132E-5</c:v>
                </c:pt>
                <c:pt idx="39">
                  <c:v>-6.0449979774057638E-6</c:v>
                </c:pt>
                <c:pt idx="40">
                  <c:v>-2.1353000700163882E-5</c:v>
                </c:pt>
                <c:pt idx="41">
                  <c:v>3.1913366144165067E-5</c:v>
                </c:pt>
                <c:pt idx="42">
                  <c:v>-1.9340426062441907E-5</c:v>
                </c:pt>
                <c:pt idx="43">
                  <c:v>1.2285735000006071E-5</c:v>
                </c:pt>
                <c:pt idx="44">
                  <c:v>-1.71503137242901E-5</c:v>
                </c:pt>
                <c:pt idx="45">
                  <c:v>2.2923881324743434E-5</c:v>
                </c:pt>
                <c:pt idx="46">
                  <c:v>-3.3455749263944234E-5</c:v>
                </c:pt>
                <c:pt idx="47">
                  <c:v>-1.1342652164847422E-5</c:v>
                </c:pt>
                <c:pt idx="48">
                  <c:v>-6.6760681229904861E-6</c:v>
                </c:pt>
                <c:pt idx="49">
                  <c:v>2.7191847927765522E-5</c:v>
                </c:pt>
                <c:pt idx="50">
                  <c:v>2.3519185821996302E-5</c:v>
                </c:pt>
                <c:pt idx="51">
                  <c:v>-3.358179809309636E-5</c:v>
                </c:pt>
                <c:pt idx="52">
                  <c:v>5.0943379035217617E-6</c:v>
                </c:pt>
                <c:pt idx="53">
                  <c:v>1.4207797358611884E-6</c:v>
                </c:pt>
                <c:pt idx="54">
                  <c:v>-1.2441448008826406E-5</c:v>
                </c:pt>
                <c:pt idx="55">
                  <c:v>1.173123116293695E-5</c:v>
                </c:pt>
                <c:pt idx="56">
                  <c:v>-3.8848823720960546E-5</c:v>
                </c:pt>
                <c:pt idx="57">
                  <c:v>2.5964670741895901E-5</c:v>
                </c:pt>
                <c:pt idx="58">
                  <c:v>9.5495538743328723E-6</c:v>
                </c:pt>
                <c:pt idx="59">
                  <c:v>4.0362332860421901E-6</c:v>
                </c:pt>
                <c:pt idx="60">
                  <c:v>2.7615439758044147E-5</c:v>
                </c:pt>
                <c:pt idx="61">
                  <c:v>-3.2635493606214538E-5</c:v>
                </c:pt>
                <c:pt idx="62">
                  <c:v>-5.2321472259198032E-6</c:v>
                </c:pt>
                <c:pt idx="63">
                  <c:v>-3.3727451444476308E-5</c:v>
                </c:pt>
                <c:pt idx="64">
                  <c:v>-1.2978375521499608E-5</c:v>
                </c:pt>
                <c:pt idx="65">
                  <c:v>2.6109762103709855E-5</c:v>
                </c:pt>
                <c:pt idx="66">
                  <c:v>2.394736062161229E-5</c:v>
                </c:pt>
                <c:pt idx="67">
                  <c:v>-3.7602952806303769E-5</c:v>
                </c:pt>
                <c:pt idx="68">
                  <c:v>-1.3839149442418375E-5</c:v>
                </c:pt>
                <c:pt idx="69">
                  <c:v>3.6440295558826108E-6</c:v>
                </c:pt>
                <c:pt idx="70">
                  <c:v>3.1786175091808033E-5</c:v>
                </c:pt>
                <c:pt idx="71">
                  <c:v>-3.0652511203044241E-5</c:v>
                </c:pt>
                <c:pt idx="72">
                  <c:v>5.7994695572549659E-6</c:v>
                </c:pt>
                <c:pt idx="73">
                  <c:v>-1.9424302209691824E-5</c:v>
                </c:pt>
                <c:pt idx="74">
                  <c:v>2.9252999691031789E-5</c:v>
                </c:pt>
                <c:pt idx="75">
                  <c:v>3.6434317242761693E-5</c:v>
                </c:pt>
                <c:pt idx="76">
                  <c:v>-4.6417229900841406E-6</c:v>
                </c:pt>
                <c:pt idx="77">
                  <c:v>-2.4474930993889643E-5</c:v>
                </c:pt>
                <c:pt idx="78">
                  <c:v>1.2025283659289343E-5</c:v>
                </c:pt>
                <c:pt idx="79">
                  <c:v>-1.1990060502897748E-5</c:v>
                </c:pt>
                <c:pt idx="80">
                  <c:v>-2.7858131602886971E-5</c:v>
                </c:pt>
                <c:pt idx="81">
                  <c:v>-3.4521476034554688E-5</c:v>
                </c:pt>
                <c:pt idx="82">
                  <c:v>-3.6649133550836765E-5</c:v>
                </c:pt>
                <c:pt idx="83">
                  <c:v>-3.4689882549177042E-5</c:v>
                </c:pt>
                <c:pt idx="84">
                  <c:v>3.4563078354699073E-5</c:v>
                </c:pt>
                <c:pt idx="85">
                  <c:v>2.9029935126212436E-5</c:v>
                </c:pt>
                <c:pt idx="86">
                  <c:v>1.1577501061621476E-5</c:v>
                </c:pt>
                <c:pt idx="87">
                  <c:v>3.0801397228108485E-5</c:v>
                </c:pt>
                <c:pt idx="88">
                  <c:v>-2.9552964468382292E-5</c:v>
                </c:pt>
                <c:pt idx="89">
                  <c:v>6.1846173520230252E-6</c:v>
                </c:pt>
                <c:pt idx="90">
                  <c:v>-9.4460122461725859E-6</c:v>
                </c:pt>
                <c:pt idx="91">
                  <c:v>-6.8917813668134542E-6</c:v>
                </c:pt>
                <c:pt idx="92">
                  <c:v>-1.7501044886514272E-5</c:v>
                </c:pt>
                <c:pt idx="93">
                  <c:v>3.0837624052981738E-5</c:v>
                </c:pt>
                <c:pt idx="94">
                  <c:v>-3.0935500534678972E-5</c:v>
                </c:pt>
                <c:pt idx="95">
                  <c:v>-5.307403864174276E-7</c:v>
                </c:pt>
                <c:pt idx="96">
                  <c:v>-1.0415886226078364E-5</c:v>
                </c:pt>
                <c:pt idx="97">
                  <c:v>-2.2697951090111523E-5</c:v>
                </c:pt>
                <c:pt idx="98">
                  <c:v>-2.8513681132991131E-5</c:v>
                </c:pt>
                <c:pt idx="99">
                  <c:v>-2.6020322143383012E-5</c:v>
                </c:pt>
                <c:pt idx="100">
                  <c:v>-2.533518968383941E-5</c:v>
                </c:pt>
                <c:pt idx="101">
                  <c:v>2.8412626067675362E-5</c:v>
                </c:pt>
                <c:pt idx="102">
                  <c:v>1.3602022086223187E-5</c:v>
                </c:pt>
                <c:pt idx="103">
                  <c:v>-2.3479480011134868E-5</c:v>
                </c:pt>
                <c:pt idx="104">
                  <c:v>1.7121173517375965E-5</c:v>
                </c:pt>
                <c:pt idx="105">
                  <c:v>1.0606824879966226E-5</c:v>
                </c:pt>
                <c:pt idx="106">
                  <c:v>4.6667470443573222E-6</c:v>
                </c:pt>
                <c:pt idx="107">
                  <c:v>-1.2066925371922999E-5</c:v>
                </c:pt>
                <c:pt idx="108">
                  <c:v>3.5112034667550418E-5</c:v>
                </c:pt>
                <c:pt idx="109">
                  <c:v>-3.3222616766415136E-5</c:v>
                </c:pt>
                <c:pt idx="110">
                  <c:v>-8.27471799824675E-6</c:v>
                </c:pt>
                <c:pt idx="111">
                  <c:v>-2.6244958907795102E-5</c:v>
                </c:pt>
                <c:pt idx="112">
                  <c:v>-9.5380411233580986E-6</c:v>
                </c:pt>
                <c:pt idx="113">
                  <c:v>-2.7314786562260274E-5</c:v>
                </c:pt>
                <c:pt idx="114">
                  <c:v>2.9077122792875443E-5</c:v>
                </c:pt>
                <c:pt idx="115">
                  <c:v>3.3728595357107594E-5</c:v>
                </c:pt>
                <c:pt idx="116">
                  <c:v>-3.2349227409911308E-5</c:v>
                </c:pt>
                <c:pt idx="117">
                  <c:v>-2.047628805990076E-5</c:v>
                </c:pt>
                <c:pt idx="118">
                  <c:v>2.8054024461265925E-6</c:v>
                </c:pt>
                <c:pt idx="119">
                  <c:v>-1.4831615056110081E-5</c:v>
                </c:pt>
                <c:pt idx="120">
                  <c:v>1.4080894859214155E-5</c:v>
                </c:pt>
                <c:pt idx="121">
                  <c:v>1.5444119780383403E-5</c:v>
                </c:pt>
                <c:pt idx="122">
                  <c:v>-2.0241238917861892E-5</c:v>
                </c:pt>
                <c:pt idx="123">
                  <c:v>2.243091406217701E-5</c:v>
                </c:pt>
                <c:pt idx="124">
                  <c:v>2.6310167004828244E-5</c:v>
                </c:pt>
                <c:pt idx="125">
                  <c:v>-1.2091740136610518E-5</c:v>
                </c:pt>
                <c:pt idx="126">
                  <c:v>-2.5594308295961987E-5</c:v>
                </c:pt>
                <c:pt idx="127">
                  <c:v>-1.5270017184043638E-5</c:v>
                </c:pt>
                <c:pt idx="128">
                  <c:v>2.5845778236055494E-5</c:v>
                </c:pt>
                <c:pt idx="129">
                  <c:v>2.0689260358031092E-5</c:v>
                </c:pt>
                <c:pt idx="130">
                  <c:v>6.0836742725722814E-6</c:v>
                </c:pt>
                <c:pt idx="131">
                  <c:v>-2.5677007966740106E-5</c:v>
                </c:pt>
                <c:pt idx="132">
                  <c:v>-1.1188571905518252E-5</c:v>
                </c:pt>
                <c:pt idx="133">
                  <c:v>8.0156640285267144E-6</c:v>
                </c:pt>
                <c:pt idx="134">
                  <c:v>-4.9898453375885055E-6</c:v>
                </c:pt>
                <c:pt idx="135">
                  <c:v>-4.9586270209900363E-6</c:v>
                </c:pt>
                <c:pt idx="136">
                  <c:v>3.3110943039593721E-5</c:v>
                </c:pt>
                <c:pt idx="137">
                  <c:v>2.2808557323950041E-5</c:v>
                </c:pt>
                <c:pt idx="138">
                  <c:v>2.9264234963966018E-5</c:v>
                </c:pt>
                <c:pt idx="139">
                  <c:v>-2.5424625496039965E-5</c:v>
                </c:pt>
                <c:pt idx="140">
                  <c:v>3.0691241752700549E-5</c:v>
                </c:pt>
                <c:pt idx="141">
                  <c:v>-3.2529218548793537E-6</c:v>
                </c:pt>
                <c:pt idx="142">
                  <c:v>-3.1424205377494907E-5</c:v>
                </c:pt>
                <c:pt idx="143">
                  <c:v>-3.594130546402674E-6</c:v>
                </c:pt>
                <c:pt idx="144">
                  <c:v>2.2978436444498485E-5</c:v>
                </c:pt>
                <c:pt idx="145">
                  <c:v>-9.3361955010307085E-6</c:v>
                </c:pt>
                <c:pt idx="146">
                  <c:v>1.2028245633288748E-5</c:v>
                </c:pt>
                <c:pt idx="147">
                  <c:v>2.7394078048414983E-5</c:v>
                </c:pt>
                <c:pt idx="148">
                  <c:v>-3.346435232021161E-5</c:v>
                </c:pt>
                <c:pt idx="149">
                  <c:v>-3.3132278704939289E-5</c:v>
                </c:pt>
                <c:pt idx="150">
                  <c:v>1.4535215379307687E-5</c:v>
                </c:pt>
                <c:pt idx="151">
                  <c:v>3.5227007437521607E-5</c:v>
                </c:pt>
                <c:pt idx="152">
                  <c:v>-8.8535412043899697E-6</c:v>
                </c:pt>
                <c:pt idx="153">
                  <c:v>6.2209574356320019E-6</c:v>
                </c:pt>
                <c:pt idx="154">
                  <c:v>-2.8487831294721211E-5</c:v>
                </c:pt>
                <c:pt idx="155">
                  <c:v>-8.772556691849509E-6</c:v>
                </c:pt>
                <c:pt idx="156">
                  <c:v>-3.2792682029492148E-5</c:v>
                </c:pt>
                <c:pt idx="157">
                  <c:v>-3.6732129845895578E-5</c:v>
                </c:pt>
                <c:pt idx="158">
                  <c:v>1.514544999259293E-5</c:v>
                </c:pt>
                <c:pt idx="159">
                  <c:v>-2.2043674461014184E-5</c:v>
                </c:pt>
                <c:pt idx="160">
                  <c:v>2.2296943700261806E-5</c:v>
                </c:pt>
                <c:pt idx="161">
                  <c:v>-2.8179940197214925E-5</c:v>
                </c:pt>
                <c:pt idx="162">
                  <c:v>1.8116872788853655E-5</c:v>
                </c:pt>
                <c:pt idx="163">
                  <c:v>-2.1539608144105493E-5</c:v>
                </c:pt>
                <c:pt idx="164">
                  <c:v>-9.1496350793640602E-6</c:v>
                </c:pt>
                <c:pt idx="165">
                  <c:v>3.4734517275314403E-5</c:v>
                </c:pt>
                <c:pt idx="166">
                  <c:v>-8.1560137917824349E-6</c:v>
                </c:pt>
                <c:pt idx="167">
                  <c:v>3.700776155990404E-5</c:v>
                </c:pt>
                <c:pt idx="168">
                  <c:v>-2.7160680746152188E-5</c:v>
                </c:pt>
                <c:pt idx="169">
                  <c:v>2.2543813763542531E-5</c:v>
                </c:pt>
                <c:pt idx="170">
                  <c:v>3.02839176955505E-5</c:v>
                </c:pt>
                <c:pt idx="171">
                  <c:v>-2.1419379701570485E-5</c:v>
                </c:pt>
                <c:pt idx="172">
                  <c:v>-9.542450946198322E-6</c:v>
                </c:pt>
                <c:pt idx="173">
                  <c:v>6.9820638204376451E-7</c:v>
                </c:pt>
                <c:pt idx="174">
                  <c:v>-3.5828530619119725E-5</c:v>
                </c:pt>
                <c:pt idx="175">
                  <c:v>-2.3694180670497111E-5</c:v>
                </c:pt>
                <c:pt idx="176">
                  <c:v>-1.7112027561605458E-5</c:v>
                </c:pt>
                <c:pt idx="177">
                  <c:v>-3.5142032794088784E-5</c:v>
                </c:pt>
                <c:pt idx="178">
                  <c:v>1.2253123740757488E-5</c:v>
                </c:pt>
                <c:pt idx="179">
                  <c:v>-6.8083984748890103E-6</c:v>
                </c:pt>
                <c:pt idx="180">
                  <c:v>-2.7565676201990463E-5</c:v>
                </c:pt>
                <c:pt idx="181">
                  <c:v>1.3179363540949396E-5</c:v>
                </c:pt>
                <c:pt idx="182">
                  <c:v>1.7508897044660188E-5</c:v>
                </c:pt>
                <c:pt idx="183">
                  <c:v>-4.9712448276784116E-6</c:v>
                </c:pt>
                <c:pt idx="184">
                  <c:v>1.5934918055293679E-5</c:v>
                </c:pt>
                <c:pt idx="185">
                  <c:v>-4.0771684409746101E-6</c:v>
                </c:pt>
                <c:pt idx="186">
                  <c:v>3.139261377649305E-5</c:v>
                </c:pt>
                <c:pt idx="187">
                  <c:v>1.5471742392136889E-5</c:v>
                </c:pt>
                <c:pt idx="188">
                  <c:v>2.3045864452342357E-5</c:v>
                </c:pt>
                <c:pt idx="189">
                  <c:v>8.9685213453538637E-6</c:v>
                </c:pt>
                <c:pt idx="190">
                  <c:v>-1.1998142878999474E-5</c:v>
                </c:pt>
                <c:pt idx="191">
                  <c:v>-2.7827354671217108E-5</c:v>
                </c:pt>
                <c:pt idx="192">
                  <c:v>-2.6988674672545621E-5</c:v>
                </c:pt>
                <c:pt idx="193">
                  <c:v>-3.418268868471408E-5</c:v>
                </c:pt>
                <c:pt idx="194">
                  <c:v>1.383004258892484E-6</c:v>
                </c:pt>
                <c:pt idx="195">
                  <c:v>-3.0732441860248372E-6</c:v>
                </c:pt>
                <c:pt idx="196">
                  <c:v>1.1992749011646708E-6</c:v>
                </c:pt>
                <c:pt idx="197">
                  <c:v>1.8215540751542747E-5</c:v>
                </c:pt>
                <c:pt idx="198">
                  <c:v>-2.4926910510814082E-5</c:v>
                </c:pt>
                <c:pt idx="199">
                  <c:v>-4.0715167126670337E-7</c:v>
                </c:pt>
                <c:pt idx="200">
                  <c:v>-2.9608720051976789E-5</c:v>
                </c:pt>
                <c:pt idx="201">
                  <c:v>1.0572889716620182E-5</c:v>
                </c:pt>
                <c:pt idx="202">
                  <c:v>2.1501106319821162E-6</c:v>
                </c:pt>
                <c:pt idx="203">
                  <c:v>1.6403660565211808E-5</c:v>
                </c:pt>
                <c:pt idx="204">
                  <c:v>-9.0571450505061435E-6</c:v>
                </c:pt>
                <c:pt idx="205">
                  <c:v>-3.0043757158759732E-6</c:v>
                </c:pt>
                <c:pt idx="206">
                  <c:v>-8.4211210265028313E-6</c:v>
                </c:pt>
                <c:pt idx="207">
                  <c:v>-6.6411301088420416E-6</c:v>
                </c:pt>
                <c:pt idx="208">
                  <c:v>-1.660191817576262E-5</c:v>
                </c:pt>
                <c:pt idx="209">
                  <c:v>-2.4903404896692294E-5</c:v>
                </c:pt>
                <c:pt idx="210">
                  <c:v>-1.7424853331227119E-5</c:v>
                </c:pt>
                <c:pt idx="211">
                  <c:v>1.7360851802816768E-6</c:v>
                </c:pt>
                <c:pt idx="212">
                  <c:v>-1.8554213209176496E-6</c:v>
                </c:pt>
                <c:pt idx="213">
                  <c:v>-2.1036487162451323E-5</c:v>
                </c:pt>
                <c:pt idx="214">
                  <c:v>2.7653621839096587E-5</c:v>
                </c:pt>
                <c:pt idx="215">
                  <c:v>1.6212564022843878E-5</c:v>
                </c:pt>
                <c:pt idx="216">
                  <c:v>-7.7277416803411825E-6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2-404D-8DF3-066A3307E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439007"/>
        <c:axId val="1685395855"/>
      </c:lineChart>
      <c:dateAx>
        <c:axId val="1776439007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5395855"/>
        <c:crosses val="autoZero"/>
        <c:auto val="1"/>
        <c:lblOffset val="100"/>
        <c:baseTimeUnit val="months"/>
      </c:dateAx>
      <c:valAx>
        <c:axId val="168539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6439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IBC-Br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- IBC-Br'!$B$2</c:f>
              <c:strCache>
                <c:ptCount val="1"/>
                <c:pt idx="0">
                  <c:v>IBC-Br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- IBC-Br'!$A$3:$A$105</c:f>
              <c:numCache>
                <c:formatCode>[$-416]mmm\-yy;@</c:formatCode>
                <c:ptCount val="103"/>
                <c:pt idx="0">
                  <c:v>37622</c:v>
                </c:pt>
                <c:pt idx="1">
                  <c:v>37653</c:v>
                </c:pt>
                <c:pt idx="2">
                  <c:v>37681</c:v>
                </c:pt>
                <c:pt idx="3">
                  <c:v>37712</c:v>
                </c:pt>
                <c:pt idx="4">
                  <c:v>37742</c:v>
                </c:pt>
                <c:pt idx="5">
                  <c:v>37773</c:v>
                </c:pt>
                <c:pt idx="6">
                  <c:v>37803</c:v>
                </c:pt>
                <c:pt idx="7">
                  <c:v>37834</c:v>
                </c:pt>
                <c:pt idx="8">
                  <c:v>37865</c:v>
                </c:pt>
                <c:pt idx="9">
                  <c:v>37895</c:v>
                </c:pt>
                <c:pt idx="10">
                  <c:v>37926</c:v>
                </c:pt>
                <c:pt idx="11">
                  <c:v>37956</c:v>
                </c:pt>
                <c:pt idx="12">
                  <c:v>37987</c:v>
                </c:pt>
                <c:pt idx="13">
                  <c:v>38018</c:v>
                </c:pt>
                <c:pt idx="14">
                  <c:v>38047</c:v>
                </c:pt>
                <c:pt idx="15">
                  <c:v>38078</c:v>
                </c:pt>
                <c:pt idx="16">
                  <c:v>38108</c:v>
                </c:pt>
                <c:pt idx="17">
                  <c:v>38139</c:v>
                </c:pt>
                <c:pt idx="18">
                  <c:v>38169</c:v>
                </c:pt>
                <c:pt idx="19">
                  <c:v>38200</c:v>
                </c:pt>
                <c:pt idx="20">
                  <c:v>38231</c:v>
                </c:pt>
                <c:pt idx="21">
                  <c:v>38261</c:v>
                </c:pt>
                <c:pt idx="22">
                  <c:v>38292</c:v>
                </c:pt>
                <c:pt idx="23">
                  <c:v>38322</c:v>
                </c:pt>
                <c:pt idx="24">
                  <c:v>38353</c:v>
                </c:pt>
                <c:pt idx="25">
                  <c:v>38384</c:v>
                </c:pt>
                <c:pt idx="26">
                  <c:v>38412</c:v>
                </c:pt>
                <c:pt idx="27">
                  <c:v>38443</c:v>
                </c:pt>
                <c:pt idx="28">
                  <c:v>38473</c:v>
                </c:pt>
                <c:pt idx="29">
                  <c:v>38504</c:v>
                </c:pt>
                <c:pt idx="30">
                  <c:v>38534</c:v>
                </c:pt>
                <c:pt idx="31">
                  <c:v>38565</c:v>
                </c:pt>
                <c:pt idx="32">
                  <c:v>38596</c:v>
                </c:pt>
                <c:pt idx="33">
                  <c:v>38626</c:v>
                </c:pt>
                <c:pt idx="34">
                  <c:v>38657</c:v>
                </c:pt>
                <c:pt idx="35">
                  <c:v>38687</c:v>
                </c:pt>
                <c:pt idx="36">
                  <c:v>38718</c:v>
                </c:pt>
                <c:pt idx="37">
                  <c:v>38749</c:v>
                </c:pt>
                <c:pt idx="38">
                  <c:v>38777</c:v>
                </c:pt>
                <c:pt idx="39">
                  <c:v>38808</c:v>
                </c:pt>
                <c:pt idx="40">
                  <c:v>38838</c:v>
                </c:pt>
                <c:pt idx="41">
                  <c:v>38869</c:v>
                </c:pt>
                <c:pt idx="42">
                  <c:v>38899</c:v>
                </c:pt>
                <c:pt idx="43">
                  <c:v>38930</c:v>
                </c:pt>
                <c:pt idx="44">
                  <c:v>38961</c:v>
                </c:pt>
                <c:pt idx="45">
                  <c:v>38991</c:v>
                </c:pt>
                <c:pt idx="46">
                  <c:v>39022</c:v>
                </c:pt>
                <c:pt idx="47">
                  <c:v>39052</c:v>
                </c:pt>
                <c:pt idx="48">
                  <c:v>39083</c:v>
                </c:pt>
                <c:pt idx="49">
                  <c:v>39114</c:v>
                </c:pt>
                <c:pt idx="50">
                  <c:v>39142</c:v>
                </c:pt>
                <c:pt idx="51">
                  <c:v>39173</c:v>
                </c:pt>
                <c:pt idx="52">
                  <c:v>39203</c:v>
                </c:pt>
                <c:pt idx="53">
                  <c:v>39234</c:v>
                </c:pt>
                <c:pt idx="54">
                  <c:v>39264</c:v>
                </c:pt>
                <c:pt idx="55">
                  <c:v>39295</c:v>
                </c:pt>
                <c:pt idx="56">
                  <c:v>39326</c:v>
                </c:pt>
                <c:pt idx="57">
                  <c:v>39356</c:v>
                </c:pt>
                <c:pt idx="58">
                  <c:v>39387</c:v>
                </c:pt>
                <c:pt idx="59">
                  <c:v>39417</c:v>
                </c:pt>
                <c:pt idx="60">
                  <c:v>39448</c:v>
                </c:pt>
                <c:pt idx="61">
                  <c:v>39479</c:v>
                </c:pt>
                <c:pt idx="62">
                  <c:v>39508</c:v>
                </c:pt>
                <c:pt idx="63">
                  <c:v>39539</c:v>
                </c:pt>
                <c:pt idx="64">
                  <c:v>39569</c:v>
                </c:pt>
                <c:pt idx="65">
                  <c:v>39600</c:v>
                </c:pt>
                <c:pt idx="66">
                  <c:v>39630</c:v>
                </c:pt>
                <c:pt idx="67">
                  <c:v>39661</c:v>
                </c:pt>
                <c:pt idx="68">
                  <c:v>39692</c:v>
                </c:pt>
                <c:pt idx="69">
                  <c:v>39722</c:v>
                </c:pt>
                <c:pt idx="70">
                  <c:v>39753</c:v>
                </c:pt>
                <c:pt idx="71">
                  <c:v>39783</c:v>
                </c:pt>
                <c:pt idx="72">
                  <c:v>39814</c:v>
                </c:pt>
                <c:pt idx="73">
                  <c:v>39845</c:v>
                </c:pt>
                <c:pt idx="74">
                  <c:v>39873</c:v>
                </c:pt>
                <c:pt idx="75">
                  <c:v>39904</c:v>
                </c:pt>
                <c:pt idx="76">
                  <c:v>39934</c:v>
                </c:pt>
                <c:pt idx="77">
                  <c:v>39965</c:v>
                </c:pt>
                <c:pt idx="78">
                  <c:v>39995</c:v>
                </c:pt>
                <c:pt idx="79">
                  <c:v>40026</c:v>
                </c:pt>
                <c:pt idx="80">
                  <c:v>40057</c:v>
                </c:pt>
                <c:pt idx="81">
                  <c:v>40087</c:v>
                </c:pt>
                <c:pt idx="82">
                  <c:v>40118</c:v>
                </c:pt>
                <c:pt idx="83">
                  <c:v>40148</c:v>
                </c:pt>
                <c:pt idx="84">
                  <c:v>40179</c:v>
                </c:pt>
                <c:pt idx="85">
                  <c:v>40210</c:v>
                </c:pt>
                <c:pt idx="86">
                  <c:v>40238</c:v>
                </c:pt>
                <c:pt idx="87">
                  <c:v>40269</c:v>
                </c:pt>
                <c:pt idx="88">
                  <c:v>40299</c:v>
                </c:pt>
                <c:pt idx="89">
                  <c:v>40330</c:v>
                </c:pt>
                <c:pt idx="90">
                  <c:v>40360</c:v>
                </c:pt>
                <c:pt idx="91">
                  <c:v>40391</c:v>
                </c:pt>
                <c:pt idx="92">
                  <c:v>40422</c:v>
                </c:pt>
                <c:pt idx="93">
                  <c:v>40452</c:v>
                </c:pt>
                <c:pt idx="94">
                  <c:v>40483</c:v>
                </c:pt>
                <c:pt idx="95">
                  <c:v>40513</c:v>
                </c:pt>
                <c:pt idx="96">
                  <c:v>40544</c:v>
                </c:pt>
                <c:pt idx="97">
                  <c:v>40575</c:v>
                </c:pt>
                <c:pt idx="98">
                  <c:v>40603</c:v>
                </c:pt>
                <c:pt idx="99">
                  <c:v>40634</c:v>
                </c:pt>
                <c:pt idx="100">
                  <c:v>40664</c:v>
                </c:pt>
                <c:pt idx="101">
                  <c:v>40695</c:v>
                </c:pt>
                <c:pt idx="102">
                  <c:v>40725</c:v>
                </c:pt>
              </c:numCache>
            </c:numRef>
          </c:cat>
          <c:val>
            <c:numRef>
              <c:f>'Monthly - IBC-Br'!$B$3:$B$105</c:f>
              <c:numCache>
                <c:formatCode>0.00</c:formatCode>
                <c:ptCount val="103"/>
                <c:pt idx="0">
                  <c:v>96.15</c:v>
                </c:pt>
                <c:pt idx="1">
                  <c:v>98.67</c:v>
                </c:pt>
                <c:pt idx="2">
                  <c:v>103.41</c:v>
                </c:pt>
                <c:pt idx="3">
                  <c:v>102.19</c:v>
                </c:pt>
                <c:pt idx="4">
                  <c:v>100.3</c:v>
                </c:pt>
                <c:pt idx="5">
                  <c:v>98.58</c:v>
                </c:pt>
                <c:pt idx="6">
                  <c:v>103.05</c:v>
                </c:pt>
                <c:pt idx="7">
                  <c:v>101.47</c:v>
                </c:pt>
                <c:pt idx="8">
                  <c:v>102.87</c:v>
                </c:pt>
                <c:pt idx="9">
                  <c:v>105.06</c:v>
                </c:pt>
                <c:pt idx="10">
                  <c:v>101.95</c:v>
                </c:pt>
                <c:pt idx="11">
                  <c:v>99.74</c:v>
                </c:pt>
                <c:pt idx="12">
                  <c:v>98.59</c:v>
                </c:pt>
                <c:pt idx="13">
                  <c:v>99.45</c:v>
                </c:pt>
                <c:pt idx="14">
                  <c:v>111.98</c:v>
                </c:pt>
                <c:pt idx="15">
                  <c:v>107.36</c:v>
                </c:pt>
                <c:pt idx="16">
                  <c:v>106.03</c:v>
                </c:pt>
                <c:pt idx="17">
                  <c:v>107</c:v>
                </c:pt>
                <c:pt idx="18">
                  <c:v>111.47</c:v>
                </c:pt>
                <c:pt idx="19">
                  <c:v>110.65</c:v>
                </c:pt>
                <c:pt idx="20">
                  <c:v>109.21</c:v>
                </c:pt>
                <c:pt idx="21">
                  <c:v>108.89</c:v>
                </c:pt>
                <c:pt idx="22">
                  <c:v>109.59</c:v>
                </c:pt>
                <c:pt idx="23">
                  <c:v>107.56</c:v>
                </c:pt>
                <c:pt idx="24">
                  <c:v>103.52</c:v>
                </c:pt>
                <c:pt idx="25">
                  <c:v>104</c:v>
                </c:pt>
                <c:pt idx="26">
                  <c:v>115.42</c:v>
                </c:pt>
                <c:pt idx="27">
                  <c:v>112.35</c:v>
                </c:pt>
                <c:pt idx="28">
                  <c:v>110.86</c:v>
                </c:pt>
                <c:pt idx="29">
                  <c:v>111.5</c:v>
                </c:pt>
                <c:pt idx="30">
                  <c:v>113.15</c:v>
                </c:pt>
                <c:pt idx="31">
                  <c:v>115.15</c:v>
                </c:pt>
                <c:pt idx="32">
                  <c:v>110.95</c:v>
                </c:pt>
                <c:pt idx="33">
                  <c:v>111.33</c:v>
                </c:pt>
                <c:pt idx="34">
                  <c:v>111.73</c:v>
                </c:pt>
                <c:pt idx="35">
                  <c:v>111.25</c:v>
                </c:pt>
                <c:pt idx="36">
                  <c:v>108.55</c:v>
                </c:pt>
                <c:pt idx="37">
                  <c:v>107.8</c:v>
                </c:pt>
                <c:pt idx="38">
                  <c:v>119.09</c:v>
                </c:pt>
                <c:pt idx="39">
                  <c:v>112.61</c:v>
                </c:pt>
                <c:pt idx="40">
                  <c:v>117.19</c:v>
                </c:pt>
                <c:pt idx="41">
                  <c:v>114.4</c:v>
                </c:pt>
                <c:pt idx="42">
                  <c:v>119.41</c:v>
                </c:pt>
                <c:pt idx="43">
                  <c:v>121.06</c:v>
                </c:pt>
                <c:pt idx="44">
                  <c:v>116.21</c:v>
                </c:pt>
                <c:pt idx="45">
                  <c:v>119.33</c:v>
                </c:pt>
                <c:pt idx="46">
                  <c:v>118.67</c:v>
                </c:pt>
                <c:pt idx="47">
                  <c:v>116.3</c:v>
                </c:pt>
                <c:pt idx="48">
                  <c:v>114.79</c:v>
                </c:pt>
                <c:pt idx="49">
                  <c:v>113.33</c:v>
                </c:pt>
                <c:pt idx="50">
                  <c:v>125.11</c:v>
                </c:pt>
                <c:pt idx="51">
                  <c:v>120.29</c:v>
                </c:pt>
                <c:pt idx="52">
                  <c:v>123.9</c:v>
                </c:pt>
                <c:pt idx="53">
                  <c:v>122.38</c:v>
                </c:pt>
                <c:pt idx="54">
                  <c:v>127.85</c:v>
                </c:pt>
                <c:pt idx="55">
                  <c:v>129.05000000000001</c:v>
                </c:pt>
                <c:pt idx="56">
                  <c:v>123.24</c:v>
                </c:pt>
                <c:pt idx="57">
                  <c:v>129.16999999999999</c:v>
                </c:pt>
                <c:pt idx="58">
                  <c:v>125.88</c:v>
                </c:pt>
                <c:pt idx="59">
                  <c:v>122.43</c:v>
                </c:pt>
                <c:pt idx="60">
                  <c:v>121.86</c:v>
                </c:pt>
                <c:pt idx="61">
                  <c:v>121.91</c:v>
                </c:pt>
                <c:pt idx="62">
                  <c:v>128.99</c:v>
                </c:pt>
                <c:pt idx="63">
                  <c:v>129.47999999999999</c:v>
                </c:pt>
                <c:pt idx="64">
                  <c:v>128.91999999999999</c:v>
                </c:pt>
                <c:pt idx="65">
                  <c:v>130.59</c:v>
                </c:pt>
                <c:pt idx="66">
                  <c:v>136.53</c:v>
                </c:pt>
                <c:pt idx="67">
                  <c:v>133.87</c:v>
                </c:pt>
                <c:pt idx="68">
                  <c:v>132.6</c:v>
                </c:pt>
                <c:pt idx="69">
                  <c:v>132.80000000000001</c:v>
                </c:pt>
                <c:pt idx="70">
                  <c:v>124.58</c:v>
                </c:pt>
                <c:pt idx="71">
                  <c:v>118.9</c:v>
                </c:pt>
                <c:pt idx="72">
                  <c:v>115.2</c:v>
                </c:pt>
                <c:pt idx="73">
                  <c:v>115.26</c:v>
                </c:pt>
                <c:pt idx="74">
                  <c:v>127.81</c:v>
                </c:pt>
                <c:pt idx="75">
                  <c:v>123.09</c:v>
                </c:pt>
                <c:pt idx="76">
                  <c:v>124.41</c:v>
                </c:pt>
                <c:pt idx="77">
                  <c:v>125.61</c:v>
                </c:pt>
                <c:pt idx="78">
                  <c:v>131.44</c:v>
                </c:pt>
                <c:pt idx="79">
                  <c:v>130.69999999999999</c:v>
                </c:pt>
                <c:pt idx="80">
                  <c:v>129.81</c:v>
                </c:pt>
                <c:pt idx="81">
                  <c:v>132.47999999999999</c:v>
                </c:pt>
                <c:pt idx="82">
                  <c:v>129.62</c:v>
                </c:pt>
                <c:pt idx="83">
                  <c:v>129.22999999999999</c:v>
                </c:pt>
                <c:pt idx="84">
                  <c:v>125.81</c:v>
                </c:pt>
                <c:pt idx="85">
                  <c:v>127.61</c:v>
                </c:pt>
                <c:pt idx="86">
                  <c:v>143.44</c:v>
                </c:pt>
                <c:pt idx="87">
                  <c:v>136.87</c:v>
                </c:pt>
                <c:pt idx="88">
                  <c:v>136.52000000000001</c:v>
                </c:pt>
                <c:pt idx="89">
                  <c:v>136.09</c:v>
                </c:pt>
                <c:pt idx="90">
                  <c:v>141.63999999999999</c:v>
                </c:pt>
                <c:pt idx="91">
                  <c:v>141.55000000000001</c:v>
                </c:pt>
                <c:pt idx="92">
                  <c:v>139.46</c:v>
                </c:pt>
                <c:pt idx="93">
                  <c:v>139.33000000000001</c:v>
                </c:pt>
                <c:pt idx="94">
                  <c:v>139.68</c:v>
                </c:pt>
                <c:pt idx="95">
                  <c:v>136.69</c:v>
                </c:pt>
                <c:pt idx="96">
                  <c:v>132.66</c:v>
                </c:pt>
                <c:pt idx="97">
                  <c:v>136.18</c:v>
                </c:pt>
                <c:pt idx="98">
                  <c:v>144.93</c:v>
                </c:pt>
                <c:pt idx="99">
                  <c:v>139.88999999999999</c:v>
                </c:pt>
                <c:pt idx="100">
                  <c:v>143.22999999999999</c:v>
                </c:pt>
                <c:pt idx="101">
                  <c:v>141.75</c:v>
                </c:pt>
                <c:pt idx="102">
                  <c:v>145.19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5-4601-9640-A48738B3461C}"/>
            </c:ext>
          </c:extLst>
        </c:ser>
        <c:ser>
          <c:idx val="1"/>
          <c:order val="1"/>
          <c:tx>
            <c:strRef>
              <c:f>'Monthly - IBC-Br'!$C$2</c:f>
              <c:strCache>
                <c:ptCount val="1"/>
                <c:pt idx="0">
                  <c:v>Official 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- IBC-Br'!$A$3:$A$105</c:f>
              <c:numCache>
                <c:formatCode>[$-416]mmm\-yy;@</c:formatCode>
                <c:ptCount val="103"/>
                <c:pt idx="0">
                  <c:v>37622</c:v>
                </c:pt>
                <c:pt idx="1">
                  <c:v>37653</c:v>
                </c:pt>
                <c:pt idx="2">
                  <c:v>37681</c:v>
                </c:pt>
                <c:pt idx="3">
                  <c:v>37712</c:v>
                </c:pt>
                <c:pt idx="4">
                  <c:v>37742</c:v>
                </c:pt>
                <c:pt idx="5">
                  <c:v>37773</c:v>
                </c:pt>
                <c:pt idx="6">
                  <c:v>37803</c:v>
                </c:pt>
                <c:pt idx="7">
                  <c:v>37834</c:v>
                </c:pt>
                <c:pt idx="8">
                  <c:v>37865</c:v>
                </c:pt>
                <c:pt idx="9">
                  <c:v>37895</c:v>
                </c:pt>
                <c:pt idx="10">
                  <c:v>37926</c:v>
                </c:pt>
                <c:pt idx="11">
                  <c:v>37956</c:v>
                </c:pt>
                <c:pt idx="12">
                  <c:v>37987</c:v>
                </c:pt>
                <c:pt idx="13">
                  <c:v>38018</c:v>
                </c:pt>
                <c:pt idx="14">
                  <c:v>38047</c:v>
                </c:pt>
                <c:pt idx="15">
                  <c:v>38078</c:v>
                </c:pt>
                <c:pt idx="16">
                  <c:v>38108</c:v>
                </c:pt>
                <c:pt idx="17">
                  <c:v>38139</c:v>
                </c:pt>
                <c:pt idx="18">
                  <c:v>38169</c:v>
                </c:pt>
                <c:pt idx="19">
                  <c:v>38200</c:v>
                </c:pt>
                <c:pt idx="20">
                  <c:v>38231</c:v>
                </c:pt>
                <c:pt idx="21">
                  <c:v>38261</c:v>
                </c:pt>
                <c:pt idx="22">
                  <c:v>38292</c:v>
                </c:pt>
                <c:pt idx="23">
                  <c:v>38322</c:v>
                </c:pt>
                <c:pt idx="24">
                  <c:v>38353</c:v>
                </c:pt>
                <c:pt idx="25">
                  <c:v>38384</c:v>
                </c:pt>
                <c:pt idx="26">
                  <c:v>38412</c:v>
                </c:pt>
                <c:pt idx="27">
                  <c:v>38443</c:v>
                </c:pt>
                <c:pt idx="28">
                  <c:v>38473</c:v>
                </c:pt>
                <c:pt idx="29">
                  <c:v>38504</c:v>
                </c:pt>
                <c:pt idx="30">
                  <c:v>38534</c:v>
                </c:pt>
                <c:pt idx="31">
                  <c:v>38565</c:v>
                </c:pt>
                <c:pt idx="32">
                  <c:v>38596</c:v>
                </c:pt>
                <c:pt idx="33">
                  <c:v>38626</c:v>
                </c:pt>
                <c:pt idx="34">
                  <c:v>38657</c:v>
                </c:pt>
                <c:pt idx="35">
                  <c:v>38687</c:v>
                </c:pt>
                <c:pt idx="36">
                  <c:v>38718</c:v>
                </c:pt>
                <c:pt idx="37">
                  <c:v>38749</c:v>
                </c:pt>
                <c:pt idx="38">
                  <c:v>38777</c:v>
                </c:pt>
                <c:pt idx="39">
                  <c:v>38808</c:v>
                </c:pt>
                <c:pt idx="40">
                  <c:v>38838</c:v>
                </c:pt>
                <c:pt idx="41">
                  <c:v>38869</c:v>
                </c:pt>
                <c:pt idx="42">
                  <c:v>38899</c:v>
                </c:pt>
                <c:pt idx="43">
                  <c:v>38930</c:v>
                </c:pt>
                <c:pt idx="44">
                  <c:v>38961</c:v>
                </c:pt>
                <c:pt idx="45">
                  <c:v>38991</c:v>
                </c:pt>
                <c:pt idx="46">
                  <c:v>39022</c:v>
                </c:pt>
                <c:pt idx="47">
                  <c:v>39052</c:v>
                </c:pt>
                <c:pt idx="48">
                  <c:v>39083</c:v>
                </c:pt>
                <c:pt idx="49">
                  <c:v>39114</c:v>
                </c:pt>
                <c:pt idx="50">
                  <c:v>39142</c:v>
                </c:pt>
                <c:pt idx="51">
                  <c:v>39173</c:v>
                </c:pt>
                <c:pt idx="52">
                  <c:v>39203</c:v>
                </c:pt>
                <c:pt idx="53">
                  <c:v>39234</c:v>
                </c:pt>
                <c:pt idx="54">
                  <c:v>39264</c:v>
                </c:pt>
                <c:pt idx="55">
                  <c:v>39295</c:v>
                </c:pt>
                <c:pt idx="56">
                  <c:v>39326</c:v>
                </c:pt>
                <c:pt idx="57">
                  <c:v>39356</c:v>
                </c:pt>
                <c:pt idx="58">
                  <c:v>39387</c:v>
                </c:pt>
                <c:pt idx="59">
                  <c:v>39417</c:v>
                </c:pt>
                <c:pt idx="60">
                  <c:v>39448</c:v>
                </c:pt>
                <c:pt idx="61">
                  <c:v>39479</c:v>
                </c:pt>
                <c:pt idx="62">
                  <c:v>39508</c:v>
                </c:pt>
                <c:pt idx="63">
                  <c:v>39539</c:v>
                </c:pt>
                <c:pt idx="64">
                  <c:v>39569</c:v>
                </c:pt>
                <c:pt idx="65">
                  <c:v>39600</c:v>
                </c:pt>
                <c:pt idx="66">
                  <c:v>39630</c:v>
                </c:pt>
                <c:pt idx="67">
                  <c:v>39661</c:v>
                </c:pt>
                <c:pt idx="68">
                  <c:v>39692</c:v>
                </c:pt>
                <c:pt idx="69">
                  <c:v>39722</c:v>
                </c:pt>
                <c:pt idx="70">
                  <c:v>39753</c:v>
                </c:pt>
                <c:pt idx="71">
                  <c:v>39783</c:v>
                </c:pt>
                <c:pt idx="72">
                  <c:v>39814</c:v>
                </c:pt>
                <c:pt idx="73">
                  <c:v>39845</c:v>
                </c:pt>
                <c:pt idx="74">
                  <c:v>39873</c:v>
                </c:pt>
                <c:pt idx="75">
                  <c:v>39904</c:v>
                </c:pt>
                <c:pt idx="76">
                  <c:v>39934</c:v>
                </c:pt>
                <c:pt idx="77">
                  <c:v>39965</c:v>
                </c:pt>
                <c:pt idx="78">
                  <c:v>39995</c:v>
                </c:pt>
                <c:pt idx="79">
                  <c:v>40026</c:v>
                </c:pt>
                <c:pt idx="80">
                  <c:v>40057</c:v>
                </c:pt>
                <c:pt idx="81">
                  <c:v>40087</c:v>
                </c:pt>
                <c:pt idx="82">
                  <c:v>40118</c:v>
                </c:pt>
                <c:pt idx="83">
                  <c:v>40148</c:v>
                </c:pt>
                <c:pt idx="84">
                  <c:v>40179</c:v>
                </c:pt>
                <c:pt idx="85">
                  <c:v>40210</c:v>
                </c:pt>
                <c:pt idx="86">
                  <c:v>40238</c:v>
                </c:pt>
                <c:pt idx="87">
                  <c:v>40269</c:v>
                </c:pt>
                <c:pt idx="88">
                  <c:v>40299</c:v>
                </c:pt>
                <c:pt idx="89">
                  <c:v>40330</c:v>
                </c:pt>
                <c:pt idx="90">
                  <c:v>40360</c:v>
                </c:pt>
                <c:pt idx="91">
                  <c:v>40391</c:v>
                </c:pt>
                <c:pt idx="92">
                  <c:v>40422</c:v>
                </c:pt>
                <c:pt idx="93">
                  <c:v>40452</c:v>
                </c:pt>
                <c:pt idx="94">
                  <c:v>40483</c:v>
                </c:pt>
                <c:pt idx="95">
                  <c:v>40513</c:v>
                </c:pt>
                <c:pt idx="96">
                  <c:v>40544</c:v>
                </c:pt>
                <c:pt idx="97">
                  <c:v>40575</c:v>
                </c:pt>
                <c:pt idx="98">
                  <c:v>40603</c:v>
                </c:pt>
                <c:pt idx="99">
                  <c:v>40634</c:v>
                </c:pt>
                <c:pt idx="100">
                  <c:v>40664</c:v>
                </c:pt>
                <c:pt idx="101">
                  <c:v>40695</c:v>
                </c:pt>
                <c:pt idx="102">
                  <c:v>40725</c:v>
                </c:pt>
              </c:numCache>
            </c:numRef>
          </c:cat>
          <c:val>
            <c:numRef>
              <c:f>'Monthly - IBC-Br'!$C$3:$C$105</c:f>
              <c:numCache>
                <c:formatCode>0.0</c:formatCode>
                <c:ptCount val="103"/>
                <c:pt idx="0">
                  <c:v>100.5</c:v>
                </c:pt>
                <c:pt idx="1">
                  <c:v>102</c:v>
                </c:pt>
                <c:pt idx="2">
                  <c:v>101.77</c:v>
                </c:pt>
                <c:pt idx="3">
                  <c:v>100.94</c:v>
                </c:pt>
                <c:pt idx="4">
                  <c:v>99.8</c:v>
                </c:pt>
                <c:pt idx="5">
                  <c:v>100.39</c:v>
                </c:pt>
                <c:pt idx="6">
                  <c:v>99.12</c:v>
                </c:pt>
                <c:pt idx="7">
                  <c:v>99.72</c:v>
                </c:pt>
                <c:pt idx="8">
                  <c:v>101.81</c:v>
                </c:pt>
                <c:pt idx="9">
                  <c:v>101.88</c:v>
                </c:pt>
                <c:pt idx="10">
                  <c:v>101.97</c:v>
                </c:pt>
                <c:pt idx="11">
                  <c:v>101.59</c:v>
                </c:pt>
                <c:pt idx="12">
                  <c:v>103.61</c:v>
                </c:pt>
                <c:pt idx="13">
                  <c:v>104.48</c:v>
                </c:pt>
                <c:pt idx="14">
                  <c:v>105.81</c:v>
                </c:pt>
                <c:pt idx="15">
                  <c:v>106.45</c:v>
                </c:pt>
                <c:pt idx="16">
                  <c:v>106.34</c:v>
                </c:pt>
                <c:pt idx="17">
                  <c:v>107.38</c:v>
                </c:pt>
                <c:pt idx="18">
                  <c:v>107.85</c:v>
                </c:pt>
                <c:pt idx="19">
                  <c:v>108.21</c:v>
                </c:pt>
                <c:pt idx="20">
                  <c:v>109.41</c:v>
                </c:pt>
                <c:pt idx="21">
                  <c:v>108.67</c:v>
                </c:pt>
                <c:pt idx="22">
                  <c:v>109.62</c:v>
                </c:pt>
                <c:pt idx="23">
                  <c:v>108.75</c:v>
                </c:pt>
                <c:pt idx="24">
                  <c:v>109.65</c:v>
                </c:pt>
                <c:pt idx="25">
                  <c:v>110.13</c:v>
                </c:pt>
                <c:pt idx="26">
                  <c:v>110.29</c:v>
                </c:pt>
                <c:pt idx="27">
                  <c:v>110.96</c:v>
                </c:pt>
                <c:pt idx="28">
                  <c:v>110.99</c:v>
                </c:pt>
                <c:pt idx="29">
                  <c:v>110.75</c:v>
                </c:pt>
                <c:pt idx="30">
                  <c:v>110.64</c:v>
                </c:pt>
                <c:pt idx="31">
                  <c:v>111.27</c:v>
                </c:pt>
                <c:pt idx="32">
                  <c:v>110.92</c:v>
                </c:pt>
                <c:pt idx="33">
                  <c:v>111.06</c:v>
                </c:pt>
                <c:pt idx="34">
                  <c:v>111.8</c:v>
                </c:pt>
                <c:pt idx="35">
                  <c:v>112.34</c:v>
                </c:pt>
                <c:pt idx="36">
                  <c:v>113.47</c:v>
                </c:pt>
                <c:pt idx="37">
                  <c:v>113.6</c:v>
                </c:pt>
                <c:pt idx="38">
                  <c:v>113.43</c:v>
                </c:pt>
                <c:pt idx="39">
                  <c:v>114.21</c:v>
                </c:pt>
                <c:pt idx="40">
                  <c:v>115.69</c:v>
                </c:pt>
                <c:pt idx="41">
                  <c:v>114.81</c:v>
                </c:pt>
                <c:pt idx="42">
                  <c:v>116.95</c:v>
                </c:pt>
                <c:pt idx="43">
                  <c:v>116.6</c:v>
                </c:pt>
                <c:pt idx="44">
                  <c:v>116.8</c:v>
                </c:pt>
                <c:pt idx="45">
                  <c:v>118.07</c:v>
                </c:pt>
                <c:pt idx="46">
                  <c:v>118.87</c:v>
                </c:pt>
                <c:pt idx="47">
                  <c:v>119.87</c:v>
                </c:pt>
                <c:pt idx="48">
                  <c:v>119.71</c:v>
                </c:pt>
                <c:pt idx="49">
                  <c:v>120.16</c:v>
                </c:pt>
                <c:pt idx="50">
                  <c:v>119.34</c:v>
                </c:pt>
                <c:pt idx="51">
                  <c:v>121.14</c:v>
                </c:pt>
                <c:pt idx="52">
                  <c:v>122.39</c:v>
                </c:pt>
                <c:pt idx="53">
                  <c:v>123.47</c:v>
                </c:pt>
                <c:pt idx="54">
                  <c:v>124.29</c:v>
                </c:pt>
                <c:pt idx="55">
                  <c:v>124.25</c:v>
                </c:pt>
                <c:pt idx="56">
                  <c:v>125.29</c:v>
                </c:pt>
                <c:pt idx="57">
                  <c:v>126.29</c:v>
                </c:pt>
                <c:pt idx="58">
                  <c:v>126.22</c:v>
                </c:pt>
                <c:pt idx="59">
                  <c:v>126.9</c:v>
                </c:pt>
                <c:pt idx="60">
                  <c:v>127.22</c:v>
                </c:pt>
                <c:pt idx="61">
                  <c:v>126.84</c:v>
                </c:pt>
                <c:pt idx="62">
                  <c:v>126.35</c:v>
                </c:pt>
                <c:pt idx="63">
                  <c:v>127.73</c:v>
                </c:pt>
                <c:pt idx="64">
                  <c:v>129.41999999999999</c:v>
                </c:pt>
                <c:pt idx="65">
                  <c:v>131.19999999999999</c:v>
                </c:pt>
                <c:pt idx="66">
                  <c:v>130.96</c:v>
                </c:pt>
                <c:pt idx="67">
                  <c:v>130.94999999999999</c:v>
                </c:pt>
                <c:pt idx="68">
                  <c:v>130.94</c:v>
                </c:pt>
                <c:pt idx="69">
                  <c:v>128.13</c:v>
                </c:pt>
                <c:pt idx="70">
                  <c:v>125.06</c:v>
                </c:pt>
                <c:pt idx="71">
                  <c:v>120.95</c:v>
                </c:pt>
                <c:pt idx="72">
                  <c:v>120.85</c:v>
                </c:pt>
                <c:pt idx="73">
                  <c:v>122.19</c:v>
                </c:pt>
                <c:pt idx="74">
                  <c:v>122.96</c:v>
                </c:pt>
                <c:pt idx="75">
                  <c:v>123.53</c:v>
                </c:pt>
                <c:pt idx="76">
                  <c:v>124.88</c:v>
                </c:pt>
                <c:pt idx="77">
                  <c:v>125.96</c:v>
                </c:pt>
                <c:pt idx="78">
                  <c:v>126.25</c:v>
                </c:pt>
                <c:pt idx="79">
                  <c:v>128.06</c:v>
                </c:pt>
                <c:pt idx="80">
                  <c:v>129.07</c:v>
                </c:pt>
                <c:pt idx="81">
                  <c:v>129.77000000000001</c:v>
                </c:pt>
                <c:pt idx="82">
                  <c:v>130.19</c:v>
                </c:pt>
                <c:pt idx="83">
                  <c:v>131.34</c:v>
                </c:pt>
                <c:pt idx="84">
                  <c:v>133.47</c:v>
                </c:pt>
                <c:pt idx="85">
                  <c:v>135.16999999999999</c:v>
                </c:pt>
                <c:pt idx="86">
                  <c:v>136.57</c:v>
                </c:pt>
                <c:pt idx="87">
                  <c:v>137.09</c:v>
                </c:pt>
                <c:pt idx="88">
                  <c:v>136.47</c:v>
                </c:pt>
                <c:pt idx="89">
                  <c:v>136.18</c:v>
                </c:pt>
                <c:pt idx="90">
                  <c:v>136.94</c:v>
                </c:pt>
                <c:pt idx="91">
                  <c:v>137.71</c:v>
                </c:pt>
                <c:pt idx="92">
                  <c:v>139.24</c:v>
                </c:pt>
                <c:pt idx="93">
                  <c:v>138.61000000000001</c:v>
                </c:pt>
                <c:pt idx="94">
                  <c:v>140.29</c:v>
                </c:pt>
                <c:pt idx="95">
                  <c:v>138.24</c:v>
                </c:pt>
                <c:pt idx="96">
                  <c:v>140.12</c:v>
                </c:pt>
                <c:pt idx="97">
                  <c:v>140.81</c:v>
                </c:pt>
                <c:pt idx="98">
                  <c:v>141.04</c:v>
                </c:pt>
                <c:pt idx="99">
                  <c:v>140.81</c:v>
                </c:pt>
                <c:pt idx="100">
                  <c:v>141.33000000000001</c:v>
                </c:pt>
                <c:pt idx="101">
                  <c:v>142.13</c:v>
                </c:pt>
                <c:pt idx="102">
                  <c:v>142.16999999999999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5-4601-9640-A48738B34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IBC-Br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- IBC-Br'!$B$2</c:f>
              <c:strCache>
                <c:ptCount val="1"/>
                <c:pt idx="0">
                  <c:v>IBC-Br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- IBC-Br'!$A$3:$A$105</c:f>
              <c:numCache>
                <c:formatCode>[$-416]mmm\-yy;@</c:formatCode>
                <c:ptCount val="103"/>
                <c:pt idx="0">
                  <c:v>37622</c:v>
                </c:pt>
                <c:pt idx="1">
                  <c:v>37653</c:v>
                </c:pt>
                <c:pt idx="2">
                  <c:v>37681</c:v>
                </c:pt>
                <c:pt idx="3">
                  <c:v>37712</c:v>
                </c:pt>
                <c:pt idx="4">
                  <c:v>37742</c:v>
                </c:pt>
                <c:pt idx="5">
                  <c:v>37773</c:v>
                </c:pt>
                <c:pt idx="6">
                  <c:v>37803</c:v>
                </c:pt>
                <c:pt idx="7">
                  <c:v>37834</c:v>
                </c:pt>
                <c:pt idx="8">
                  <c:v>37865</c:v>
                </c:pt>
                <c:pt idx="9">
                  <c:v>37895</c:v>
                </c:pt>
                <c:pt idx="10">
                  <c:v>37926</c:v>
                </c:pt>
                <c:pt idx="11">
                  <c:v>37956</c:v>
                </c:pt>
                <c:pt idx="12">
                  <c:v>37987</c:v>
                </c:pt>
                <c:pt idx="13">
                  <c:v>38018</c:v>
                </c:pt>
                <c:pt idx="14">
                  <c:v>38047</c:v>
                </c:pt>
                <c:pt idx="15">
                  <c:v>38078</c:v>
                </c:pt>
                <c:pt idx="16">
                  <c:v>38108</c:v>
                </c:pt>
                <c:pt idx="17">
                  <c:v>38139</c:v>
                </c:pt>
                <c:pt idx="18">
                  <c:v>38169</c:v>
                </c:pt>
                <c:pt idx="19">
                  <c:v>38200</c:v>
                </c:pt>
                <c:pt idx="20">
                  <c:v>38231</c:v>
                </c:pt>
                <c:pt idx="21">
                  <c:v>38261</c:v>
                </c:pt>
                <c:pt idx="22">
                  <c:v>38292</c:v>
                </c:pt>
                <c:pt idx="23">
                  <c:v>38322</c:v>
                </c:pt>
                <c:pt idx="24">
                  <c:v>38353</c:v>
                </c:pt>
                <c:pt idx="25">
                  <c:v>38384</c:v>
                </c:pt>
                <c:pt idx="26">
                  <c:v>38412</c:v>
                </c:pt>
                <c:pt idx="27">
                  <c:v>38443</c:v>
                </c:pt>
                <c:pt idx="28">
                  <c:v>38473</c:v>
                </c:pt>
                <c:pt idx="29">
                  <c:v>38504</c:v>
                </c:pt>
                <c:pt idx="30">
                  <c:v>38534</c:v>
                </c:pt>
                <c:pt idx="31">
                  <c:v>38565</c:v>
                </c:pt>
                <c:pt idx="32">
                  <c:v>38596</c:v>
                </c:pt>
                <c:pt idx="33">
                  <c:v>38626</c:v>
                </c:pt>
                <c:pt idx="34">
                  <c:v>38657</c:v>
                </c:pt>
                <c:pt idx="35">
                  <c:v>38687</c:v>
                </c:pt>
                <c:pt idx="36">
                  <c:v>38718</c:v>
                </c:pt>
                <c:pt idx="37">
                  <c:v>38749</c:v>
                </c:pt>
                <c:pt idx="38">
                  <c:v>38777</c:v>
                </c:pt>
                <c:pt idx="39">
                  <c:v>38808</c:v>
                </c:pt>
                <c:pt idx="40">
                  <c:v>38838</c:v>
                </c:pt>
                <c:pt idx="41">
                  <c:v>38869</c:v>
                </c:pt>
                <c:pt idx="42">
                  <c:v>38899</c:v>
                </c:pt>
                <c:pt idx="43">
                  <c:v>38930</c:v>
                </c:pt>
                <c:pt idx="44">
                  <c:v>38961</c:v>
                </c:pt>
                <c:pt idx="45">
                  <c:v>38991</c:v>
                </c:pt>
                <c:pt idx="46">
                  <c:v>39022</c:v>
                </c:pt>
                <c:pt idx="47">
                  <c:v>39052</c:v>
                </c:pt>
                <c:pt idx="48">
                  <c:v>39083</c:v>
                </c:pt>
                <c:pt idx="49">
                  <c:v>39114</c:v>
                </c:pt>
                <c:pt idx="50">
                  <c:v>39142</c:v>
                </c:pt>
                <c:pt idx="51">
                  <c:v>39173</c:v>
                </c:pt>
                <c:pt idx="52">
                  <c:v>39203</c:v>
                </c:pt>
                <c:pt idx="53">
                  <c:v>39234</c:v>
                </c:pt>
                <c:pt idx="54">
                  <c:v>39264</c:v>
                </c:pt>
                <c:pt idx="55">
                  <c:v>39295</c:v>
                </c:pt>
                <c:pt idx="56">
                  <c:v>39326</c:v>
                </c:pt>
                <c:pt idx="57">
                  <c:v>39356</c:v>
                </c:pt>
                <c:pt idx="58">
                  <c:v>39387</c:v>
                </c:pt>
                <c:pt idx="59">
                  <c:v>39417</c:v>
                </c:pt>
                <c:pt idx="60">
                  <c:v>39448</c:v>
                </c:pt>
                <c:pt idx="61">
                  <c:v>39479</c:v>
                </c:pt>
                <c:pt idx="62">
                  <c:v>39508</c:v>
                </c:pt>
                <c:pt idx="63">
                  <c:v>39539</c:v>
                </c:pt>
                <c:pt idx="64">
                  <c:v>39569</c:v>
                </c:pt>
                <c:pt idx="65">
                  <c:v>39600</c:v>
                </c:pt>
                <c:pt idx="66">
                  <c:v>39630</c:v>
                </c:pt>
                <c:pt idx="67">
                  <c:v>39661</c:v>
                </c:pt>
                <c:pt idx="68">
                  <c:v>39692</c:v>
                </c:pt>
                <c:pt idx="69">
                  <c:v>39722</c:v>
                </c:pt>
                <c:pt idx="70">
                  <c:v>39753</c:v>
                </c:pt>
                <c:pt idx="71">
                  <c:v>39783</c:v>
                </c:pt>
                <c:pt idx="72">
                  <c:v>39814</c:v>
                </c:pt>
                <c:pt idx="73">
                  <c:v>39845</c:v>
                </c:pt>
                <c:pt idx="74">
                  <c:v>39873</c:v>
                </c:pt>
                <c:pt idx="75">
                  <c:v>39904</c:v>
                </c:pt>
                <c:pt idx="76">
                  <c:v>39934</c:v>
                </c:pt>
                <c:pt idx="77">
                  <c:v>39965</c:v>
                </c:pt>
                <c:pt idx="78">
                  <c:v>39995</c:v>
                </c:pt>
                <c:pt idx="79">
                  <c:v>40026</c:v>
                </c:pt>
                <c:pt idx="80">
                  <c:v>40057</c:v>
                </c:pt>
                <c:pt idx="81">
                  <c:v>40087</c:v>
                </c:pt>
                <c:pt idx="82">
                  <c:v>40118</c:v>
                </c:pt>
                <c:pt idx="83">
                  <c:v>40148</c:v>
                </c:pt>
                <c:pt idx="84">
                  <c:v>40179</c:v>
                </c:pt>
                <c:pt idx="85">
                  <c:v>40210</c:v>
                </c:pt>
                <c:pt idx="86">
                  <c:v>40238</c:v>
                </c:pt>
                <c:pt idx="87">
                  <c:v>40269</c:v>
                </c:pt>
                <c:pt idx="88">
                  <c:v>40299</c:v>
                </c:pt>
                <c:pt idx="89">
                  <c:v>40330</c:v>
                </c:pt>
                <c:pt idx="90">
                  <c:v>40360</c:v>
                </c:pt>
                <c:pt idx="91">
                  <c:v>40391</c:v>
                </c:pt>
                <c:pt idx="92">
                  <c:v>40422</c:v>
                </c:pt>
                <c:pt idx="93">
                  <c:v>40452</c:v>
                </c:pt>
                <c:pt idx="94">
                  <c:v>40483</c:v>
                </c:pt>
                <c:pt idx="95">
                  <c:v>40513</c:v>
                </c:pt>
                <c:pt idx="96">
                  <c:v>40544</c:v>
                </c:pt>
                <c:pt idx="97">
                  <c:v>40575</c:v>
                </c:pt>
                <c:pt idx="98">
                  <c:v>40603</c:v>
                </c:pt>
                <c:pt idx="99">
                  <c:v>40634</c:v>
                </c:pt>
                <c:pt idx="100">
                  <c:v>40664</c:v>
                </c:pt>
                <c:pt idx="101">
                  <c:v>40695</c:v>
                </c:pt>
                <c:pt idx="102">
                  <c:v>40725</c:v>
                </c:pt>
              </c:numCache>
            </c:numRef>
          </c:cat>
          <c:val>
            <c:numRef>
              <c:f>'Monthly - IBC-Br'!$B$3:$B$105</c:f>
              <c:numCache>
                <c:formatCode>0.00</c:formatCode>
                <c:ptCount val="103"/>
                <c:pt idx="0">
                  <c:v>96.15</c:v>
                </c:pt>
                <c:pt idx="1">
                  <c:v>98.67</c:v>
                </c:pt>
                <c:pt idx="2">
                  <c:v>103.41</c:v>
                </c:pt>
                <c:pt idx="3">
                  <c:v>102.19</c:v>
                </c:pt>
                <c:pt idx="4">
                  <c:v>100.3</c:v>
                </c:pt>
                <c:pt idx="5">
                  <c:v>98.58</c:v>
                </c:pt>
                <c:pt idx="6">
                  <c:v>103.05</c:v>
                </c:pt>
                <c:pt idx="7">
                  <c:v>101.47</c:v>
                </c:pt>
                <c:pt idx="8">
                  <c:v>102.87</c:v>
                </c:pt>
                <c:pt idx="9">
                  <c:v>105.06</c:v>
                </c:pt>
                <c:pt idx="10">
                  <c:v>101.95</c:v>
                </c:pt>
                <c:pt idx="11">
                  <c:v>99.74</c:v>
                </c:pt>
                <c:pt idx="12">
                  <c:v>98.59</c:v>
                </c:pt>
                <c:pt idx="13">
                  <c:v>99.45</c:v>
                </c:pt>
                <c:pt idx="14">
                  <c:v>111.98</c:v>
                </c:pt>
                <c:pt idx="15">
                  <c:v>107.36</c:v>
                </c:pt>
                <c:pt idx="16">
                  <c:v>106.03</c:v>
                </c:pt>
                <c:pt idx="17">
                  <c:v>107</c:v>
                </c:pt>
                <c:pt idx="18">
                  <c:v>111.47</c:v>
                </c:pt>
                <c:pt idx="19">
                  <c:v>110.65</c:v>
                </c:pt>
                <c:pt idx="20">
                  <c:v>109.21</c:v>
                </c:pt>
                <c:pt idx="21">
                  <c:v>108.89</c:v>
                </c:pt>
                <c:pt idx="22">
                  <c:v>109.59</c:v>
                </c:pt>
                <c:pt idx="23">
                  <c:v>107.56</c:v>
                </c:pt>
                <c:pt idx="24">
                  <c:v>103.52</c:v>
                </c:pt>
                <c:pt idx="25">
                  <c:v>104</c:v>
                </c:pt>
                <c:pt idx="26">
                  <c:v>115.42</c:v>
                </c:pt>
                <c:pt idx="27">
                  <c:v>112.35</c:v>
                </c:pt>
                <c:pt idx="28">
                  <c:v>110.86</c:v>
                </c:pt>
                <c:pt idx="29">
                  <c:v>111.5</c:v>
                </c:pt>
                <c:pt idx="30">
                  <c:v>113.15</c:v>
                </c:pt>
                <c:pt idx="31">
                  <c:v>115.15</c:v>
                </c:pt>
                <c:pt idx="32">
                  <c:v>110.95</c:v>
                </c:pt>
                <c:pt idx="33">
                  <c:v>111.33</c:v>
                </c:pt>
                <c:pt idx="34">
                  <c:v>111.73</c:v>
                </c:pt>
                <c:pt idx="35">
                  <c:v>111.25</c:v>
                </c:pt>
                <c:pt idx="36">
                  <c:v>108.55</c:v>
                </c:pt>
                <c:pt idx="37">
                  <c:v>107.8</c:v>
                </c:pt>
                <c:pt idx="38">
                  <c:v>119.09</c:v>
                </c:pt>
                <c:pt idx="39">
                  <c:v>112.61</c:v>
                </c:pt>
                <c:pt idx="40">
                  <c:v>117.19</c:v>
                </c:pt>
                <c:pt idx="41">
                  <c:v>114.4</c:v>
                </c:pt>
                <c:pt idx="42">
                  <c:v>119.41</c:v>
                </c:pt>
                <c:pt idx="43">
                  <c:v>121.06</c:v>
                </c:pt>
                <c:pt idx="44">
                  <c:v>116.21</c:v>
                </c:pt>
                <c:pt idx="45">
                  <c:v>119.33</c:v>
                </c:pt>
                <c:pt idx="46">
                  <c:v>118.67</c:v>
                </c:pt>
                <c:pt idx="47">
                  <c:v>116.3</c:v>
                </c:pt>
                <c:pt idx="48">
                  <c:v>114.79</c:v>
                </c:pt>
                <c:pt idx="49">
                  <c:v>113.33</c:v>
                </c:pt>
                <c:pt idx="50">
                  <c:v>125.11</c:v>
                </c:pt>
                <c:pt idx="51">
                  <c:v>120.29</c:v>
                </c:pt>
                <c:pt idx="52">
                  <c:v>123.9</c:v>
                </c:pt>
                <c:pt idx="53">
                  <c:v>122.38</c:v>
                </c:pt>
                <c:pt idx="54">
                  <c:v>127.85</c:v>
                </c:pt>
                <c:pt idx="55">
                  <c:v>129.05000000000001</c:v>
                </c:pt>
                <c:pt idx="56">
                  <c:v>123.24</c:v>
                </c:pt>
                <c:pt idx="57">
                  <c:v>129.16999999999999</c:v>
                </c:pt>
                <c:pt idx="58">
                  <c:v>125.88</c:v>
                </c:pt>
                <c:pt idx="59">
                  <c:v>122.43</c:v>
                </c:pt>
                <c:pt idx="60">
                  <c:v>121.86</c:v>
                </c:pt>
                <c:pt idx="61">
                  <c:v>121.91</c:v>
                </c:pt>
                <c:pt idx="62">
                  <c:v>128.99</c:v>
                </c:pt>
                <c:pt idx="63">
                  <c:v>129.47999999999999</c:v>
                </c:pt>
                <c:pt idx="64">
                  <c:v>128.91999999999999</c:v>
                </c:pt>
                <c:pt idx="65">
                  <c:v>130.59</c:v>
                </c:pt>
                <c:pt idx="66">
                  <c:v>136.53</c:v>
                </c:pt>
                <c:pt idx="67">
                  <c:v>133.87</c:v>
                </c:pt>
                <c:pt idx="68">
                  <c:v>132.6</c:v>
                </c:pt>
                <c:pt idx="69">
                  <c:v>132.80000000000001</c:v>
                </c:pt>
                <c:pt idx="70">
                  <c:v>124.58</c:v>
                </c:pt>
                <c:pt idx="71">
                  <c:v>118.9</c:v>
                </c:pt>
                <c:pt idx="72">
                  <c:v>115.2</c:v>
                </c:pt>
                <c:pt idx="73">
                  <c:v>115.26</c:v>
                </c:pt>
                <c:pt idx="74">
                  <c:v>127.81</c:v>
                </c:pt>
                <c:pt idx="75">
                  <c:v>123.09</c:v>
                </c:pt>
                <c:pt idx="76">
                  <c:v>124.41</c:v>
                </c:pt>
                <c:pt idx="77">
                  <c:v>125.61</c:v>
                </c:pt>
                <c:pt idx="78">
                  <c:v>131.44</c:v>
                </c:pt>
                <c:pt idx="79">
                  <c:v>130.69999999999999</c:v>
                </c:pt>
                <c:pt idx="80">
                  <c:v>129.81</c:v>
                </c:pt>
                <c:pt idx="81">
                  <c:v>132.47999999999999</c:v>
                </c:pt>
                <c:pt idx="82">
                  <c:v>129.62</c:v>
                </c:pt>
                <c:pt idx="83">
                  <c:v>129.22999999999999</c:v>
                </c:pt>
                <c:pt idx="84">
                  <c:v>125.81</c:v>
                </c:pt>
                <c:pt idx="85">
                  <c:v>127.61</c:v>
                </c:pt>
                <c:pt idx="86">
                  <c:v>143.44</c:v>
                </c:pt>
                <c:pt idx="87">
                  <c:v>136.87</c:v>
                </c:pt>
                <c:pt idx="88">
                  <c:v>136.52000000000001</c:v>
                </c:pt>
                <c:pt idx="89">
                  <c:v>136.09</c:v>
                </c:pt>
                <c:pt idx="90">
                  <c:v>141.63999999999999</c:v>
                </c:pt>
                <c:pt idx="91">
                  <c:v>141.55000000000001</c:v>
                </c:pt>
                <c:pt idx="92">
                  <c:v>139.46</c:v>
                </c:pt>
                <c:pt idx="93">
                  <c:v>139.33000000000001</c:v>
                </c:pt>
                <c:pt idx="94">
                  <c:v>139.68</c:v>
                </c:pt>
                <c:pt idx="95">
                  <c:v>136.69</c:v>
                </c:pt>
                <c:pt idx="96">
                  <c:v>132.66</c:v>
                </c:pt>
                <c:pt idx="97">
                  <c:v>136.18</c:v>
                </c:pt>
                <c:pt idx="98">
                  <c:v>144.93</c:v>
                </c:pt>
                <c:pt idx="99">
                  <c:v>139.88999999999999</c:v>
                </c:pt>
                <c:pt idx="100">
                  <c:v>143.22999999999999</c:v>
                </c:pt>
                <c:pt idx="101">
                  <c:v>141.75</c:v>
                </c:pt>
                <c:pt idx="102">
                  <c:v>145.19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F2-4774-85A6-745393C10862}"/>
            </c:ext>
          </c:extLst>
        </c:ser>
        <c:ser>
          <c:idx val="1"/>
          <c:order val="1"/>
          <c:tx>
            <c:v>xlDESSAZ SA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- IBC-Br'!$A$3:$A$105</c:f>
              <c:numCache>
                <c:formatCode>[$-416]mmm\-yy;@</c:formatCode>
                <c:ptCount val="103"/>
                <c:pt idx="0">
                  <c:v>37622</c:v>
                </c:pt>
                <c:pt idx="1">
                  <c:v>37653</c:v>
                </c:pt>
                <c:pt idx="2">
                  <c:v>37681</c:v>
                </c:pt>
                <c:pt idx="3">
                  <c:v>37712</c:v>
                </c:pt>
                <c:pt idx="4">
                  <c:v>37742</c:v>
                </c:pt>
                <c:pt idx="5">
                  <c:v>37773</c:v>
                </c:pt>
                <c:pt idx="6">
                  <c:v>37803</c:v>
                </c:pt>
                <c:pt idx="7">
                  <c:v>37834</c:v>
                </c:pt>
                <c:pt idx="8">
                  <c:v>37865</c:v>
                </c:pt>
                <c:pt idx="9">
                  <c:v>37895</c:v>
                </c:pt>
                <c:pt idx="10">
                  <c:v>37926</c:v>
                </c:pt>
                <c:pt idx="11">
                  <c:v>37956</c:v>
                </c:pt>
                <c:pt idx="12">
                  <c:v>37987</c:v>
                </c:pt>
                <c:pt idx="13">
                  <c:v>38018</c:v>
                </c:pt>
                <c:pt idx="14">
                  <c:v>38047</c:v>
                </c:pt>
                <c:pt idx="15">
                  <c:v>38078</c:v>
                </c:pt>
                <c:pt idx="16">
                  <c:v>38108</c:v>
                </c:pt>
                <c:pt idx="17">
                  <c:v>38139</c:v>
                </c:pt>
                <c:pt idx="18">
                  <c:v>38169</c:v>
                </c:pt>
                <c:pt idx="19">
                  <c:v>38200</c:v>
                </c:pt>
                <c:pt idx="20">
                  <c:v>38231</c:v>
                </c:pt>
                <c:pt idx="21">
                  <c:v>38261</c:v>
                </c:pt>
                <c:pt idx="22">
                  <c:v>38292</c:v>
                </c:pt>
                <c:pt idx="23">
                  <c:v>38322</c:v>
                </c:pt>
                <c:pt idx="24">
                  <c:v>38353</c:v>
                </c:pt>
                <c:pt idx="25">
                  <c:v>38384</c:v>
                </c:pt>
                <c:pt idx="26">
                  <c:v>38412</c:v>
                </c:pt>
                <c:pt idx="27">
                  <c:v>38443</c:v>
                </c:pt>
                <c:pt idx="28">
                  <c:v>38473</c:v>
                </c:pt>
                <c:pt idx="29">
                  <c:v>38504</c:v>
                </c:pt>
                <c:pt idx="30">
                  <c:v>38534</c:v>
                </c:pt>
                <c:pt idx="31">
                  <c:v>38565</c:v>
                </c:pt>
                <c:pt idx="32">
                  <c:v>38596</c:v>
                </c:pt>
                <c:pt idx="33">
                  <c:v>38626</c:v>
                </c:pt>
                <c:pt idx="34">
                  <c:v>38657</c:v>
                </c:pt>
                <c:pt idx="35">
                  <c:v>38687</c:v>
                </c:pt>
                <c:pt idx="36">
                  <c:v>38718</c:v>
                </c:pt>
                <c:pt idx="37">
                  <c:v>38749</c:v>
                </c:pt>
                <c:pt idx="38">
                  <c:v>38777</c:v>
                </c:pt>
                <c:pt idx="39">
                  <c:v>38808</c:v>
                </c:pt>
                <c:pt idx="40">
                  <c:v>38838</c:v>
                </c:pt>
                <c:pt idx="41">
                  <c:v>38869</c:v>
                </c:pt>
                <c:pt idx="42">
                  <c:v>38899</c:v>
                </c:pt>
                <c:pt idx="43">
                  <c:v>38930</c:v>
                </c:pt>
                <c:pt idx="44">
                  <c:v>38961</c:v>
                </c:pt>
                <c:pt idx="45">
                  <c:v>38991</c:v>
                </c:pt>
                <c:pt idx="46">
                  <c:v>39022</c:v>
                </c:pt>
                <c:pt idx="47">
                  <c:v>39052</c:v>
                </c:pt>
                <c:pt idx="48">
                  <c:v>39083</c:v>
                </c:pt>
                <c:pt idx="49">
                  <c:v>39114</c:v>
                </c:pt>
                <c:pt idx="50">
                  <c:v>39142</c:v>
                </c:pt>
                <c:pt idx="51">
                  <c:v>39173</c:v>
                </c:pt>
                <c:pt idx="52">
                  <c:v>39203</c:v>
                </c:pt>
                <c:pt idx="53">
                  <c:v>39234</c:v>
                </c:pt>
                <c:pt idx="54">
                  <c:v>39264</c:v>
                </c:pt>
                <c:pt idx="55">
                  <c:v>39295</c:v>
                </c:pt>
                <c:pt idx="56">
                  <c:v>39326</c:v>
                </c:pt>
                <c:pt idx="57">
                  <c:v>39356</c:v>
                </c:pt>
                <c:pt idx="58">
                  <c:v>39387</c:v>
                </c:pt>
                <c:pt idx="59">
                  <c:v>39417</c:v>
                </c:pt>
                <c:pt idx="60">
                  <c:v>39448</c:v>
                </c:pt>
                <c:pt idx="61">
                  <c:v>39479</c:v>
                </c:pt>
                <c:pt idx="62">
                  <c:v>39508</c:v>
                </c:pt>
                <c:pt idx="63">
                  <c:v>39539</c:v>
                </c:pt>
                <c:pt idx="64">
                  <c:v>39569</c:v>
                </c:pt>
                <c:pt idx="65">
                  <c:v>39600</c:v>
                </c:pt>
                <c:pt idx="66">
                  <c:v>39630</c:v>
                </c:pt>
                <c:pt idx="67">
                  <c:v>39661</c:v>
                </c:pt>
                <c:pt idx="68">
                  <c:v>39692</c:v>
                </c:pt>
                <c:pt idx="69">
                  <c:v>39722</c:v>
                </c:pt>
                <c:pt idx="70">
                  <c:v>39753</c:v>
                </c:pt>
                <c:pt idx="71">
                  <c:v>39783</c:v>
                </c:pt>
                <c:pt idx="72">
                  <c:v>39814</c:v>
                </c:pt>
                <c:pt idx="73">
                  <c:v>39845</c:v>
                </c:pt>
                <c:pt idx="74">
                  <c:v>39873</c:v>
                </c:pt>
                <c:pt idx="75">
                  <c:v>39904</c:v>
                </c:pt>
                <c:pt idx="76">
                  <c:v>39934</c:v>
                </c:pt>
                <c:pt idx="77">
                  <c:v>39965</c:v>
                </c:pt>
                <c:pt idx="78">
                  <c:v>39995</c:v>
                </c:pt>
                <c:pt idx="79">
                  <c:v>40026</c:v>
                </c:pt>
                <c:pt idx="80">
                  <c:v>40057</c:v>
                </c:pt>
                <c:pt idx="81">
                  <c:v>40087</c:v>
                </c:pt>
                <c:pt idx="82">
                  <c:v>40118</c:v>
                </c:pt>
                <c:pt idx="83">
                  <c:v>40148</c:v>
                </c:pt>
                <c:pt idx="84">
                  <c:v>40179</c:v>
                </c:pt>
                <c:pt idx="85">
                  <c:v>40210</c:v>
                </c:pt>
                <c:pt idx="86">
                  <c:v>40238</c:v>
                </c:pt>
                <c:pt idx="87">
                  <c:v>40269</c:v>
                </c:pt>
                <c:pt idx="88">
                  <c:v>40299</c:v>
                </c:pt>
                <c:pt idx="89">
                  <c:v>40330</c:v>
                </c:pt>
                <c:pt idx="90">
                  <c:v>40360</c:v>
                </c:pt>
                <c:pt idx="91">
                  <c:v>40391</c:v>
                </c:pt>
                <c:pt idx="92">
                  <c:v>40422</c:v>
                </c:pt>
                <c:pt idx="93">
                  <c:v>40452</c:v>
                </c:pt>
                <c:pt idx="94">
                  <c:v>40483</c:v>
                </c:pt>
                <c:pt idx="95">
                  <c:v>40513</c:v>
                </c:pt>
                <c:pt idx="96">
                  <c:v>40544</c:v>
                </c:pt>
                <c:pt idx="97">
                  <c:v>40575</c:v>
                </c:pt>
                <c:pt idx="98">
                  <c:v>40603</c:v>
                </c:pt>
                <c:pt idx="99">
                  <c:v>40634</c:v>
                </c:pt>
                <c:pt idx="100">
                  <c:v>40664</c:v>
                </c:pt>
                <c:pt idx="101">
                  <c:v>40695</c:v>
                </c:pt>
                <c:pt idx="102">
                  <c:v>40725</c:v>
                </c:pt>
              </c:numCache>
            </c:numRef>
          </c:cat>
          <c:val>
            <c:numRef>
              <c:f>'Monthly - IBC-Br'!$E$3:$E$105</c:f>
              <c:numCache>
                <c:formatCode>0.0</c:formatCode>
                <c:ptCount val="103"/>
                <c:pt idx="0">
                  <c:v>100.498050423983</c:v>
                </c:pt>
                <c:pt idx="1">
                  <c:v>102.003989431153</c:v>
                </c:pt>
                <c:pt idx="2">
                  <c:v>101.76529100051</c:v>
                </c:pt>
                <c:pt idx="3">
                  <c:v>100.938417368765</c:v>
                </c:pt>
                <c:pt idx="4">
                  <c:v>99.795972897947905</c:v>
                </c:pt>
                <c:pt idx="5">
                  <c:v>100.39422086085401</c:v>
                </c:pt>
                <c:pt idx="6">
                  <c:v>99.117415746327097</c:v>
                </c:pt>
                <c:pt idx="7">
                  <c:v>99.7177268355194</c:v>
                </c:pt>
                <c:pt idx="8">
                  <c:v>101.811675550701</c:v>
                </c:pt>
                <c:pt idx="9">
                  <c:v>101.880818098048</c:v>
                </c:pt>
                <c:pt idx="10">
                  <c:v>101.973159862332</c:v>
                </c:pt>
                <c:pt idx="11">
                  <c:v>101.586666280949</c:v>
                </c:pt>
                <c:pt idx="12">
                  <c:v>103.614858958376</c:v>
                </c:pt>
                <c:pt idx="13">
                  <c:v>104.477184002843</c:v>
                </c:pt>
                <c:pt idx="14">
                  <c:v>105.812398569129</c:v>
                </c:pt>
                <c:pt idx="15">
                  <c:v>106.45475247373901</c:v>
                </c:pt>
                <c:pt idx="16">
                  <c:v>106.33746575830899</c:v>
                </c:pt>
                <c:pt idx="17">
                  <c:v>107.375314718082</c:v>
                </c:pt>
                <c:pt idx="18">
                  <c:v>107.848949164426</c:v>
                </c:pt>
                <c:pt idx="19">
                  <c:v>108.210314589394</c:v>
                </c:pt>
                <c:pt idx="20">
                  <c:v>109.40826553101699</c:v>
                </c:pt>
                <c:pt idx="21">
                  <c:v>108.673211650547</c:v>
                </c:pt>
                <c:pt idx="22">
                  <c:v>109.620805096678</c:v>
                </c:pt>
                <c:pt idx="23">
                  <c:v>108.750537824944</c:v>
                </c:pt>
                <c:pt idx="24">
                  <c:v>109.646371061213</c:v>
                </c:pt>
                <c:pt idx="25">
                  <c:v>110.129534520596</c:v>
                </c:pt>
                <c:pt idx="26">
                  <c:v>110.293287353217</c:v>
                </c:pt>
                <c:pt idx="27">
                  <c:v>110.957501659781</c:v>
                </c:pt>
                <c:pt idx="28">
                  <c:v>110.986940880105</c:v>
                </c:pt>
                <c:pt idx="29">
                  <c:v>110.74862360116499</c:v>
                </c:pt>
                <c:pt idx="30">
                  <c:v>110.636520905802</c:v>
                </c:pt>
                <c:pt idx="31">
                  <c:v>111.27259849370699</c:v>
                </c:pt>
                <c:pt idx="32">
                  <c:v>110.91528812662401</c:v>
                </c:pt>
                <c:pt idx="33">
                  <c:v>111.064722785999</c:v>
                </c:pt>
                <c:pt idx="34">
                  <c:v>111.799789279797</c:v>
                </c:pt>
                <c:pt idx="35">
                  <c:v>112.344243882328</c:v>
                </c:pt>
                <c:pt idx="36">
                  <c:v>113.469171570933</c:v>
                </c:pt>
                <c:pt idx="37">
                  <c:v>113.597215115655</c:v>
                </c:pt>
                <c:pt idx="38">
                  <c:v>113.43190328745</c:v>
                </c:pt>
                <c:pt idx="39">
                  <c:v>114.209309600781</c:v>
                </c:pt>
                <c:pt idx="40">
                  <c:v>115.687529671349</c:v>
                </c:pt>
                <c:pt idx="41">
                  <c:v>114.813663973567</c:v>
                </c:pt>
                <c:pt idx="42">
                  <c:v>116.947738137172</c:v>
                </c:pt>
                <c:pt idx="43">
                  <c:v>116.601432516701</c:v>
                </c:pt>
                <c:pt idx="44">
                  <c:v>116.797996843357</c:v>
                </c:pt>
                <c:pt idx="45">
                  <c:v>118.07270662266799</c:v>
                </c:pt>
                <c:pt idx="46">
                  <c:v>118.866023115085</c:v>
                </c:pt>
                <c:pt idx="47">
                  <c:v>119.868640356285</c:v>
                </c:pt>
                <c:pt idx="48">
                  <c:v>119.709200807885</c:v>
                </c:pt>
                <c:pt idx="49">
                  <c:v>120.163267372447</c:v>
                </c:pt>
                <c:pt idx="50">
                  <c:v>119.34280677963601</c:v>
                </c:pt>
                <c:pt idx="51">
                  <c:v>121.135931900979</c:v>
                </c:pt>
                <c:pt idx="52">
                  <c:v>122.390623496016</c:v>
                </c:pt>
                <c:pt idx="53">
                  <c:v>123.47017542367399</c:v>
                </c:pt>
                <c:pt idx="54">
                  <c:v>124.28845365242699</c:v>
                </c:pt>
                <c:pt idx="55">
                  <c:v>124.251457605472</c:v>
                </c:pt>
                <c:pt idx="56">
                  <c:v>125.28513263087601</c:v>
                </c:pt>
                <c:pt idx="57">
                  <c:v>126.293279078268</c:v>
                </c:pt>
                <c:pt idx="58">
                  <c:v>126.22120534469001</c:v>
                </c:pt>
                <c:pt idx="59">
                  <c:v>126.90051219800399</c:v>
                </c:pt>
                <c:pt idx="60">
                  <c:v>127.22351323624601</c:v>
                </c:pt>
                <c:pt idx="61">
                  <c:v>126.83586051399099</c:v>
                </c:pt>
                <c:pt idx="62">
                  <c:v>126.349338918198</c:v>
                </c:pt>
                <c:pt idx="63">
                  <c:v>127.72569199262701</c:v>
                </c:pt>
                <c:pt idx="64">
                  <c:v>129.41832033864</c:v>
                </c:pt>
                <c:pt idx="65">
                  <c:v>131.20342560078799</c:v>
                </c:pt>
                <c:pt idx="66">
                  <c:v>130.96313614634701</c:v>
                </c:pt>
                <c:pt idx="67">
                  <c:v>130.94507589333</c:v>
                </c:pt>
                <c:pt idx="68">
                  <c:v>130.93818790177201</c:v>
                </c:pt>
                <c:pt idx="69">
                  <c:v>128.13046690950699</c:v>
                </c:pt>
                <c:pt idx="70">
                  <c:v>125.063975179057</c:v>
                </c:pt>
                <c:pt idx="71">
                  <c:v>120.94629257877</c:v>
                </c:pt>
                <c:pt idx="72">
                  <c:v>120.850700865896</c:v>
                </c:pt>
                <c:pt idx="73">
                  <c:v>122.18762654451299</c:v>
                </c:pt>
                <c:pt idx="74">
                  <c:v>122.963596948842</c:v>
                </c:pt>
                <c:pt idx="75">
                  <c:v>123.53450073120899</c:v>
                </c:pt>
                <c:pt idx="76">
                  <c:v>124.87942034163299</c:v>
                </c:pt>
                <c:pt idx="77">
                  <c:v>125.956917137692</c:v>
                </c:pt>
                <c:pt idx="78">
                  <c:v>126.25151819206199</c:v>
                </c:pt>
                <c:pt idx="79">
                  <c:v>128.058464552852</c:v>
                </c:pt>
                <c:pt idx="80">
                  <c:v>129.066404350954</c:v>
                </c:pt>
                <c:pt idx="81">
                  <c:v>129.765520148055</c:v>
                </c:pt>
                <c:pt idx="82">
                  <c:v>130.18522864930301</c:v>
                </c:pt>
                <c:pt idx="83">
                  <c:v>131.33544383082599</c:v>
                </c:pt>
                <c:pt idx="84">
                  <c:v>133.47461313406799</c:v>
                </c:pt>
                <c:pt idx="85">
                  <c:v>135.173923976331</c:v>
                </c:pt>
                <c:pt idx="86">
                  <c:v>136.57158113931999</c:v>
                </c:pt>
                <c:pt idx="87">
                  <c:v>137.094222563546</c:v>
                </c:pt>
                <c:pt idx="88">
                  <c:v>136.465966906939</c:v>
                </c:pt>
                <c:pt idx="89">
                  <c:v>136.180842221191</c:v>
                </c:pt>
                <c:pt idx="90">
                  <c:v>136.93870646308301</c:v>
                </c:pt>
                <c:pt idx="91">
                  <c:v>137.70905093278799</c:v>
                </c:pt>
                <c:pt idx="92">
                  <c:v>139.23756315451001</c:v>
                </c:pt>
                <c:pt idx="93">
                  <c:v>138.61427440307</c:v>
                </c:pt>
                <c:pt idx="94">
                  <c:v>140.28566005862999</c:v>
                </c:pt>
                <c:pt idx="95">
                  <c:v>138.23992663044899</c:v>
                </c:pt>
                <c:pt idx="96">
                  <c:v>140.118540526022</c:v>
                </c:pt>
                <c:pt idx="97">
                  <c:v>140.80680390150701</c:v>
                </c:pt>
                <c:pt idx="98">
                  <c:v>141.035978430413</c:v>
                </c:pt>
                <c:pt idx="99">
                  <c:v>140.80633607843899</c:v>
                </c:pt>
                <c:pt idx="100">
                  <c:v>141.326419377642</c:v>
                </c:pt>
                <c:pt idx="101">
                  <c:v>142.13403828654299</c:v>
                </c:pt>
                <c:pt idx="102">
                  <c:v>142.17193379948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F2-4774-85A6-745393C10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Difference of 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- IBC-Br'!$L$2</c:f>
              <c:strCache>
                <c:ptCount val="1"/>
                <c:pt idx="0">
                  <c:v>Diff of SAs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'Monthly - IBC-Br'!$A$3:$A$105</c:f>
              <c:numCache>
                <c:formatCode>[$-416]mmm\-yy;@</c:formatCode>
                <c:ptCount val="103"/>
                <c:pt idx="0">
                  <c:v>37622</c:v>
                </c:pt>
                <c:pt idx="1">
                  <c:v>37653</c:v>
                </c:pt>
                <c:pt idx="2">
                  <c:v>37681</c:v>
                </c:pt>
                <c:pt idx="3">
                  <c:v>37712</c:v>
                </c:pt>
                <c:pt idx="4">
                  <c:v>37742</c:v>
                </c:pt>
                <c:pt idx="5">
                  <c:v>37773</c:v>
                </c:pt>
                <c:pt idx="6">
                  <c:v>37803</c:v>
                </c:pt>
                <c:pt idx="7">
                  <c:v>37834</c:v>
                </c:pt>
                <c:pt idx="8">
                  <c:v>37865</c:v>
                </c:pt>
                <c:pt idx="9">
                  <c:v>37895</c:v>
                </c:pt>
                <c:pt idx="10">
                  <c:v>37926</c:v>
                </c:pt>
                <c:pt idx="11">
                  <c:v>37956</c:v>
                </c:pt>
                <c:pt idx="12">
                  <c:v>37987</c:v>
                </c:pt>
                <c:pt idx="13">
                  <c:v>38018</c:v>
                </c:pt>
                <c:pt idx="14">
                  <c:v>38047</c:v>
                </c:pt>
                <c:pt idx="15">
                  <c:v>38078</c:v>
                </c:pt>
                <c:pt idx="16">
                  <c:v>38108</c:v>
                </c:pt>
                <c:pt idx="17">
                  <c:v>38139</c:v>
                </c:pt>
                <c:pt idx="18">
                  <c:v>38169</c:v>
                </c:pt>
                <c:pt idx="19">
                  <c:v>38200</c:v>
                </c:pt>
                <c:pt idx="20">
                  <c:v>38231</c:v>
                </c:pt>
                <c:pt idx="21">
                  <c:v>38261</c:v>
                </c:pt>
                <c:pt idx="22">
                  <c:v>38292</c:v>
                </c:pt>
                <c:pt idx="23">
                  <c:v>38322</c:v>
                </c:pt>
                <c:pt idx="24">
                  <c:v>38353</c:v>
                </c:pt>
                <c:pt idx="25">
                  <c:v>38384</c:v>
                </c:pt>
                <c:pt idx="26">
                  <c:v>38412</c:v>
                </c:pt>
                <c:pt idx="27">
                  <c:v>38443</c:v>
                </c:pt>
                <c:pt idx="28">
                  <c:v>38473</c:v>
                </c:pt>
                <c:pt idx="29">
                  <c:v>38504</c:v>
                </c:pt>
                <c:pt idx="30">
                  <c:v>38534</c:v>
                </c:pt>
                <c:pt idx="31">
                  <c:v>38565</c:v>
                </c:pt>
                <c:pt idx="32">
                  <c:v>38596</c:v>
                </c:pt>
                <c:pt idx="33">
                  <c:v>38626</c:v>
                </c:pt>
                <c:pt idx="34">
                  <c:v>38657</c:v>
                </c:pt>
                <c:pt idx="35">
                  <c:v>38687</c:v>
                </c:pt>
                <c:pt idx="36">
                  <c:v>38718</c:v>
                </c:pt>
                <c:pt idx="37">
                  <c:v>38749</c:v>
                </c:pt>
                <c:pt idx="38">
                  <c:v>38777</c:v>
                </c:pt>
                <c:pt idx="39">
                  <c:v>38808</c:v>
                </c:pt>
                <c:pt idx="40">
                  <c:v>38838</c:v>
                </c:pt>
                <c:pt idx="41">
                  <c:v>38869</c:v>
                </c:pt>
                <c:pt idx="42">
                  <c:v>38899</c:v>
                </c:pt>
                <c:pt idx="43">
                  <c:v>38930</c:v>
                </c:pt>
                <c:pt idx="44">
                  <c:v>38961</c:v>
                </c:pt>
                <c:pt idx="45">
                  <c:v>38991</c:v>
                </c:pt>
                <c:pt idx="46">
                  <c:v>39022</c:v>
                </c:pt>
                <c:pt idx="47">
                  <c:v>39052</c:v>
                </c:pt>
                <c:pt idx="48">
                  <c:v>39083</c:v>
                </c:pt>
                <c:pt idx="49">
                  <c:v>39114</c:v>
                </c:pt>
                <c:pt idx="50">
                  <c:v>39142</c:v>
                </c:pt>
                <c:pt idx="51">
                  <c:v>39173</c:v>
                </c:pt>
                <c:pt idx="52">
                  <c:v>39203</c:v>
                </c:pt>
                <c:pt idx="53">
                  <c:v>39234</c:v>
                </c:pt>
                <c:pt idx="54">
                  <c:v>39264</c:v>
                </c:pt>
                <c:pt idx="55">
                  <c:v>39295</c:v>
                </c:pt>
                <c:pt idx="56">
                  <c:v>39326</c:v>
                </c:pt>
                <c:pt idx="57">
                  <c:v>39356</c:v>
                </c:pt>
                <c:pt idx="58">
                  <c:v>39387</c:v>
                </c:pt>
                <c:pt idx="59">
                  <c:v>39417</c:v>
                </c:pt>
                <c:pt idx="60">
                  <c:v>39448</c:v>
                </c:pt>
                <c:pt idx="61">
                  <c:v>39479</c:v>
                </c:pt>
                <c:pt idx="62">
                  <c:v>39508</c:v>
                </c:pt>
                <c:pt idx="63">
                  <c:v>39539</c:v>
                </c:pt>
                <c:pt idx="64">
                  <c:v>39569</c:v>
                </c:pt>
                <c:pt idx="65">
                  <c:v>39600</c:v>
                </c:pt>
                <c:pt idx="66">
                  <c:v>39630</c:v>
                </c:pt>
                <c:pt idx="67">
                  <c:v>39661</c:v>
                </c:pt>
                <c:pt idx="68">
                  <c:v>39692</c:v>
                </c:pt>
                <c:pt idx="69">
                  <c:v>39722</c:v>
                </c:pt>
                <c:pt idx="70">
                  <c:v>39753</c:v>
                </c:pt>
                <c:pt idx="71">
                  <c:v>39783</c:v>
                </c:pt>
                <c:pt idx="72">
                  <c:v>39814</c:v>
                </c:pt>
                <c:pt idx="73">
                  <c:v>39845</c:v>
                </c:pt>
                <c:pt idx="74">
                  <c:v>39873</c:v>
                </c:pt>
                <c:pt idx="75">
                  <c:v>39904</c:v>
                </c:pt>
                <c:pt idx="76">
                  <c:v>39934</c:v>
                </c:pt>
                <c:pt idx="77">
                  <c:v>39965</c:v>
                </c:pt>
                <c:pt idx="78">
                  <c:v>39995</c:v>
                </c:pt>
                <c:pt idx="79">
                  <c:v>40026</c:v>
                </c:pt>
                <c:pt idx="80">
                  <c:v>40057</c:v>
                </c:pt>
                <c:pt idx="81">
                  <c:v>40087</c:v>
                </c:pt>
                <c:pt idx="82">
                  <c:v>40118</c:v>
                </c:pt>
                <c:pt idx="83">
                  <c:v>40148</c:v>
                </c:pt>
                <c:pt idx="84">
                  <c:v>40179</c:v>
                </c:pt>
                <c:pt idx="85">
                  <c:v>40210</c:v>
                </c:pt>
                <c:pt idx="86">
                  <c:v>40238</c:v>
                </c:pt>
                <c:pt idx="87">
                  <c:v>40269</c:v>
                </c:pt>
                <c:pt idx="88">
                  <c:v>40299</c:v>
                </c:pt>
                <c:pt idx="89">
                  <c:v>40330</c:v>
                </c:pt>
                <c:pt idx="90">
                  <c:v>40360</c:v>
                </c:pt>
                <c:pt idx="91">
                  <c:v>40391</c:v>
                </c:pt>
                <c:pt idx="92">
                  <c:v>40422</c:v>
                </c:pt>
                <c:pt idx="93">
                  <c:v>40452</c:v>
                </c:pt>
                <c:pt idx="94">
                  <c:v>40483</c:v>
                </c:pt>
                <c:pt idx="95">
                  <c:v>40513</c:v>
                </c:pt>
                <c:pt idx="96">
                  <c:v>40544</c:v>
                </c:pt>
                <c:pt idx="97">
                  <c:v>40575</c:v>
                </c:pt>
                <c:pt idx="98">
                  <c:v>40603</c:v>
                </c:pt>
                <c:pt idx="99">
                  <c:v>40634</c:v>
                </c:pt>
                <c:pt idx="100">
                  <c:v>40664</c:v>
                </c:pt>
                <c:pt idx="101">
                  <c:v>40695</c:v>
                </c:pt>
                <c:pt idx="102">
                  <c:v>40725</c:v>
                </c:pt>
              </c:numCache>
            </c:numRef>
          </c:cat>
          <c:val>
            <c:numRef>
              <c:f>'Monthly - IBC-Br'!$L$3:$L$105</c:f>
              <c:numCache>
                <c:formatCode>0.0%</c:formatCode>
                <c:ptCount val="103"/>
                <c:pt idx="0">
                  <c:v>-1.9398766338282704E-5</c:v>
                </c:pt>
                <c:pt idx="1">
                  <c:v>3.9112070127470468E-5</c:v>
                </c:pt>
                <c:pt idx="2">
                  <c:v>-4.6270998231227654E-5</c:v>
                </c:pt>
                <c:pt idx="3">
                  <c:v>-1.5678930404158923E-5</c:v>
                </c:pt>
                <c:pt idx="4">
                  <c:v>-4.0351723968856626E-5</c:v>
                </c:pt>
                <c:pt idx="5">
                  <c:v>4.2044634465634842E-5</c:v>
                </c:pt>
                <c:pt idx="6">
                  <c:v>-2.6071970065650385E-5</c:v>
                </c:pt>
                <c:pt idx="7">
                  <c:v>-2.2795472127944908E-5</c:v>
                </c:pt>
                <c:pt idx="8">
                  <c:v>1.6457624015270373E-5</c:v>
                </c:pt>
                <c:pt idx="9">
                  <c:v>8.0300161758990273E-6</c:v>
                </c:pt>
                <c:pt idx="10">
                  <c:v>3.098815663428403E-5</c:v>
                </c:pt>
                <c:pt idx="11">
                  <c:v>-3.2815425248544755E-5</c:v>
                </c:pt>
                <c:pt idx="12">
                  <c:v>4.6896615925150149E-5</c:v>
                </c:pt>
                <c:pt idx="13">
                  <c:v>-2.695249958844313E-5</c:v>
                </c:pt>
                <c:pt idx="14">
                  <c:v>2.2668643124462563E-5</c:v>
                </c:pt>
                <c:pt idx="15">
                  <c:v>4.4645126716800834E-5</c:v>
                </c:pt>
                <c:pt idx="16">
                  <c:v>-2.3831499821414732E-5</c:v>
                </c:pt>
                <c:pt idx="17">
                  <c:v>-4.3632724138576351E-5</c:v>
                </c:pt>
                <c:pt idx="18">
                  <c:v>-9.7434916457259971E-6</c:v>
                </c:pt>
                <c:pt idx="19">
                  <c:v>2.907211847413689E-6</c:v>
                </c:pt>
                <c:pt idx="20">
                  <c:v>-1.5852929192967348E-5</c:v>
                </c:pt>
                <c:pt idx="21">
                  <c:v>2.9554159814129516E-5</c:v>
                </c:pt>
                <c:pt idx="22">
                  <c:v>7.3444323845405333E-6</c:v>
                </c:pt>
                <c:pt idx="23">
                  <c:v>4.9455167264756618E-6</c:v>
                </c:pt>
                <c:pt idx="24">
                  <c:v>-3.309565697220945E-5</c:v>
                </c:pt>
                <c:pt idx="25">
                  <c:v>-4.2266358303761454E-6</c:v>
                </c:pt>
                <c:pt idx="26">
                  <c:v>2.9806448608125313E-5</c:v>
                </c:pt>
                <c:pt idx="27">
                  <c:v>-2.2515683300214106E-5</c:v>
                </c:pt>
                <c:pt idx="28">
                  <c:v>-2.7562121767719478E-5</c:v>
                </c:pt>
                <c:pt idx="29">
                  <c:v>-1.242798045152504E-5</c:v>
                </c:pt>
                <c:pt idx="30">
                  <c:v>-3.1445175325372277E-5</c:v>
                </c:pt>
                <c:pt idx="31">
                  <c:v>2.3353048503620281E-5</c:v>
                </c:pt>
                <c:pt idx="32">
                  <c:v>-4.2479925856435977E-5</c:v>
                </c:pt>
                <c:pt idx="33">
                  <c:v>4.2524635323186721E-5</c:v>
                </c:pt>
                <c:pt idx="34">
                  <c:v>-1.884796091237852E-6</c:v>
                </c:pt>
                <c:pt idx="35">
                  <c:v>3.7777125939095552E-5</c:v>
                </c:pt>
                <c:pt idx="36">
                  <c:v>-7.3008642548611293E-6</c:v>
                </c:pt>
                <c:pt idx="37">
                  <c:v>-2.4514826980547941E-5</c:v>
                </c:pt>
                <c:pt idx="38">
                  <c:v>1.6779400952052836E-5</c:v>
                </c:pt>
                <c:pt idx="39">
                  <c:v>-6.0449979773764362E-6</c:v>
                </c:pt>
                <c:pt idx="40">
                  <c:v>-2.1353000700150286E-5</c:v>
                </c:pt>
                <c:pt idx="41">
                  <c:v>3.1913366144070782E-5</c:v>
                </c:pt>
                <c:pt idx="42">
                  <c:v>-1.934042606248064E-5</c:v>
                </c:pt>
                <c:pt idx="43">
                  <c:v>1.2285735000012166E-5</c:v>
                </c:pt>
                <c:pt idx="44">
                  <c:v>-1.7150313724308352E-5</c:v>
                </c:pt>
                <c:pt idx="45">
                  <c:v>2.2923881324642935E-5</c:v>
                </c:pt>
                <c:pt idx="46">
                  <c:v>-3.3455749263944058E-5</c:v>
                </c:pt>
                <c:pt idx="47">
                  <c:v>-1.134265216489223E-5</c:v>
                </c:pt>
                <c:pt idx="48">
                  <c:v>-6.6760681229351935E-6</c:v>
                </c:pt>
                <c:pt idx="49">
                  <c:v>2.7191847927752217E-5</c:v>
                </c:pt>
                <c:pt idx="50">
                  <c:v>2.3519185822049591E-5</c:v>
                </c:pt>
                <c:pt idx="51">
                  <c:v>-3.3581798093097295E-5</c:v>
                </c:pt>
                <c:pt idx="52">
                  <c:v>5.0943379034586984E-6</c:v>
                </c:pt>
                <c:pt idx="53">
                  <c:v>1.4207797359208403E-6</c:v>
                </c:pt>
                <c:pt idx="54">
                  <c:v>-1.2441448008782126E-5</c:v>
                </c:pt>
                <c:pt idx="55">
                  <c:v>1.1731231162962863E-5</c:v>
                </c:pt>
                <c:pt idx="56">
                  <c:v>-3.8848823720965479E-5</c:v>
                </c:pt>
                <c:pt idx="57">
                  <c:v>2.596467074189481E-5</c:v>
                </c:pt>
                <c:pt idx="58">
                  <c:v>9.5495538742424498E-6</c:v>
                </c:pt>
                <c:pt idx="59">
                  <c:v>4.0362332859639759E-6</c:v>
                </c:pt>
                <c:pt idx="60">
                  <c:v>2.7615439757958834E-5</c:v>
                </c:pt>
                <c:pt idx="61">
                  <c:v>-3.2635493606191852E-5</c:v>
                </c:pt>
                <c:pt idx="62">
                  <c:v>-5.2321472259093474E-6</c:v>
                </c:pt>
                <c:pt idx="63">
                  <c:v>-3.3727451444438978E-5</c:v>
                </c:pt>
                <c:pt idx="64">
                  <c:v>-1.2978375521453714E-5</c:v>
                </c:pt>
                <c:pt idx="65">
                  <c:v>2.6109762103704441E-5</c:v>
                </c:pt>
                <c:pt idx="66">
                  <c:v>2.3947360621590044E-5</c:v>
                </c:pt>
                <c:pt idx="67">
                  <c:v>-3.7602952806332304E-5</c:v>
                </c:pt>
                <c:pt idx="68">
                  <c:v>-1.3839149442391785E-5</c:v>
                </c:pt>
                <c:pt idx="69">
                  <c:v>3.6440295558973411E-6</c:v>
                </c:pt>
                <c:pt idx="70">
                  <c:v>3.1786175091905794E-5</c:v>
                </c:pt>
                <c:pt idx="71">
                  <c:v>-3.0652511203010462E-5</c:v>
                </c:pt>
                <c:pt idx="72">
                  <c:v>5.7994695573643806E-6</c:v>
                </c:pt>
                <c:pt idx="73">
                  <c:v>-1.9424302209699522E-5</c:v>
                </c:pt>
                <c:pt idx="74">
                  <c:v>2.925299969097458E-5</c:v>
                </c:pt>
                <c:pt idx="75">
                  <c:v>3.6434317242711834E-5</c:v>
                </c:pt>
                <c:pt idx="76">
                  <c:v>-4.6417229900857762E-6</c:v>
                </c:pt>
                <c:pt idx="77">
                  <c:v>-2.4474930993896978E-5</c:v>
                </c:pt>
                <c:pt idx="78">
                  <c:v>1.2025283659356616E-5</c:v>
                </c:pt>
                <c:pt idx="79">
                  <c:v>-1.1990060502896396E-5</c:v>
                </c:pt>
                <c:pt idx="80">
                  <c:v>-2.7858131602936139E-5</c:v>
                </c:pt>
                <c:pt idx="81">
                  <c:v>-3.4521476034575674E-5</c:v>
                </c:pt>
                <c:pt idx="82">
                  <c:v>-3.6649133550842613E-5</c:v>
                </c:pt>
                <c:pt idx="83">
                  <c:v>-3.4689882549177923E-5</c:v>
                </c:pt>
                <c:pt idx="84">
                  <c:v>3.4563078354648285E-5</c:v>
                </c:pt>
                <c:pt idx="85">
                  <c:v>2.9029935126206049E-5</c:v>
                </c:pt>
                <c:pt idx="86">
                  <c:v>1.1577501061692706E-5</c:v>
                </c:pt>
                <c:pt idx="87">
                  <c:v>3.0801397228056477E-5</c:v>
                </c:pt>
                <c:pt idx="88">
                  <c:v>-2.9552964468358335E-5</c:v>
                </c:pt>
                <c:pt idx="89">
                  <c:v>6.1846173519833053E-6</c:v>
                </c:pt>
                <c:pt idx="90">
                  <c:v>-9.4460122461627282E-6</c:v>
                </c:pt>
                <c:pt idx="91">
                  <c:v>-6.8917813667807138E-6</c:v>
                </c:pt>
                <c:pt idx="92">
                  <c:v>-1.7501044886495803E-5</c:v>
                </c:pt>
                <c:pt idx="93">
                  <c:v>3.0837624052990805E-5</c:v>
                </c:pt>
                <c:pt idx="94">
                  <c:v>-3.0935500534648357E-5</c:v>
                </c:pt>
                <c:pt idx="95">
                  <c:v>-5.3074038641331568E-7</c:v>
                </c:pt>
                <c:pt idx="96">
                  <c:v>-1.0415886226108188E-5</c:v>
                </c:pt>
                <c:pt idx="97">
                  <c:v>-2.2697951090067505E-5</c:v>
                </c:pt>
                <c:pt idx="98">
                  <c:v>-2.8513681132984016E-5</c:v>
                </c:pt>
                <c:pt idx="99">
                  <c:v>-2.6020322143410937E-5</c:v>
                </c:pt>
                <c:pt idx="100">
                  <c:v>-2.5335189683826941E-5</c:v>
                </c:pt>
                <c:pt idx="101">
                  <c:v>2.8412626067637509E-5</c:v>
                </c:pt>
                <c:pt idx="102">
                  <c:v>1.3602022086332781E-5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8-442A-84E9-FC7B8D9F8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80837056"/>
        <c:axId val="780837888"/>
      </c:bar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ax val="1.0000000000000002E-2"/>
          <c:min val="-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Seasonal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'Monthly - IBC-Br'!$X$3:$AI$3</c:f>
              <c:numCache>
                <c:formatCode>General</c:formatCode>
                <c:ptCount val="12"/>
                <c:pt idx="0">
                  <c:v>0.98308588693035803</c:v>
                </c:pt>
                <c:pt idx="1">
                  <c:v>1.0014189192770999</c:v>
                </c:pt>
                <c:pt idx="2">
                  <c:v>1.0031676302757899</c:v>
                </c:pt>
                <c:pt idx="3">
                  <c:v>0.99998927040299501</c:v>
                </c:pt>
                <c:pt idx="4">
                  <c:v>0.99405222192248499</c:v>
                </c:pt>
                <c:pt idx="5">
                  <c:v>1.0037518869942099</c:v>
                </c:pt>
                <c:pt idx="6">
                  <c:v>0.99083615511286405</c:v>
                </c:pt>
                <c:pt idx="7">
                  <c:v>0.99313282519115598</c:v>
                </c:pt>
                <c:pt idx="8">
                  <c:v>1.0085771919323601</c:v>
                </c:pt>
                <c:pt idx="9">
                  <c:v>1.0034866072897599</c:v>
                </c:pt>
                <c:pt idx="10">
                  <c:v>0.99867252630666903</c:v>
                </c:pt>
                <c:pt idx="11">
                  <c:v>0.98881167694323902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B1-42F8-9DAB-3CB7A3F0AF1E}"/>
            </c:ext>
          </c:extLst>
        </c:ser>
        <c:ser>
          <c:idx val="1"/>
          <c:order val="1"/>
          <c:tx>
            <c:v>2004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'Monthly - IBC-Br'!$X$4:$AI$4</c:f>
              <c:numCache>
                <c:formatCode>General</c:formatCode>
                <c:ptCount val="12"/>
                <c:pt idx="0">
                  <c:v>1.0002121096414101</c:v>
                </c:pt>
                <c:pt idx="1">
                  <c:v>0.998849059790338</c:v>
                </c:pt>
                <c:pt idx="2">
                  <c:v>1.00276874241388</c:v>
                </c:pt>
                <c:pt idx="3">
                  <c:v>1.0021081890238199</c:v>
                </c:pt>
                <c:pt idx="4">
                  <c:v>0.99615480987198801</c:v>
                </c:pt>
                <c:pt idx="5">
                  <c:v>1.0009322218029</c:v>
                </c:pt>
                <c:pt idx="6">
                  <c:v>1.0000728223855</c:v>
                </c:pt>
                <c:pt idx="7">
                  <c:v>0.99785166203047204</c:v>
                </c:pt>
                <c:pt idx="8">
                  <c:v>1.00489445811318</c:v>
                </c:pt>
                <c:pt idx="9">
                  <c:v>0.99637913332413097</c:v>
                </c:pt>
                <c:pt idx="10">
                  <c:v>1.00414994919069</c:v>
                </c:pt>
                <c:pt idx="11">
                  <c:v>0.99510115703037205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B1-42F8-9DAB-3CB7A3F0AF1E}"/>
            </c:ext>
          </c:extLst>
        </c:ser>
        <c:ser>
          <c:idx val="2"/>
          <c:order val="2"/>
          <c:tx>
            <c:v>2005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'Monthly - IBC-Br'!$X$5:$AI$5</c:f>
              <c:numCache>
                <c:formatCode>General</c:formatCode>
                <c:ptCount val="12"/>
                <c:pt idx="0">
                  <c:v>1.00077236927348</c:v>
                </c:pt>
                <c:pt idx="1">
                  <c:v>1.0010887059270399</c:v>
                </c:pt>
                <c:pt idx="2">
                  <c:v>0.99852355975653895</c:v>
                </c:pt>
                <c:pt idx="3">
                  <c:v>1.00179562716521</c:v>
                </c:pt>
                <c:pt idx="4">
                  <c:v>1.0011899107868401</c:v>
                </c:pt>
                <c:pt idx="5">
                  <c:v>0.99877662406696099</c:v>
                </c:pt>
                <c:pt idx="6">
                  <c:v>0.99789680180818296</c:v>
                </c:pt>
                <c:pt idx="7">
                  <c:v>1.0034691867140599</c:v>
                </c:pt>
                <c:pt idx="8">
                  <c:v>0.99903714069757898</c:v>
                </c:pt>
                <c:pt idx="9">
                  <c:v>0.99795799284563402</c:v>
                </c:pt>
                <c:pt idx="10">
                  <c:v>1.0004118547648599</c:v>
                </c:pt>
                <c:pt idx="11">
                  <c:v>1.00004127662251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B1-42F8-9DAB-3CB7A3F0AF1E}"/>
            </c:ext>
          </c:extLst>
        </c:ser>
        <c:ser>
          <c:idx val="3"/>
          <c:order val="3"/>
          <c:tx>
            <c:v>2006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'Monthly - IBC-Br'!$X$6:$AI$6</c:f>
              <c:numCache>
                <c:formatCode>General</c:formatCode>
                <c:ptCount val="12"/>
                <c:pt idx="0">
                  <c:v>1.0050349529443601</c:v>
                </c:pt>
                <c:pt idx="1">
                  <c:v>1.00197607074146</c:v>
                </c:pt>
                <c:pt idx="2">
                  <c:v>0.99713170067049095</c:v>
                </c:pt>
                <c:pt idx="3">
                  <c:v>1.00022560771036</c:v>
                </c:pt>
                <c:pt idx="4">
                  <c:v>1.0082705358500601</c:v>
                </c:pt>
                <c:pt idx="5">
                  <c:v>0.99527323934927103</c:v>
                </c:pt>
                <c:pt idx="6">
                  <c:v>1.0085009041169799</c:v>
                </c:pt>
                <c:pt idx="7">
                  <c:v>1.0005386794457101</c:v>
                </c:pt>
                <c:pt idx="8">
                  <c:v>0.99627408861436895</c:v>
                </c:pt>
                <c:pt idx="9">
                  <c:v>1.00036085977973</c:v>
                </c:pt>
                <c:pt idx="10">
                  <c:v>1.0004311079694901</c:v>
                </c:pt>
                <c:pt idx="11">
                  <c:v>1.0032029140015599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B1-42F8-9DAB-3CB7A3F0AF1E}"/>
            </c:ext>
          </c:extLst>
        </c:ser>
        <c:ser>
          <c:idx val="4"/>
          <c:order val="4"/>
          <c:tx>
            <c:v>2007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'Monthly - IBC-Br'!$X$7:$AI$7</c:f>
              <c:numCache>
                <c:formatCode>General</c:formatCode>
                <c:ptCount val="12"/>
                <c:pt idx="0">
                  <c:v>0.99853071082528599</c:v>
                </c:pt>
                <c:pt idx="1">
                  <c:v>0.99994209631429298</c:v>
                </c:pt>
                <c:pt idx="2">
                  <c:v>0.98941247083508899</c:v>
                </c:pt>
                <c:pt idx="3">
                  <c:v>0.99793585009563701</c:v>
                </c:pt>
                <c:pt idx="4">
                  <c:v>1.0003555579066901</c:v>
                </c:pt>
                <c:pt idx="5">
                  <c:v>1.0018104426577299</c:v>
                </c:pt>
                <c:pt idx="6">
                  <c:v>1.00201854280987</c:v>
                </c:pt>
                <c:pt idx="7">
                  <c:v>0.99637019221874001</c:v>
                </c:pt>
                <c:pt idx="8">
                  <c:v>0.99978515349740105</c:v>
                </c:pt>
                <c:pt idx="9">
                  <c:v>1.0028141808474</c:v>
                </c:pt>
                <c:pt idx="10">
                  <c:v>0.99781625908277005</c:v>
                </c:pt>
                <c:pt idx="11">
                  <c:v>1.00068901641885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3B1-42F8-9DAB-3CB7A3F0AF1E}"/>
            </c:ext>
          </c:extLst>
        </c:ser>
        <c:ser>
          <c:idx val="5"/>
          <c:order val="5"/>
          <c:tx>
            <c:v>2008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'Monthly - IBC-Br'!$X$8:$AI$8</c:f>
              <c:numCache>
                <c:formatCode>General</c:formatCode>
                <c:ptCount val="12"/>
                <c:pt idx="0">
                  <c:v>1.00287181097293</c:v>
                </c:pt>
                <c:pt idx="1">
                  <c:v>0.99954507384685398</c:v>
                </c:pt>
                <c:pt idx="2">
                  <c:v>0.99285861612556503</c:v>
                </c:pt>
                <c:pt idx="3">
                  <c:v>0.99698530260360496</c:v>
                </c:pt>
                <c:pt idx="4">
                  <c:v>1.00089859085207</c:v>
                </c:pt>
                <c:pt idx="5">
                  <c:v>1.00654748370495</c:v>
                </c:pt>
                <c:pt idx="6">
                  <c:v>1.00011040704694</c:v>
                </c:pt>
                <c:pt idx="7">
                  <c:v>0.99887473316960995</c:v>
                </c:pt>
                <c:pt idx="8">
                  <c:v>0.99874694098632499</c:v>
                </c:pt>
                <c:pt idx="9">
                  <c:v>1.0016004881116001</c:v>
                </c:pt>
                <c:pt idx="10">
                  <c:v>0.99724597722106001</c:v>
                </c:pt>
                <c:pt idx="11">
                  <c:v>0.96224748730146503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3B1-42F8-9DAB-3CB7A3F0AF1E}"/>
            </c:ext>
          </c:extLst>
        </c:ser>
        <c:ser>
          <c:idx val="6"/>
          <c:order val="6"/>
          <c:tx>
            <c:v>2009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f>'Monthly - IBC-Br'!$X$9:$AI$9</c:f>
              <c:numCache>
                <c:formatCode>General</c:formatCode>
                <c:ptCount val="12"/>
                <c:pt idx="0">
                  <c:v>0.95931032817973105</c:v>
                </c:pt>
                <c:pt idx="1">
                  <c:v>0.96761124811302601</c:v>
                </c:pt>
                <c:pt idx="2">
                  <c:v>0.97055449426149198</c:v>
                </c:pt>
                <c:pt idx="3">
                  <c:v>0.97120751767848701</c:v>
                </c:pt>
                <c:pt idx="4">
                  <c:v>0.97708378214910796</c:v>
                </c:pt>
                <c:pt idx="5">
                  <c:v>0.98016231353326</c:v>
                </c:pt>
                <c:pt idx="6">
                  <c:v>0.97622686896339805</c:v>
                </c:pt>
                <c:pt idx="7">
                  <c:v>0.98385520763413303</c:v>
                </c:pt>
                <c:pt idx="8">
                  <c:v>0.98617969670094996</c:v>
                </c:pt>
                <c:pt idx="9">
                  <c:v>0.98670649011092004</c:v>
                </c:pt>
                <c:pt idx="10">
                  <c:v>0.98445228799726503</c:v>
                </c:pt>
                <c:pt idx="11">
                  <c:v>0.98521317184323198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3B1-42F8-9DAB-3CB7A3F0AF1E}"/>
            </c:ext>
          </c:extLst>
        </c:ser>
        <c:ser>
          <c:idx val="7"/>
          <c:order val="7"/>
          <c:tx>
            <c:v>2010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f>'Monthly - IBC-Br'!$X$10:$AI$10</c:f>
              <c:numCache>
                <c:formatCode>General</c:formatCode>
                <c:ptCount val="12"/>
                <c:pt idx="0">
                  <c:v>0.99007390950899399</c:v>
                </c:pt>
                <c:pt idx="1">
                  <c:v>0.99125107173921001</c:v>
                </c:pt>
                <c:pt idx="2">
                  <c:v>0.99379519714032205</c:v>
                </c:pt>
                <c:pt idx="3">
                  <c:v>0.99521801082058303</c:v>
                </c:pt>
                <c:pt idx="4">
                  <c:v>0.99184513949189201</c:v>
                </c:pt>
                <c:pt idx="5">
                  <c:v>0.99033553467431501</c:v>
                </c:pt>
                <c:pt idx="6">
                  <c:v>0.99375890032576197</c:v>
                </c:pt>
                <c:pt idx="7">
                  <c:v>0.99460157030665097</c:v>
                </c:pt>
                <c:pt idx="8">
                  <c:v>1.0006357375592401</c:v>
                </c:pt>
                <c:pt idx="9">
                  <c:v>0.99291826677898598</c:v>
                </c:pt>
                <c:pt idx="10">
                  <c:v>1.0029165481203399</c:v>
                </c:pt>
                <c:pt idx="11">
                  <c:v>0.9861241831009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3B1-42F8-9DAB-3CB7A3F0AF1E}"/>
            </c:ext>
          </c:extLst>
        </c:ser>
        <c:ser>
          <c:idx val="8"/>
          <c:order val="8"/>
          <c:tx>
            <c:v>2011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f>'Monthly - IBC-Br'!$X$11:$AI$11</c:f>
              <c:numCache>
                <c:formatCode>General</c:formatCode>
                <c:ptCount val="12"/>
                <c:pt idx="0">
                  <c:v>0.99680156042972201</c:v>
                </c:pt>
                <c:pt idx="1">
                  <c:v>0.99914879424630398</c:v>
                </c:pt>
                <c:pt idx="2">
                  <c:v>0.99888886586441505</c:v>
                </c:pt>
                <c:pt idx="3">
                  <c:v>0.99526724605322603</c:v>
                </c:pt>
                <c:pt idx="4">
                  <c:v>0.99684222651613696</c:v>
                </c:pt>
                <c:pt idx="5">
                  <c:v>1.0002946106530199</c:v>
                </c:pt>
                <c:pt idx="6">
                  <c:v>0.99913084162169796</c:v>
                </c:pt>
                <c:pt idx="7">
                  <c:v>0.99787087125056395</c:v>
                </c:pt>
                <c:pt idx="8">
                  <c:v>0.99839930707285096</c:v>
                </c:pt>
                <c:pt idx="9">
                  <c:v>0.99973072620197601</c:v>
                </c:pt>
                <c:pt idx="10">
                  <c:v>1.0083807331485199</c:v>
                </c:pt>
                <c:pt idx="11">
                  <c:v>0.99715160548423398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3B1-42F8-9DAB-3CB7A3F0AF1E}"/>
            </c:ext>
          </c:extLst>
        </c:ser>
        <c:ser>
          <c:idx val="9"/>
          <c:order val="9"/>
          <c:tx>
            <c:v>2012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f>'Monthly - IBC-Br'!$X$12:$AI$12</c:f>
              <c:numCache>
                <c:formatCode>General</c:formatCode>
                <c:ptCount val="12"/>
                <c:pt idx="0">
                  <c:v>0.98869669902408996</c:v>
                </c:pt>
                <c:pt idx="1">
                  <c:v>1.0006170061494899</c:v>
                </c:pt>
                <c:pt idx="2">
                  <c:v>0.99592784577392102</c:v>
                </c:pt>
                <c:pt idx="3">
                  <c:v>0.99737901500576098</c:v>
                </c:pt>
                <c:pt idx="4">
                  <c:v>1.0014574274314201</c:v>
                </c:pt>
                <c:pt idx="5">
                  <c:v>1.0012130939513</c:v>
                </c:pt>
                <c:pt idx="6">
                  <c:v>0.99995963846351499</c:v>
                </c:pt>
                <c:pt idx="7">
                  <c:v>1.0005293204760399</c:v>
                </c:pt>
                <c:pt idx="8">
                  <c:v>0.99515029816421496</c:v>
                </c:pt>
                <c:pt idx="9">
                  <c:v>1.00285361145274</c:v>
                </c:pt>
                <c:pt idx="10">
                  <c:v>1.0011725506357001</c:v>
                </c:pt>
                <c:pt idx="11">
                  <c:v>0.99650900650536101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3B1-42F8-9DAB-3CB7A3F0AF1E}"/>
            </c:ext>
          </c:extLst>
        </c:ser>
        <c:ser>
          <c:idx val="10"/>
          <c:order val="10"/>
          <c:tx>
            <c:v>2013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val>
            <c:numRef>
              <c:f>'Monthly - IBC-Br'!$X$13:$AI$13</c:f>
              <c:numCache>
                <c:formatCode>General</c:formatCode>
                <c:ptCount val="12"/>
                <c:pt idx="0">
                  <c:v>1.00233794801229</c:v>
                </c:pt>
                <c:pt idx="1">
                  <c:v>0.99264770372559896</c:v>
                </c:pt>
                <c:pt idx="2">
                  <c:v>0.99674540831831704</c:v>
                </c:pt>
                <c:pt idx="3">
                  <c:v>1.0025524555058201</c:v>
                </c:pt>
                <c:pt idx="4">
                  <c:v>1.0025749226913001</c:v>
                </c:pt>
                <c:pt idx="5">
                  <c:v>0.99707908621102204</c:v>
                </c:pt>
                <c:pt idx="6">
                  <c:v>1.00012528918185</c:v>
                </c:pt>
                <c:pt idx="7">
                  <c:v>0.99859712466446904</c:v>
                </c:pt>
                <c:pt idx="8">
                  <c:v>1.0018029036904099</c:v>
                </c:pt>
                <c:pt idx="9">
                  <c:v>0.99884505048899597</c:v>
                </c:pt>
                <c:pt idx="10">
                  <c:v>1.00005101556025</c:v>
                </c:pt>
                <c:pt idx="11">
                  <c:v>1.00093840292188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3B1-42F8-9DAB-3CB7A3F0AF1E}"/>
            </c:ext>
          </c:extLst>
        </c:ser>
        <c:ser>
          <c:idx val="11"/>
          <c:order val="11"/>
          <c:tx>
            <c:v>2014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val>
            <c:numRef>
              <c:f>'Monthly - IBC-Br'!$X$14:$AI$14</c:f>
              <c:numCache>
                <c:formatCode>General</c:formatCode>
                <c:ptCount val="12"/>
                <c:pt idx="0">
                  <c:v>0.99936029336695698</c:v>
                </c:pt>
                <c:pt idx="1">
                  <c:v>0.999332661444302</c:v>
                </c:pt>
                <c:pt idx="2">
                  <c:v>1.0011642344343901</c:v>
                </c:pt>
                <c:pt idx="3">
                  <c:v>0.99977102126622097</c:v>
                </c:pt>
                <c:pt idx="4">
                  <c:v>1.0005295166085899</c:v>
                </c:pt>
                <c:pt idx="5">
                  <c:v>0.985551934708917</c:v>
                </c:pt>
                <c:pt idx="6">
                  <c:v>0.99505503082659297</c:v>
                </c:pt>
                <c:pt idx="7">
                  <c:v>1.00091794868469</c:v>
                </c:pt>
                <c:pt idx="8">
                  <c:v>1.00416737774582</c:v>
                </c:pt>
                <c:pt idx="9">
                  <c:v>0.99719126045272299</c:v>
                </c:pt>
                <c:pt idx="10">
                  <c:v>0.99850674503944503</c:v>
                </c:pt>
                <c:pt idx="11">
                  <c:v>1.0033823867474601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3B1-42F8-9DAB-3CB7A3F0AF1E}"/>
            </c:ext>
          </c:extLst>
        </c:ser>
        <c:ser>
          <c:idx val="12"/>
          <c:order val="12"/>
          <c:tx>
            <c:v>2015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'Monthly - IBC-Br'!$X$15:$AI$15</c:f>
              <c:numCache>
                <c:formatCode>General</c:formatCode>
                <c:ptCount val="12"/>
                <c:pt idx="0">
                  <c:v>0.99970523327637695</c:v>
                </c:pt>
                <c:pt idx="1">
                  <c:v>0.99705683972680303</c:v>
                </c:pt>
                <c:pt idx="2">
                  <c:v>1.0029025391474999</c:v>
                </c:pt>
                <c:pt idx="3">
                  <c:v>1.0001142501543001</c:v>
                </c:pt>
                <c:pt idx="4">
                  <c:v>1.0002781608537199</c:v>
                </c:pt>
                <c:pt idx="5">
                  <c:v>0.99888311018296305</c:v>
                </c:pt>
                <c:pt idx="6">
                  <c:v>0.99723915151626996</c:v>
                </c:pt>
                <c:pt idx="7">
                  <c:v>1.00296530922879</c:v>
                </c:pt>
                <c:pt idx="8">
                  <c:v>0.997177006091026</c:v>
                </c:pt>
                <c:pt idx="9">
                  <c:v>1.00695121442573</c:v>
                </c:pt>
                <c:pt idx="10">
                  <c:v>0.998255262828047</c:v>
                </c:pt>
                <c:pt idx="11">
                  <c:v>0.99954764449447597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3B1-42F8-9DAB-3CB7A3F0AF1E}"/>
            </c:ext>
          </c:extLst>
        </c:ser>
        <c:ser>
          <c:idx val="13"/>
          <c:order val="13"/>
          <c:tx>
            <c:v>2016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'Monthly - IBC-Br'!$X$16:$AI$16</c:f>
              <c:numCache>
                <c:formatCode>General</c:formatCode>
                <c:ptCount val="12"/>
                <c:pt idx="0">
                  <c:v>0.99915772355952603</c:v>
                </c:pt>
                <c:pt idx="1">
                  <c:v>1.00178855689223</c:v>
                </c:pt>
                <c:pt idx="2">
                  <c:v>0.99838081092326703</c:v>
                </c:pt>
                <c:pt idx="3">
                  <c:v>1.00074881300607</c:v>
                </c:pt>
                <c:pt idx="4">
                  <c:v>0.99819232824443305</c:v>
                </c:pt>
                <c:pt idx="5">
                  <c:v>1.0022109714820899</c:v>
                </c:pt>
                <c:pt idx="6">
                  <c:v>1.0007708829392801</c:v>
                </c:pt>
                <c:pt idx="7">
                  <c:v>0.99797297785387695</c:v>
                </c:pt>
                <c:pt idx="8">
                  <c:v>1.00120743751945</c:v>
                </c:pt>
                <c:pt idx="9">
                  <c:v>1.0010222202255601</c:v>
                </c:pt>
                <c:pt idx="10">
                  <c:v>1.00112319868059</c:v>
                </c:pt>
                <c:pt idx="11">
                  <c:v>0.99333899995632302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3B1-42F8-9DAB-3CB7A3F0AF1E}"/>
            </c:ext>
          </c:extLst>
        </c:ser>
        <c:ser>
          <c:idx val="14"/>
          <c:order val="14"/>
          <c:tx>
            <c:v>2017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'Monthly - IBC-Br'!$X$17:$AI$17</c:f>
              <c:numCache>
                <c:formatCode>General</c:formatCode>
                <c:ptCount val="12"/>
                <c:pt idx="0">
                  <c:v>0.99761283517212196</c:v>
                </c:pt>
                <c:pt idx="1">
                  <c:v>1.0050075970911201</c:v>
                </c:pt>
                <c:pt idx="2">
                  <c:v>1.00176782410036</c:v>
                </c:pt>
                <c:pt idx="3">
                  <c:v>1.0012663750077599</c:v>
                </c:pt>
                <c:pt idx="4">
                  <c:v>0.99490528326386496</c:v>
                </c:pt>
                <c:pt idx="5">
                  <c:v>1.0012905101343901</c:v>
                </c:pt>
                <c:pt idx="6">
                  <c:v>1.0040214828718099</c:v>
                </c:pt>
                <c:pt idx="7">
                  <c:v>0.99805005620396703</c:v>
                </c:pt>
                <c:pt idx="8">
                  <c:v>0.99938190937995197</c:v>
                </c:pt>
                <c:pt idx="9">
                  <c:v>0.99843860348718905</c:v>
                </c:pt>
                <c:pt idx="10">
                  <c:v>0.99606014909037299</c:v>
                </c:pt>
                <c:pt idx="11">
                  <c:v>1.0050104230477701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3B1-42F8-9DAB-3CB7A3F0AF1E}"/>
            </c:ext>
          </c:extLst>
        </c:ser>
        <c:ser>
          <c:idx val="15"/>
          <c:order val="15"/>
          <c:tx>
            <c:v>2018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'Monthly - IBC-Br'!$X$18:$AI$18</c:f>
              <c:numCache>
                <c:formatCode>General</c:formatCode>
                <c:ptCount val="12"/>
                <c:pt idx="0">
                  <c:v>0.99987411949744398</c:v>
                </c:pt>
                <c:pt idx="1">
                  <c:v>0.99630835462760103</c:v>
                </c:pt>
                <c:pt idx="2">
                  <c:v>1.0017099315237401</c:v>
                </c:pt>
                <c:pt idx="3">
                  <c:v>1.01014932788391</c:v>
                </c:pt>
                <c:pt idx="4">
                  <c:v>0.969787647205265</c:v>
                </c:pt>
                <c:pt idx="5">
                  <c:v>0.99790180197596201</c:v>
                </c:pt>
                <c:pt idx="6">
                  <c:v>0.99983994390169395</c:v>
                </c:pt>
                <c:pt idx="7">
                  <c:v>1.00401929943129</c:v>
                </c:pt>
                <c:pt idx="8">
                  <c:v>0.99882834306023804</c:v>
                </c:pt>
                <c:pt idx="9">
                  <c:v>0.99729401175534604</c:v>
                </c:pt>
                <c:pt idx="10">
                  <c:v>0.99957443813698099</c:v>
                </c:pt>
                <c:pt idx="11">
                  <c:v>1.00190775857474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3B1-42F8-9DAB-3CB7A3F0AF1E}"/>
            </c:ext>
          </c:extLst>
        </c:ser>
        <c:ser>
          <c:idx val="16"/>
          <c:order val="16"/>
          <c:tx>
            <c:v>2019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'Monthly - IBC-Br'!$X$19:$AI$19</c:f>
              <c:numCache>
                <c:formatCode>General</c:formatCode>
                <c:ptCount val="12"/>
                <c:pt idx="0">
                  <c:v>1.00080257617935</c:v>
                </c:pt>
                <c:pt idx="1">
                  <c:v>0.99178623612070005</c:v>
                </c:pt>
                <c:pt idx="2">
                  <c:v>0.99983072336898704</c:v>
                </c:pt>
                <c:pt idx="3">
                  <c:v>0.99963440518207503</c:v>
                </c:pt>
                <c:pt idx="4">
                  <c:v>1.00121512333332</c:v>
                </c:pt>
                <c:pt idx="5">
                  <c:v>1.0020621571678301</c:v>
                </c:pt>
                <c:pt idx="6">
                  <c:v>0.99878048682515796</c:v>
                </c:pt>
                <c:pt idx="7">
                  <c:v>0.99438328084426197</c:v>
                </c:pt>
                <c:pt idx="8">
                  <c:v>0.99991752716599902</c:v>
                </c:pt>
                <c:pt idx="9">
                  <c:v>1.0024481454323999</c:v>
                </c:pt>
                <c:pt idx="10">
                  <c:v>1.00101337721865</c:v>
                </c:pt>
                <c:pt idx="11">
                  <c:v>0.99765668365374804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3B1-42F8-9DAB-3CB7A3F0AF1E}"/>
            </c:ext>
          </c:extLst>
        </c:ser>
        <c:ser>
          <c:idx val="17"/>
          <c:order val="17"/>
          <c:tx>
            <c:v>2020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'Monthly - IBC-Br'!$X$20:$AI$20</c:f>
              <c:numCache>
                <c:formatCode>General</c:formatCode>
                <c:ptCount val="12"/>
                <c:pt idx="0">
                  <c:v>0.99811652222268299</c:v>
                </c:pt>
                <c:pt idx="1">
                  <c:v>1.0038781578228999</c:v>
                </c:pt>
                <c:pt idx="2">
                  <c:v>0.955520005384351</c:v>
                </c:pt>
                <c:pt idx="3">
                  <c:v>0.99695627969425205</c:v>
                </c:pt>
                <c:pt idx="4">
                  <c:v>1.00178046951956</c:v>
                </c:pt>
                <c:pt idx="5">
                  <c:v>0.99383128768432605</c:v>
                </c:pt>
                <c:pt idx="6">
                  <c:v>1.00304365041639</c:v>
                </c:pt>
                <c:pt idx="7">
                  <c:v>0.99980252641306699</c:v>
                </c:pt>
                <c:pt idx="8">
                  <c:v>1.00180839692527</c:v>
                </c:pt>
                <c:pt idx="9">
                  <c:v>1.0006414273327999</c:v>
                </c:pt>
                <c:pt idx="10">
                  <c:v>0.99926516209840199</c:v>
                </c:pt>
                <c:pt idx="11">
                  <c:v>0.99876238219449698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3B1-42F8-9DAB-3CB7A3F0AF1E}"/>
            </c:ext>
          </c:extLst>
        </c:ser>
        <c:ser>
          <c:idx val="18"/>
          <c:order val="18"/>
          <c:tx>
            <c:v>2021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val>
            <c:numRef>
              <c:f>'Monthly - IBC-Br'!$X$21:$AI$21</c:f>
              <c:numCache>
                <c:formatCode>General</c:formatCode>
                <c:ptCount val="12"/>
                <c:pt idx="0">
                  <c:v>1.00128647873159</c:v>
                </c:pt>
                <c:pt idx="1">
                  <c:v>1.0151738711226299</c:v>
                </c:pt>
                <c:pt idx="2">
                  <c:v>0.99693867426282001</c:v>
                </c:pt>
                <c:pt idx="3">
                  <c:v>0.99926835823052096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3B1-42F8-9DAB-3CB7A3F0A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24591"/>
        <c:axId val="51719599"/>
      </c:lineChart>
      <c:catAx>
        <c:axId val="51724591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19599"/>
        <c:crosses val="autoZero"/>
        <c:auto val="1"/>
        <c:lblAlgn val="ctr"/>
        <c:lblOffset val="100"/>
        <c:noMultiLvlLbl val="0"/>
      </c:catAx>
      <c:valAx>
        <c:axId val="51719599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24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Industrial</a:t>
            </a:r>
            <a:r>
              <a:rPr lang="pt-BR" baseline="0"/>
              <a:t> Production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- Ind Prod'!$B$2</c:f>
              <c:strCache>
                <c:ptCount val="1"/>
                <c:pt idx="0">
                  <c:v>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- Ind Prod'!$A$3:$A$242</c:f>
              <c:numCache>
                <c:formatCode>[$-416]mmm\-yy;@</c:formatCode>
                <c:ptCount val="24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  <c:pt idx="180">
                  <c:v>42736</c:v>
                </c:pt>
                <c:pt idx="181">
                  <c:v>42767</c:v>
                </c:pt>
                <c:pt idx="182">
                  <c:v>42795</c:v>
                </c:pt>
                <c:pt idx="183">
                  <c:v>42826</c:v>
                </c:pt>
                <c:pt idx="184">
                  <c:v>42856</c:v>
                </c:pt>
                <c:pt idx="185">
                  <c:v>42887</c:v>
                </c:pt>
                <c:pt idx="186">
                  <c:v>42917</c:v>
                </c:pt>
                <c:pt idx="187">
                  <c:v>42948</c:v>
                </c:pt>
                <c:pt idx="188">
                  <c:v>42979</c:v>
                </c:pt>
                <c:pt idx="189">
                  <c:v>43009</c:v>
                </c:pt>
                <c:pt idx="190">
                  <c:v>43040</c:v>
                </c:pt>
                <c:pt idx="191">
                  <c:v>43070</c:v>
                </c:pt>
                <c:pt idx="192">
                  <c:v>43101</c:v>
                </c:pt>
                <c:pt idx="193">
                  <c:v>43132</c:v>
                </c:pt>
                <c:pt idx="194">
                  <c:v>43160</c:v>
                </c:pt>
                <c:pt idx="195">
                  <c:v>43191</c:v>
                </c:pt>
                <c:pt idx="196">
                  <c:v>43221</c:v>
                </c:pt>
                <c:pt idx="197">
                  <c:v>43252</c:v>
                </c:pt>
                <c:pt idx="198">
                  <c:v>43282</c:v>
                </c:pt>
                <c:pt idx="199">
                  <c:v>43313</c:v>
                </c:pt>
                <c:pt idx="200">
                  <c:v>43344</c:v>
                </c:pt>
                <c:pt idx="201">
                  <c:v>43374</c:v>
                </c:pt>
                <c:pt idx="202">
                  <c:v>43405</c:v>
                </c:pt>
                <c:pt idx="203">
                  <c:v>43435</c:v>
                </c:pt>
                <c:pt idx="204">
                  <c:v>43466</c:v>
                </c:pt>
                <c:pt idx="205">
                  <c:v>43497</c:v>
                </c:pt>
                <c:pt idx="206">
                  <c:v>43525</c:v>
                </c:pt>
                <c:pt idx="207">
                  <c:v>43556</c:v>
                </c:pt>
                <c:pt idx="208">
                  <c:v>43586</c:v>
                </c:pt>
                <c:pt idx="209">
                  <c:v>43617</c:v>
                </c:pt>
                <c:pt idx="210">
                  <c:v>43647</c:v>
                </c:pt>
                <c:pt idx="211">
                  <c:v>43678</c:v>
                </c:pt>
                <c:pt idx="212">
                  <c:v>43709</c:v>
                </c:pt>
                <c:pt idx="213">
                  <c:v>43739</c:v>
                </c:pt>
                <c:pt idx="214">
                  <c:v>43770</c:v>
                </c:pt>
                <c:pt idx="215">
                  <c:v>43800</c:v>
                </c:pt>
                <c:pt idx="216">
                  <c:v>43831</c:v>
                </c:pt>
                <c:pt idx="217">
                  <c:v>43862</c:v>
                </c:pt>
                <c:pt idx="218">
                  <c:v>43891</c:v>
                </c:pt>
                <c:pt idx="219">
                  <c:v>43922</c:v>
                </c:pt>
                <c:pt idx="220">
                  <c:v>43952</c:v>
                </c:pt>
                <c:pt idx="221">
                  <c:v>43983</c:v>
                </c:pt>
                <c:pt idx="222">
                  <c:v>44013</c:v>
                </c:pt>
                <c:pt idx="223">
                  <c:v>44044</c:v>
                </c:pt>
                <c:pt idx="224">
                  <c:v>44075</c:v>
                </c:pt>
                <c:pt idx="225">
                  <c:v>44105</c:v>
                </c:pt>
                <c:pt idx="226">
                  <c:v>44136</c:v>
                </c:pt>
                <c:pt idx="227">
                  <c:v>44166</c:v>
                </c:pt>
                <c:pt idx="228">
                  <c:v>44197</c:v>
                </c:pt>
                <c:pt idx="229">
                  <c:v>44228</c:v>
                </c:pt>
                <c:pt idx="230">
                  <c:v>44256</c:v>
                </c:pt>
                <c:pt idx="231">
                  <c:v>44287</c:v>
                </c:pt>
                <c:pt idx="232">
                  <c:v>44317</c:v>
                </c:pt>
                <c:pt idx="233">
                  <c:v>44348</c:v>
                </c:pt>
                <c:pt idx="234">
                  <c:v>44378</c:v>
                </c:pt>
                <c:pt idx="235">
                  <c:v>44409</c:v>
                </c:pt>
                <c:pt idx="236">
                  <c:v>44440</c:v>
                </c:pt>
                <c:pt idx="237">
                  <c:v>44470</c:v>
                </c:pt>
                <c:pt idx="238">
                  <c:v>44501</c:v>
                </c:pt>
                <c:pt idx="239">
                  <c:v>44531</c:v>
                </c:pt>
              </c:numCache>
            </c:numRef>
          </c:cat>
          <c:val>
            <c:numRef>
              <c:f>'Monthly - Ind Prod'!$B$3:$B$242</c:f>
              <c:numCache>
                <c:formatCode>0.0</c:formatCode>
                <c:ptCount val="240"/>
                <c:pt idx="0">
                  <c:v>72.400000000000006</c:v>
                </c:pt>
                <c:pt idx="1">
                  <c:v>69.7</c:v>
                </c:pt>
                <c:pt idx="2">
                  <c:v>77.400000000000006</c:v>
                </c:pt>
                <c:pt idx="3">
                  <c:v>79.599999999999994</c:v>
                </c:pt>
                <c:pt idx="4">
                  <c:v>80.400000000000006</c:v>
                </c:pt>
                <c:pt idx="5">
                  <c:v>77.5</c:v>
                </c:pt>
                <c:pt idx="6">
                  <c:v>83.3</c:v>
                </c:pt>
                <c:pt idx="7">
                  <c:v>83.6</c:v>
                </c:pt>
                <c:pt idx="8">
                  <c:v>82.1</c:v>
                </c:pt>
                <c:pt idx="9">
                  <c:v>89.2</c:v>
                </c:pt>
                <c:pt idx="10">
                  <c:v>83.9</c:v>
                </c:pt>
                <c:pt idx="11">
                  <c:v>74.599999999999994</c:v>
                </c:pt>
                <c:pt idx="12">
                  <c:v>74</c:v>
                </c:pt>
                <c:pt idx="13">
                  <c:v>71.8</c:v>
                </c:pt>
                <c:pt idx="14">
                  <c:v>77.400000000000006</c:v>
                </c:pt>
                <c:pt idx="15">
                  <c:v>76.5</c:v>
                </c:pt>
                <c:pt idx="16">
                  <c:v>79.7</c:v>
                </c:pt>
                <c:pt idx="17">
                  <c:v>76.3</c:v>
                </c:pt>
                <c:pt idx="18">
                  <c:v>81.3</c:v>
                </c:pt>
                <c:pt idx="19">
                  <c:v>81.599999999999994</c:v>
                </c:pt>
                <c:pt idx="20">
                  <c:v>85.7</c:v>
                </c:pt>
                <c:pt idx="21">
                  <c:v>90</c:v>
                </c:pt>
                <c:pt idx="22">
                  <c:v>84.6</c:v>
                </c:pt>
                <c:pt idx="23">
                  <c:v>77.900000000000006</c:v>
                </c:pt>
                <c:pt idx="24">
                  <c:v>76.8</c:v>
                </c:pt>
                <c:pt idx="25">
                  <c:v>74</c:v>
                </c:pt>
                <c:pt idx="26">
                  <c:v>86.9</c:v>
                </c:pt>
                <c:pt idx="27">
                  <c:v>82.2</c:v>
                </c:pt>
                <c:pt idx="28">
                  <c:v>86.3</c:v>
                </c:pt>
                <c:pt idx="29">
                  <c:v>86.1</c:v>
                </c:pt>
                <c:pt idx="30">
                  <c:v>90.1</c:v>
                </c:pt>
                <c:pt idx="31">
                  <c:v>92.1</c:v>
                </c:pt>
                <c:pt idx="32">
                  <c:v>92.1</c:v>
                </c:pt>
                <c:pt idx="33">
                  <c:v>93.5</c:v>
                </c:pt>
                <c:pt idx="34">
                  <c:v>91.8</c:v>
                </c:pt>
                <c:pt idx="35">
                  <c:v>84.7</c:v>
                </c:pt>
                <c:pt idx="36">
                  <c:v>81</c:v>
                </c:pt>
                <c:pt idx="37">
                  <c:v>76.400000000000006</c:v>
                </c:pt>
                <c:pt idx="38">
                  <c:v>88</c:v>
                </c:pt>
                <c:pt idx="39">
                  <c:v>87</c:v>
                </c:pt>
                <c:pt idx="40">
                  <c:v>91.1</c:v>
                </c:pt>
                <c:pt idx="41">
                  <c:v>91.4</c:v>
                </c:pt>
                <c:pt idx="42">
                  <c:v>90.5</c:v>
                </c:pt>
                <c:pt idx="43">
                  <c:v>95.6</c:v>
                </c:pt>
                <c:pt idx="44">
                  <c:v>92</c:v>
                </c:pt>
                <c:pt idx="45">
                  <c:v>93.7</c:v>
                </c:pt>
                <c:pt idx="46">
                  <c:v>92.4</c:v>
                </c:pt>
                <c:pt idx="47">
                  <c:v>86.6</c:v>
                </c:pt>
                <c:pt idx="48">
                  <c:v>83.7</c:v>
                </c:pt>
                <c:pt idx="49">
                  <c:v>80.2</c:v>
                </c:pt>
                <c:pt idx="50">
                  <c:v>92.4</c:v>
                </c:pt>
                <c:pt idx="51">
                  <c:v>85.7</c:v>
                </c:pt>
                <c:pt idx="52">
                  <c:v>95.4</c:v>
                </c:pt>
                <c:pt idx="53">
                  <c:v>91.1</c:v>
                </c:pt>
                <c:pt idx="54">
                  <c:v>93.8</c:v>
                </c:pt>
                <c:pt idx="55">
                  <c:v>98.6</c:v>
                </c:pt>
                <c:pt idx="56">
                  <c:v>93.2</c:v>
                </c:pt>
                <c:pt idx="57">
                  <c:v>97.5</c:v>
                </c:pt>
                <c:pt idx="58">
                  <c:v>95.9</c:v>
                </c:pt>
                <c:pt idx="59">
                  <c:v>87</c:v>
                </c:pt>
                <c:pt idx="60">
                  <c:v>87</c:v>
                </c:pt>
                <c:pt idx="61">
                  <c:v>82.6</c:v>
                </c:pt>
                <c:pt idx="62">
                  <c:v>96.4</c:v>
                </c:pt>
                <c:pt idx="63">
                  <c:v>90.6</c:v>
                </c:pt>
                <c:pt idx="64">
                  <c:v>99.9</c:v>
                </c:pt>
                <c:pt idx="65">
                  <c:v>96.9</c:v>
                </c:pt>
                <c:pt idx="66">
                  <c:v>99.8</c:v>
                </c:pt>
                <c:pt idx="67">
                  <c:v>104.9</c:v>
                </c:pt>
                <c:pt idx="68">
                  <c:v>98.4</c:v>
                </c:pt>
                <c:pt idx="69">
                  <c:v>107.8</c:v>
                </c:pt>
                <c:pt idx="70">
                  <c:v>102.4</c:v>
                </c:pt>
                <c:pt idx="71">
                  <c:v>92.6</c:v>
                </c:pt>
                <c:pt idx="72">
                  <c:v>94.8</c:v>
                </c:pt>
                <c:pt idx="73">
                  <c:v>91.1</c:v>
                </c:pt>
                <c:pt idx="74">
                  <c:v>97.7</c:v>
                </c:pt>
                <c:pt idx="75">
                  <c:v>99.2</c:v>
                </c:pt>
                <c:pt idx="76">
                  <c:v>102.5</c:v>
                </c:pt>
                <c:pt idx="77">
                  <c:v>103.3</c:v>
                </c:pt>
                <c:pt idx="78">
                  <c:v>108.5</c:v>
                </c:pt>
                <c:pt idx="79">
                  <c:v>106.9</c:v>
                </c:pt>
                <c:pt idx="80">
                  <c:v>107.3</c:v>
                </c:pt>
                <c:pt idx="81">
                  <c:v>108.4</c:v>
                </c:pt>
                <c:pt idx="82">
                  <c:v>96.2</c:v>
                </c:pt>
                <c:pt idx="83">
                  <c:v>79.099999999999994</c:v>
                </c:pt>
                <c:pt idx="84">
                  <c:v>78.7</c:v>
                </c:pt>
                <c:pt idx="85">
                  <c:v>76.099999999999994</c:v>
                </c:pt>
                <c:pt idx="86">
                  <c:v>88.6</c:v>
                </c:pt>
                <c:pt idx="87">
                  <c:v>85.2</c:v>
                </c:pt>
                <c:pt idx="88">
                  <c:v>91.3</c:v>
                </c:pt>
                <c:pt idx="89">
                  <c:v>92.2</c:v>
                </c:pt>
                <c:pt idx="90">
                  <c:v>97.7</c:v>
                </c:pt>
                <c:pt idx="91">
                  <c:v>99.6</c:v>
                </c:pt>
                <c:pt idx="92">
                  <c:v>99.4</c:v>
                </c:pt>
                <c:pt idx="93">
                  <c:v>105.6</c:v>
                </c:pt>
                <c:pt idx="94">
                  <c:v>101.4</c:v>
                </c:pt>
                <c:pt idx="95">
                  <c:v>94.1</c:v>
                </c:pt>
                <c:pt idx="96">
                  <c:v>91.2</c:v>
                </c:pt>
                <c:pt idx="97">
                  <c:v>89</c:v>
                </c:pt>
                <c:pt idx="98">
                  <c:v>105.1</c:v>
                </c:pt>
                <c:pt idx="99">
                  <c:v>99.3</c:v>
                </c:pt>
                <c:pt idx="100">
                  <c:v>104.3</c:v>
                </c:pt>
                <c:pt idx="101">
                  <c:v>102.5</c:v>
                </c:pt>
                <c:pt idx="102">
                  <c:v>106.9</c:v>
                </c:pt>
                <c:pt idx="103">
                  <c:v>108.1</c:v>
                </c:pt>
                <c:pt idx="104">
                  <c:v>105.8</c:v>
                </c:pt>
                <c:pt idx="105">
                  <c:v>107.7</c:v>
                </c:pt>
                <c:pt idx="106">
                  <c:v>106.8</c:v>
                </c:pt>
                <c:pt idx="107">
                  <c:v>96.6</c:v>
                </c:pt>
                <c:pt idx="108">
                  <c:v>93.2</c:v>
                </c:pt>
                <c:pt idx="109">
                  <c:v>95.4</c:v>
                </c:pt>
                <c:pt idx="110">
                  <c:v>104.4</c:v>
                </c:pt>
                <c:pt idx="111">
                  <c:v>97.5</c:v>
                </c:pt>
                <c:pt idx="112">
                  <c:v>107.1</c:v>
                </c:pt>
                <c:pt idx="113">
                  <c:v>102.8</c:v>
                </c:pt>
                <c:pt idx="114">
                  <c:v>106.1</c:v>
                </c:pt>
                <c:pt idx="115">
                  <c:v>110.8</c:v>
                </c:pt>
                <c:pt idx="116">
                  <c:v>104.8</c:v>
                </c:pt>
                <c:pt idx="117">
                  <c:v>106.3</c:v>
                </c:pt>
                <c:pt idx="118">
                  <c:v>104.2</c:v>
                </c:pt>
                <c:pt idx="119">
                  <c:v>95.7</c:v>
                </c:pt>
                <c:pt idx="120">
                  <c:v>88.7</c:v>
                </c:pt>
                <c:pt idx="121">
                  <c:v>89.8</c:v>
                </c:pt>
                <c:pt idx="122">
                  <c:v>99.7</c:v>
                </c:pt>
                <c:pt idx="123">
                  <c:v>92.8</c:v>
                </c:pt>
                <c:pt idx="124">
                  <c:v>102.5</c:v>
                </c:pt>
                <c:pt idx="125">
                  <c:v>98.3</c:v>
                </c:pt>
                <c:pt idx="126">
                  <c:v>104.5</c:v>
                </c:pt>
                <c:pt idx="127">
                  <c:v>111.5</c:v>
                </c:pt>
                <c:pt idx="128">
                  <c:v>103.4</c:v>
                </c:pt>
                <c:pt idx="129">
                  <c:v>111.8</c:v>
                </c:pt>
                <c:pt idx="130">
                  <c:v>104.8</c:v>
                </c:pt>
                <c:pt idx="131">
                  <c:v>92.2</c:v>
                </c:pt>
                <c:pt idx="132">
                  <c:v>94.5</c:v>
                </c:pt>
                <c:pt idx="133">
                  <c:v>88.1</c:v>
                </c:pt>
                <c:pt idx="134">
                  <c:v>97.7</c:v>
                </c:pt>
                <c:pt idx="135">
                  <c:v>101.8</c:v>
                </c:pt>
                <c:pt idx="136">
                  <c:v>105</c:v>
                </c:pt>
                <c:pt idx="137">
                  <c:v>101.7</c:v>
                </c:pt>
                <c:pt idx="138">
                  <c:v>108</c:v>
                </c:pt>
                <c:pt idx="139">
                  <c:v>112</c:v>
                </c:pt>
                <c:pt idx="140">
                  <c:v>107.3</c:v>
                </c:pt>
                <c:pt idx="141">
                  <c:v>112.6</c:v>
                </c:pt>
                <c:pt idx="142">
                  <c:v>106.1</c:v>
                </c:pt>
                <c:pt idx="143">
                  <c:v>90.1</c:v>
                </c:pt>
                <c:pt idx="144">
                  <c:v>92.6</c:v>
                </c:pt>
                <c:pt idx="145">
                  <c:v>92.3</c:v>
                </c:pt>
                <c:pt idx="146">
                  <c:v>97.3</c:v>
                </c:pt>
                <c:pt idx="147">
                  <c:v>96</c:v>
                </c:pt>
                <c:pt idx="148">
                  <c:v>101.7</c:v>
                </c:pt>
                <c:pt idx="149">
                  <c:v>94.9</c:v>
                </c:pt>
                <c:pt idx="150">
                  <c:v>104.4</c:v>
                </c:pt>
                <c:pt idx="151">
                  <c:v>106.3</c:v>
                </c:pt>
                <c:pt idx="152">
                  <c:v>105.6</c:v>
                </c:pt>
                <c:pt idx="153">
                  <c:v>109.3</c:v>
                </c:pt>
                <c:pt idx="154">
                  <c:v>99.8</c:v>
                </c:pt>
                <c:pt idx="155">
                  <c:v>87.7</c:v>
                </c:pt>
                <c:pt idx="156">
                  <c:v>88.1</c:v>
                </c:pt>
                <c:pt idx="157">
                  <c:v>83.7</c:v>
                </c:pt>
                <c:pt idx="158">
                  <c:v>94.3</c:v>
                </c:pt>
                <c:pt idx="159">
                  <c:v>88.8</c:v>
                </c:pt>
                <c:pt idx="160">
                  <c:v>93.1</c:v>
                </c:pt>
                <c:pt idx="161">
                  <c:v>92.5</c:v>
                </c:pt>
                <c:pt idx="162">
                  <c:v>95.5</c:v>
                </c:pt>
                <c:pt idx="163">
                  <c:v>97.6</c:v>
                </c:pt>
                <c:pt idx="164">
                  <c:v>94.3</c:v>
                </c:pt>
                <c:pt idx="165">
                  <c:v>97.2</c:v>
                </c:pt>
                <c:pt idx="166">
                  <c:v>87.6</c:v>
                </c:pt>
                <c:pt idx="167">
                  <c:v>77.2</c:v>
                </c:pt>
                <c:pt idx="168">
                  <c:v>76.3</c:v>
                </c:pt>
                <c:pt idx="169">
                  <c:v>75.8</c:v>
                </c:pt>
                <c:pt idx="170">
                  <c:v>83.7</c:v>
                </c:pt>
                <c:pt idx="171">
                  <c:v>83</c:v>
                </c:pt>
                <c:pt idx="172">
                  <c:v>86.3</c:v>
                </c:pt>
                <c:pt idx="173">
                  <c:v>87.7</c:v>
                </c:pt>
                <c:pt idx="174">
                  <c:v>89.6</c:v>
                </c:pt>
                <c:pt idx="175">
                  <c:v>93</c:v>
                </c:pt>
                <c:pt idx="176">
                  <c:v>90.7</c:v>
                </c:pt>
                <c:pt idx="177">
                  <c:v>90.2</c:v>
                </c:pt>
                <c:pt idx="178">
                  <c:v>86.5</c:v>
                </c:pt>
                <c:pt idx="179">
                  <c:v>77.2</c:v>
                </c:pt>
                <c:pt idx="180">
                  <c:v>77.900000000000006</c:v>
                </c:pt>
                <c:pt idx="181">
                  <c:v>75.900000000000006</c:v>
                </c:pt>
                <c:pt idx="182">
                  <c:v>85.4</c:v>
                </c:pt>
                <c:pt idx="183">
                  <c:v>79.3</c:v>
                </c:pt>
                <c:pt idx="184">
                  <c:v>90.1</c:v>
                </c:pt>
                <c:pt idx="185">
                  <c:v>88.4</c:v>
                </c:pt>
                <c:pt idx="186">
                  <c:v>92.1</c:v>
                </c:pt>
                <c:pt idx="187">
                  <c:v>96.7</c:v>
                </c:pt>
                <c:pt idx="188">
                  <c:v>93</c:v>
                </c:pt>
                <c:pt idx="189">
                  <c:v>95.1</c:v>
                </c:pt>
                <c:pt idx="190">
                  <c:v>90.6</c:v>
                </c:pt>
                <c:pt idx="191">
                  <c:v>81</c:v>
                </c:pt>
                <c:pt idx="192">
                  <c:v>82.3</c:v>
                </c:pt>
                <c:pt idx="193">
                  <c:v>77.3</c:v>
                </c:pt>
                <c:pt idx="194">
                  <c:v>86.2</c:v>
                </c:pt>
                <c:pt idx="195">
                  <c:v>86.5</c:v>
                </c:pt>
                <c:pt idx="196">
                  <c:v>84.4</c:v>
                </c:pt>
                <c:pt idx="197">
                  <c:v>91.1</c:v>
                </c:pt>
                <c:pt idx="198">
                  <c:v>95.8</c:v>
                </c:pt>
                <c:pt idx="199">
                  <c:v>98.2</c:v>
                </c:pt>
                <c:pt idx="200">
                  <c:v>90.7</c:v>
                </c:pt>
                <c:pt idx="201">
                  <c:v>95.8</c:v>
                </c:pt>
                <c:pt idx="202">
                  <c:v>89.5</c:v>
                </c:pt>
                <c:pt idx="203">
                  <c:v>78</c:v>
                </c:pt>
                <c:pt idx="204">
                  <c:v>80.7</c:v>
                </c:pt>
                <c:pt idx="205">
                  <c:v>79.099999999999994</c:v>
                </c:pt>
                <c:pt idx="206">
                  <c:v>81</c:v>
                </c:pt>
                <c:pt idx="207">
                  <c:v>83.3</c:v>
                </c:pt>
                <c:pt idx="208">
                  <c:v>91</c:v>
                </c:pt>
                <c:pt idx="209">
                  <c:v>85.8</c:v>
                </c:pt>
                <c:pt idx="210">
                  <c:v>93.4</c:v>
                </c:pt>
                <c:pt idx="211">
                  <c:v>96.2</c:v>
                </c:pt>
                <c:pt idx="212">
                  <c:v>91.8</c:v>
                </c:pt>
                <c:pt idx="213">
                  <c:v>97</c:v>
                </c:pt>
                <c:pt idx="214">
                  <c:v>88</c:v>
                </c:pt>
                <c:pt idx="215">
                  <c:v>76.900000000000006</c:v>
                </c:pt>
                <c:pt idx="216">
                  <c:v>80</c:v>
                </c:pt>
                <c:pt idx="217">
                  <c:v>78.900000000000006</c:v>
                </c:pt>
                <c:pt idx="218">
                  <c:v>77.900000000000006</c:v>
                </c:pt>
                <c:pt idx="219">
                  <c:v>60.3</c:v>
                </c:pt>
                <c:pt idx="220">
                  <c:v>71.2</c:v>
                </c:pt>
                <c:pt idx="221">
                  <c:v>78.400000000000006</c:v>
                </c:pt>
                <c:pt idx="222">
                  <c:v>91</c:v>
                </c:pt>
                <c:pt idx="223">
                  <c:v>93.9</c:v>
                </c:pt>
                <c:pt idx="224">
                  <c:v>95.4</c:v>
                </c:pt>
                <c:pt idx="225">
                  <c:v>97.3</c:v>
                </c:pt>
                <c:pt idx="226">
                  <c:v>90.2</c:v>
                </c:pt>
                <c:pt idx="227" formatCode="General">
                  <c:v>83.3</c:v>
                </c:pt>
                <c:pt idx="228" formatCode="General">
                  <c:v>81.900000000000006</c:v>
                </c:pt>
                <c:pt idx="229" formatCode="General">
                  <c:v>79.099999999999994</c:v>
                </c:pt>
                <c:pt idx="230" formatCode="General">
                  <c:v>86.1</c:v>
                </c:pt>
                <c:pt idx="231" formatCode="General">
                  <c:v>81.3</c:v>
                </c:pt>
                <c:pt idx="232" formatCode="General">
                  <c:v>88.4</c:v>
                </c:pt>
                <c:pt idx="233" formatCode="General">
                  <c:v>87.9</c:v>
                </c:pt>
                <c:pt idx="234" formatCode="General">
                  <c:v>92.2</c:v>
                </c:pt>
                <c:pt idx="235" formatCode="General">
                  <c:v>93.4</c:v>
                </c:pt>
                <c:pt idx="236" formatCode="General">
                  <c:v>91.5</c:v>
                </c:pt>
                <c:pt idx="237" formatCode="General">
                  <c:v>89.7</c:v>
                </c:pt>
                <c:pt idx="238" formatCode="General">
                  <c:v>86.2</c:v>
                </c:pt>
                <c:pt idx="239" formatCode="General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6A-46B6-9A8F-11EBD2CED18C}"/>
            </c:ext>
          </c:extLst>
        </c:ser>
        <c:ser>
          <c:idx val="1"/>
          <c:order val="1"/>
          <c:tx>
            <c:strRef>
              <c:f>'Monthly - Ind Prod'!$C$2</c:f>
              <c:strCache>
                <c:ptCount val="1"/>
                <c:pt idx="0">
                  <c:v>Official 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- Ind Prod'!$A$3:$A$242</c:f>
              <c:numCache>
                <c:formatCode>[$-416]mmm\-yy;@</c:formatCode>
                <c:ptCount val="240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  <c:pt idx="146">
                  <c:v>41699</c:v>
                </c:pt>
                <c:pt idx="147">
                  <c:v>41730</c:v>
                </c:pt>
                <c:pt idx="148">
                  <c:v>41760</c:v>
                </c:pt>
                <c:pt idx="149">
                  <c:v>41791</c:v>
                </c:pt>
                <c:pt idx="150">
                  <c:v>41821</c:v>
                </c:pt>
                <c:pt idx="151">
                  <c:v>41852</c:v>
                </c:pt>
                <c:pt idx="152">
                  <c:v>41883</c:v>
                </c:pt>
                <c:pt idx="153">
                  <c:v>41913</c:v>
                </c:pt>
                <c:pt idx="154">
                  <c:v>41944</c:v>
                </c:pt>
                <c:pt idx="155">
                  <c:v>41974</c:v>
                </c:pt>
                <c:pt idx="156">
                  <c:v>42005</c:v>
                </c:pt>
                <c:pt idx="157">
                  <c:v>42036</c:v>
                </c:pt>
                <c:pt idx="158">
                  <c:v>42064</c:v>
                </c:pt>
                <c:pt idx="159">
                  <c:v>42095</c:v>
                </c:pt>
                <c:pt idx="160">
                  <c:v>42125</c:v>
                </c:pt>
                <c:pt idx="161">
                  <c:v>42156</c:v>
                </c:pt>
                <c:pt idx="162">
                  <c:v>42186</c:v>
                </c:pt>
                <c:pt idx="163">
                  <c:v>42217</c:v>
                </c:pt>
                <c:pt idx="164">
                  <c:v>42248</c:v>
                </c:pt>
                <c:pt idx="165">
                  <c:v>42278</c:v>
                </c:pt>
                <c:pt idx="166">
                  <c:v>42309</c:v>
                </c:pt>
                <c:pt idx="167">
                  <c:v>42339</c:v>
                </c:pt>
                <c:pt idx="168">
                  <c:v>42370</c:v>
                </c:pt>
                <c:pt idx="169">
                  <c:v>42401</c:v>
                </c:pt>
                <c:pt idx="170">
                  <c:v>42430</c:v>
                </c:pt>
                <c:pt idx="171">
                  <c:v>42461</c:v>
                </c:pt>
                <c:pt idx="172">
                  <c:v>42491</c:v>
                </c:pt>
                <c:pt idx="173">
                  <c:v>42522</c:v>
                </c:pt>
                <c:pt idx="174">
                  <c:v>42552</c:v>
                </c:pt>
                <c:pt idx="175">
                  <c:v>42583</c:v>
                </c:pt>
                <c:pt idx="176">
                  <c:v>42614</c:v>
                </c:pt>
                <c:pt idx="177">
                  <c:v>42644</c:v>
                </c:pt>
                <c:pt idx="178">
                  <c:v>42675</c:v>
                </c:pt>
                <c:pt idx="179">
                  <c:v>42705</c:v>
                </c:pt>
                <c:pt idx="180">
                  <c:v>42736</c:v>
                </c:pt>
                <c:pt idx="181">
                  <c:v>42767</c:v>
                </c:pt>
                <c:pt idx="182">
                  <c:v>42795</c:v>
                </c:pt>
                <c:pt idx="183">
                  <c:v>42826</c:v>
                </c:pt>
                <c:pt idx="184">
                  <c:v>42856</c:v>
                </c:pt>
                <c:pt idx="185">
                  <c:v>42887</c:v>
                </c:pt>
                <c:pt idx="186">
                  <c:v>42917</c:v>
                </c:pt>
                <c:pt idx="187">
                  <c:v>42948</c:v>
                </c:pt>
                <c:pt idx="188">
                  <c:v>42979</c:v>
                </c:pt>
                <c:pt idx="189">
                  <c:v>43009</c:v>
                </c:pt>
                <c:pt idx="190">
                  <c:v>43040</c:v>
                </c:pt>
                <c:pt idx="191">
                  <c:v>43070</c:v>
                </c:pt>
                <c:pt idx="192">
                  <c:v>43101</c:v>
                </c:pt>
                <c:pt idx="193">
                  <c:v>43132</c:v>
                </c:pt>
                <c:pt idx="194">
                  <c:v>43160</c:v>
                </c:pt>
                <c:pt idx="195">
                  <c:v>43191</c:v>
                </c:pt>
                <c:pt idx="196">
                  <c:v>43221</c:v>
                </c:pt>
                <c:pt idx="197">
                  <c:v>43252</c:v>
                </c:pt>
                <c:pt idx="198">
                  <c:v>43282</c:v>
                </c:pt>
                <c:pt idx="199">
                  <c:v>43313</c:v>
                </c:pt>
                <c:pt idx="200">
                  <c:v>43344</c:v>
                </c:pt>
                <c:pt idx="201">
                  <c:v>43374</c:v>
                </c:pt>
                <c:pt idx="202">
                  <c:v>43405</c:v>
                </c:pt>
                <c:pt idx="203">
                  <c:v>43435</c:v>
                </c:pt>
                <c:pt idx="204">
                  <c:v>43466</c:v>
                </c:pt>
                <c:pt idx="205">
                  <c:v>43497</c:v>
                </c:pt>
                <c:pt idx="206">
                  <c:v>43525</c:v>
                </c:pt>
                <c:pt idx="207">
                  <c:v>43556</c:v>
                </c:pt>
                <c:pt idx="208">
                  <c:v>43586</c:v>
                </c:pt>
                <c:pt idx="209">
                  <c:v>43617</c:v>
                </c:pt>
                <c:pt idx="210">
                  <c:v>43647</c:v>
                </c:pt>
                <c:pt idx="211">
                  <c:v>43678</c:v>
                </c:pt>
                <c:pt idx="212">
                  <c:v>43709</c:v>
                </c:pt>
                <c:pt idx="213">
                  <c:v>43739</c:v>
                </c:pt>
                <c:pt idx="214">
                  <c:v>43770</c:v>
                </c:pt>
                <c:pt idx="215">
                  <c:v>43800</c:v>
                </c:pt>
                <c:pt idx="216">
                  <c:v>43831</c:v>
                </c:pt>
                <c:pt idx="217">
                  <c:v>43862</c:v>
                </c:pt>
                <c:pt idx="218">
                  <c:v>43891</c:v>
                </c:pt>
                <c:pt idx="219">
                  <c:v>43922</c:v>
                </c:pt>
                <c:pt idx="220">
                  <c:v>43952</c:v>
                </c:pt>
                <c:pt idx="221">
                  <c:v>43983</c:v>
                </c:pt>
                <c:pt idx="222">
                  <c:v>44013</c:v>
                </c:pt>
                <c:pt idx="223">
                  <c:v>44044</c:v>
                </c:pt>
                <c:pt idx="224">
                  <c:v>44075</c:v>
                </c:pt>
                <c:pt idx="225">
                  <c:v>44105</c:v>
                </c:pt>
                <c:pt idx="226">
                  <c:v>44136</c:v>
                </c:pt>
                <c:pt idx="227">
                  <c:v>44166</c:v>
                </c:pt>
                <c:pt idx="228">
                  <c:v>44197</c:v>
                </c:pt>
                <c:pt idx="229">
                  <c:v>44228</c:v>
                </c:pt>
                <c:pt idx="230">
                  <c:v>44256</c:v>
                </c:pt>
                <c:pt idx="231">
                  <c:v>44287</c:v>
                </c:pt>
                <c:pt idx="232">
                  <c:v>44317</c:v>
                </c:pt>
                <c:pt idx="233">
                  <c:v>44348</c:v>
                </c:pt>
                <c:pt idx="234">
                  <c:v>44378</c:v>
                </c:pt>
                <c:pt idx="235">
                  <c:v>44409</c:v>
                </c:pt>
                <c:pt idx="236">
                  <c:v>44440</c:v>
                </c:pt>
                <c:pt idx="237">
                  <c:v>44470</c:v>
                </c:pt>
                <c:pt idx="238">
                  <c:v>44501</c:v>
                </c:pt>
                <c:pt idx="239">
                  <c:v>44531</c:v>
                </c:pt>
              </c:numCache>
            </c:numRef>
          </c:cat>
          <c:val>
            <c:numRef>
              <c:f>'Monthly - Ind Prod'!$C$3:$C$242</c:f>
              <c:numCache>
                <c:formatCode>0.0</c:formatCode>
                <c:ptCount val="240"/>
                <c:pt idx="0">
                  <c:v>77.7</c:v>
                </c:pt>
                <c:pt idx="1">
                  <c:v>80.2</c:v>
                </c:pt>
                <c:pt idx="2">
                  <c:v>79.8</c:v>
                </c:pt>
                <c:pt idx="3">
                  <c:v>79.599999999999994</c:v>
                </c:pt>
                <c:pt idx="4">
                  <c:v>79.099999999999994</c:v>
                </c:pt>
                <c:pt idx="5">
                  <c:v>79.400000000000006</c:v>
                </c:pt>
                <c:pt idx="6">
                  <c:v>79.7</c:v>
                </c:pt>
                <c:pt idx="7">
                  <c:v>78.599999999999994</c:v>
                </c:pt>
                <c:pt idx="8">
                  <c:v>79.599999999999994</c:v>
                </c:pt>
                <c:pt idx="9">
                  <c:v>80.099999999999994</c:v>
                </c:pt>
                <c:pt idx="10">
                  <c:v>80.3</c:v>
                </c:pt>
                <c:pt idx="11">
                  <c:v>79.599999999999994</c:v>
                </c:pt>
                <c:pt idx="12">
                  <c:v>79.7</c:v>
                </c:pt>
                <c:pt idx="13">
                  <c:v>79.7</c:v>
                </c:pt>
                <c:pt idx="14">
                  <c:v>79.8</c:v>
                </c:pt>
                <c:pt idx="15">
                  <c:v>79.400000000000006</c:v>
                </c:pt>
                <c:pt idx="16">
                  <c:v>77.8</c:v>
                </c:pt>
                <c:pt idx="17">
                  <c:v>78.2</c:v>
                </c:pt>
                <c:pt idx="18">
                  <c:v>77.400000000000006</c:v>
                </c:pt>
                <c:pt idx="19">
                  <c:v>78.5</c:v>
                </c:pt>
                <c:pt idx="20">
                  <c:v>81.3</c:v>
                </c:pt>
                <c:pt idx="21">
                  <c:v>81.599999999999994</c:v>
                </c:pt>
                <c:pt idx="22">
                  <c:v>82.6</c:v>
                </c:pt>
                <c:pt idx="23">
                  <c:v>81.2</c:v>
                </c:pt>
                <c:pt idx="24">
                  <c:v>82.7</c:v>
                </c:pt>
                <c:pt idx="25">
                  <c:v>84</c:v>
                </c:pt>
                <c:pt idx="26">
                  <c:v>84.5</c:v>
                </c:pt>
                <c:pt idx="27">
                  <c:v>85.1</c:v>
                </c:pt>
                <c:pt idx="28">
                  <c:v>85.9</c:v>
                </c:pt>
                <c:pt idx="29">
                  <c:v>86.1</c:v>
                </c:pt>
                <c:pt idx="30">
                  <c:v>86.7</c:v>
                </c:pt>
                <c:pt idx="31">
                  <c:v>87.6</c:v>
                </c:pt>
                <c:pt idx="32">
                  <c:v>88.2</c:v>
                </c:pt>
                <c:pt idx="33">
                  <c:v>87.5</c:v>
                </c:pt>
                <c:pt idx="34">
                  <c:v>87.5</c:v>
                </c:pt>
                <c:pt idx="35">
                  <c:v>88.3</c:v>
                </c:pt>
                <c:pt idx="36">
                  <c:v>88.7</c:v>
                </c:pt>
                <c:pt idx="37">
                  <c:v>87.4</c:v>
                </c:pt>
                <c:pt idx="38">
                  <c:v>88.2</c:v>
                </c:pt>
                <c:pt idx="39">
                  <c:v>88.3</c:v>
                </c:pt>
                <c:pt idx="40">
                  <c:v>91.3</c:v>
                </c:pt>
                <c:pt idx="41">
                  <c:v>89.5</c:v>
                </c:pt>
                <c:pt idx="42">
                  <c:v>88.9</c:v>
                </c:pt>
                <c:pt idx="43">
                  <c:v>89.1</c:v>
                </c:pt>
                <c:pt idx="44">
                  <c:v>88.3</c:v>
                </c:pt>
                <c:pt idx="45">
                  <c:v>87.6</c:v>
                </c:pt>
                <c:pt idx="46">
                  <c:v>88.6</c:v>
                </c:pt>
                <c:pt idx="47">
                  <c:v>90.5</c:v>
                </c:pt>
                <c:pt idx="48">
                  <c:v>90.8</c:v>
                </c:pt>
                <c:pt idx="49">
                  <c:v>91.4</c:v>
                </c:pt>
                <c:pt idx="50">
                  <c:v>90.7</c:v>
                </c:pt>
                <c:pt idx="51">
                  <c:v>91.4</c:v>
                </c:pt>
                <c:pt idx="52">
                  <c:v>92.2</c:v>
                </c:pt>
                <c:pt idx="53">
                  <c:v>90.6</c:v>
                </c:pt>
                <c:pt idx="54">
                  <c:v>91.6</c:v>
                </c:pt>
                <c:pt idx="55">
                  <c:v>91.4</c:v>
                </c:pt>
                <c:pt idx="56">
                  <c:v>90.4</c:v>
                </c:pt>
                <c:pt idx="57">
                  <c:v>90.7</c:v>
                </c:pt>
                <c:pt idx="58">
                  <c:v>92.1</c:v>
                </c:pt>
                <c:pt idx="59">
                  <c:v>93.3</c:v>
                </c:pt>
                <c:pt idx="60">
                  <c:v>92.7</c:v>
                </c:pt>
                <c:pt idx="61">
                  <c:v>93.9</c:v>
                </c:pt>
                <c:pt idx="62">
                  <c:v>94.9</c:v>
                </c:pt>
                <c:pt idx="63">
                  <c:v>96</c:v>
                </c:pt>
                <c:pt idx="64">
                  <c:v>96.3</c:v>
                </c:pt>
                <c:pt idx="65">
                  <c:v>97</c:v>
                </c:pt>
                <c:pt idx="66">
                  <c:v>96.5</c:v>
                </c:pt>
                <c:pt idx="67">
                  <c:v>97.9</c:v>
                </c:pt>
                <c:pt idx="68">
                  <c:v>97.1</c:v>
                </c:pt>
                <c:pt idx="69">
                  <c:v>99.5</c:v>
                </c:pt>
                <c:pt idx="70">
                  <c:v>98.5</c:v>
                </c:pt>
                <c:pt idx="71">
                  <c:v>98.9</c:v>
                </c:pt>
                <c:pt idx="72">
                  <c:v>100.6</c:v>
                </c:pt>
                <c:pt idx="73">
                  <c:v>100.2</c:v>
                </c:pt>
                <c:pt idx="74">
                  <c:v>100.5</c:v>
                </c:pt>
                <c:pt idx="75">
                  <c:v>100.4</c:v>
                </c:pt>
                <c:pt idx="76">
                  <c:v>101.1</c:v>
                </c:pt>
                <c:pt idx="77">
                  <c:v>102.9</c:v>
                </c:pt>
                <c:pt idx="78">
                  <c:v>103.2</c:v>
                </c:pt>
                <c:pt idx="79">
                  <c:v>101.9</c:v>
                </c:pt>
                <c:pt idx="80">
                  <c:v>103.4</c:v>
                </c:pt>
                <c:pt idx="81">
                  <c:v>100.2</c:v>
                </c:pt>
                <c:pt idx="82">
                  <c:v>94.4</c:v>
                </c:pt>
                <c:pt idx="83">
                  <c:v>83.8</c:v>
                </c:pt>
                <c:pt idx="84">
                  <c:v>85.6</c:v>
                </c:pt>
                <c:pt idx="85">
                  <c:v>87.6</c:v>
                </c:pt>
                <c:pt idx="86">
                  <c:v>88</c:v>
                </c:pt>
                <c:pt idx="87">
                  <c:v>89</c:v>
                </c:pt>
                <c:pt idx="88">
                  <c:v>90.4</c:v>
                </c:pt>
                <c:pt idx="89">
                  <c:v>91.6</c:v>
                </c:pt>
                <c:pt idx="90">
                  <c:v>92.6</c:v>
                </c:pt>
                <c:pt idx="91">
                  <c:v>94</c:v>
                </c:pt>
                <c:pt idx="92">
                  <c:v>95.6</c:v>
                </c:pt>
                <c:pt idx="93">
                  <c:v>97.3</c:v>
                </c:pt>
                <c:pt idx="94">
                  <c:v>98.9</c:v>
                </c:pt>
                <c:pt idx="95">
                  <c:v>99.1</c:v>
                </c:pt>
                <c:pt idx="96">
                  <c:v>100.7</c:v>
                </c:pt>
                <c:pt idx="97">
                  <c:v>100.5</c:v>
                </c:pt>
                <c:pt idx="98">
                  <c:v>103</c:v>
                </c:pt>
                <c:pt idx="99">
                  <c:v>103.2</c:v>
                </c:pt>
                <c:pt idx="100">
                  <c:v>103</c:v>
                </c:pt>
                <c:pt idx="101">
                  <c:v>102.3</c:v>
                </c:pt>
                <c:pt idx="102">
                  <c:v>101.8</c:v>
                </c:pt>
                <c:pt idx="103">
                  <c:v>101.4</c:v>
                </c:pt>
                <c:pt idx="104">
                  <c:v>101.6</c:v>
                </c:pt>
                <c:pt idx="105">
                  <c:v>101.3</c:v>
                </c:pt>
                <c:pt idx="106">
                  <c:v>102.2</c:v>
                </c:pt>
                <c:pt idx="107">
                  <c:v>102.7</c:v>
                </c:pt>
                <c:pt idx="108">
                  <c:v>102.8</c:v>
                </c:pt>
                <c:pt idx="109">
                  <c:v>104.2</c:v>
                </c:pt>
                <c:pt idx="110">
                  <c:v>104.8</c:v>
                </c:pt>
                <c:pt idx="111">
                  <c:v>102.1</c:v>
                </c:pt>
                <c:pt idx="112">
                  <c:v>105.2</c:v>
                </c:pt>
                <c:pt idx="113">
                  <c:v>102.7</c:v>
                </c:pt>
                <c:pt idx="114">
                  <c:v>103.1</c:v>
                </c:pt>
                <c:pt idx="115">
                  <c:v>102.1</c:v>
                </c:pt>
                <c:pt idx="116">
                  <c:v>100.2</c:v>
                </c:pt>
                <c:pt idx="117">
                  <c:v>99.2</c:v>
                </c:pt>
                <c:pt idx="118">
                  <c:v>99.9</c:v>
                </c:pt>
                <c:pt idx="119">
                  <c:v>102.5</c:v>
                </c:pt>
                <c:pt idx="120">
                  <c:v>98</c:v>
                </c:pt>
                <c:pt idx="121">
                  <c:v>99</c:v>
                </c:pt>
                <c:pt idx="122">
                  <c:v>98.3</c:v>
                </c:pt>
                <c:pt idx="123">
                  <c:v>98.5</c:v>
                </c:pt>
                <c:pt idx="124">
                  <c:v>98.9</c:v>
                </c:pt>
                <c:pt idx="125">
                  <c:v>99</c:v>
                </c:pt>
                <c:pt idx="126">
                  <c:v>100.5</c:v>
                </c:pt>
                <c:pt idx="127">
                  <c:v>102.5</c:v>
                </c:pt>
                <c:pt idx="128">
                  <c:v>100.6</c:v>
                </c:pt>
                <c:pt idx="129">
                  <c:v>102.1</c:v>
                </c:pt>
                <c:pt idx="130">
                  <c:v>100.6</c:v>
                </c:pt>
                <c:pt idx="131">
                  <c:v>101.3</c:v>
                </c:pt>
                <c:pt idx="132">
                  <c:v>102.1</c:v>
                </c:pt>
                <c:pt idx="133">
                  <c:v>99.7</c:v>
                </c:pt>
                <c:pt idx="134">
                  <c:v>101.2</c:v>
                </c:pt>
                <c:pt idx="135">
                  <c:v>103</c:v>
                </c:pt>
                <c:pt idx="136">
                  <c:v>102.5</c:v>
                </c:pt>
                <c:pt idx="137">
                  <c:v>103.2</c:v>
                </c:pt>
                <c:pt idx="138">
                  <c:v>102.4</c:v>
                </c:pt>
                <c:pt idx="139">
                  <c:v>102.9</c:v>
                </c:pt>
                <c:pt idx="140">
                  <c:v>103.5</c:v>
                </c:pt>
                <c:pt idx="141">
                  <c:v>102.5</c:v>
                </c:pt>
                <c:pt idx="142">
                  <c:v>103</c:v>
                </c:pt>
                <c:pt idx="143">
                  <c:v>99</c:v>
                </c:pt>
                <c:pt idx="144">
                  <c:v>100.6</c:v>
                </c:pt>
                <c:pt idx="145">
                  <c:v>101.2</c:v>
                </c:pt>
                <c:pt idx="146">
                  <c:v>101</c:v>
                </c:pt>
                <c:pt idx="147">
                  <c:v>100.2</c:v>
                </c:pt>
                <c:pt idx="148">
                  <c:v>98.8</c:v>
                </c:pt>
                <c:pt idx="149">
                  <c:v>96.1</c:v>
                </c:pt>
                <c:pt idx="150">
                  <c:v>98.3</c:v>
                </c:pt>
                <c:pt idx="151">
                  <c:v>99.2</c:v>
                </c:pt>
                <c:pt idx="152">
                  <c:v>99.4</c:v>
                </c:pt>
                <c:pt idx="153">
                  <c:v>99.7</c:v>
                </c:pt>
                <c:pt idx="154">
                  <c:v>98.6</c:v>
                </c:pt>
                <c:pt idx="155">
                  <c:v>95.4</c:v>
                </c:pt>
                <c:pt idx="156">
                  <c:v>96</c:v>
                </c:pt>
                <c:pt idx="157">
                  <c:v>95.4</c:v>
                </c:pt>
                <c:pt idx="158">
                  <c:v>95</c:v>
                </c:pt>
                <c:pt idx="159">
                  <c:v>93</c:v>
                </c:pt>
                <c:pt idx="160">
                  <c:v>92.2</c:v>
                </c:pt>
                <c:pt idx="161">
                  <c:v>91.3</c:v>
                </c:pt>
                <c:pt idx="162">
                  <c:v>89.5</c:v>
                </c:pt>
                <c:pt idx="163">
                  <c:v>90.3</c:v>
                </c:pt>
                <c:pt idx="164">
                  <c:v>88.2</c:v>
                </c:pt>
                <c:pt idx="165">
                  <c:v>88.1</c:v>
                </c:pt>
                <c:pt idx="166">
                  <c:v>86.4</c:v>
                </c:pt>
                <c:pt idx="167">
                  <c:v>84.8</c:v>
                </c:pt>
                <c:pt idx="168">
                  <c:v>86.1</c:v>
                </c:pt>
                <c:pt idx="169">
                  <c:v>84.8</c:v>
                </c:pt>
                <c:pt idx="170">
                  <c:v>85.6</c:v>
                </c:pt>
                <c:pt idx="171">
                  <c:v>85.4</c:v>
                </c:pt>
                <c:pt idx="172">
                  <c:v>85.8</c:v>
                </c:pt>
                <c:pt idx="173">
                  <c:v>84.8</c:v>
                </c:pt>
                <c:pt idx="174">
                  <c:v>85.5</c:v>
                </c:pt>
                <c:pt idx="175">
                  <c:v>83.5</c:v>
                </c:pt>
                <c:pt idx="176">
                  <c:v>84.4</c:v>
                </c:pt>
                <c:pt idx="177">
                  <c:v>83.4</c:v>
                </c:pt>
                <c:pt idx="178">
                  <c:v>84</c:v>
                </c:pt>
                <c:pt idx="179">
                  <c:v>85.5</c:v>
                </c:pt>
                <c:pt idx="180">
                  <c:v>86.4</c:v>
                </c:pt>
                <c:pt idx="181">
                  <c:v>87.4</c:v>
                </c:pt>
                <c:pt idx="182">
                  <c:v>85.6</c:v>
                </c:pt>
                <c:pt idx="183">
                  <c:v>85.9</c:v>
                </c:pt>
                <c:pt idx="184">
                  <c:v>86.2</c:v>
                </c:pt>
                <c:pt idx="185">
                  <c:v>87</c:v>
                </c:pt>
                <c:pt idx="186">
                  <c:v>87.3</c:v>
                </c:pt>
                <c:pt idx="187">
                  <c:v>87</c:v>
                </c:pt>
                <c:pt idx="188">
                  <c:v>87.4</c:v>
                </c:pt>
                <c:pt idx="189">
                  <c:v>88.1</c:v>
                </c:pt>
                <c:pt idx="190">
                  <c:v>88.4</c:v>
                </c:pt>
                <c:pt idx="191">
                  <c:v>91.3</c:v>
                </c:pt>
                <c:pt idx="192">
                  <c:v>88.9</c:v>
                </c:pt>
                <c:pt idx="193">
                  <c:v>88.5</c:v>
                </c:pt>
                <c:pt idx="194">
                  <c:v>89.7</c:v>
                </c:pt>
                <c:pt idx="195">
                  <c:v>90.1</c:v>
                </c:pt>
                <c:pt idx="196">
                  <c:v>80.2</c:v>
                </c:pt>
                <c:pt idx="197">
                  <c:v>90.3</c:v>
                </c:pt>
                <c:pt idx="198">
                  <c:v>90.1</c:v>
                </c:pt>
                <c:pt idx="199">
                  <c:v>88.9</c:v>
                </c:pt>
                <c:pt idx="200">
                  <c:v>86.5</c:v>
                </c:pt>
                <c:pt idx="201">
                  <c:v>87.5</c:v>
                </c:pt>
                <c:pt idx="202">
                  <c:v>87.5</c:v>
                </c:pt>
                <c:pt idx="203">
                  <c:v>87.8</c:v>
                </c:pt>
                <c:pt idx="204">
                  <c:v>86.8</c:v>
                </c:pt>
                <c:pt idx="205">
                  <c:v>87.3</c:v>
                </c:pt>
                <c:pt idx="206">
                  <c:v>87.1</c:v>
                </c:pt>
                <c:pt idx="207">
                  <c:v>87.5</c:v>
                </c:pt>
                <c:pt idx="208">
                  <c:v>87.4</c:v>
                </c:pt>
                <c:pt idx="209">
                  <c:v>86.6</c:v>
                </c:pt>
                <c:pt idx="210">
                  <c:v>86</c:v>
                </c:pt>
                <c:pt idx="211">
                  <c:v>87</c:v>
                </c:pt>
                <c:pt idx="212">
                  <c:v>86.9</c:v>
                </c:pt>
                <c:pt idx="213">
                  <c:v>88.7</c:v>
                </c:pt>
                <c:pt idx="214">
                  <c:v>86.9</c:v>
                </c:pt>
                <c:pt idx="215">
                  <c:v>85.8</c:v>
                </c:pt>
                <c:pt idx="216">
                  <c:v>86.4</c:v>
                </c:pt>
                <c:pt idx="217">
                  <c:v>87.4</c:v>
                </c:pt>
                <c:pt idx="218">
                  <c:v>80.7</c:v>
                </c:pt>
                <c:pt idx="219">
                  <c:v>64.900000000000006</c:v>
                </c:pt>
                <c:pt idx="220">
                  <c:v>70.099999999999994</c:v>
                </c:pt>
                <c:pt idx="221">
                  <c:v>76.8</c:v>
                </c:pt>
                <c:pt idx="222">
                  <c:v>83.9</c:v>
                </c:pt>
                <c:pt idx="223">
                  <c:v>86.3</c:v>
                </c:pt>
                <c:pt idx="224">
                  <c:v>88.7</c:v>
                </c:pt>
                <c:pt idx="225">
                  <c:v>89.7</c:v>
                </c:pt>
                <c:pt idx="226">
                  <c:v>90.2</c:v>
                </c:pt>
                <c:pt idx="227">
                  <c:v>90.3</c:v>
                </c:pt>
                <c:pt idx="228">
                  <c:v>90.5</c:v>
                </c:pt>
                <c:pt idx="229">
                  <c:v>89.6</c:v>
                </c:pt>
                <c:pt idx="230">
                  <c:v>87.5</c:v>
                </c:pt>
                <c:pt idx="231">
                  <c:v>86.1</c:v>
                </c:pt>
                <c:pt idx="232">
                  <c:v>87.1</c:v>
                </c:pt>
                <c:pt idx="233">
                  <c:v>86.7</c:v>
                </c:pt>
                <c:pt idx="234">
                  <c:v>85.3</c:v>
                </c:pt>
                <c:pt idx="235">
                  <c:v>85.1</c:v>
                </c:pt>
                <c:pt idx="236">
                  <c:v>84.6</c:v>
                </c:pt>
                <c:pt idx="237">
                  <c:v>84.2</c:v>
                </c:pt>
                <c:pt idx="238">
                  <c:v>84.2</c:v>
                </c:pt>
                <c:pt idx="239">
                  <c:v>86.6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6A-46B6-9A8F-11EBD2CED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Industrial</a:t>
            </a:r>
            <a:r>
              <a:rPr lang="pt-BR" baseline="0"/>
              <a:t> Production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- Ind Prod'!$B$2</c:f>
              <c:strCache>
                <c:ptCount val="1"/>
                <c:pt idx="0">
                  <c:v>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- Ind Prod'!$A$3:$A$105</c:f>
              <c:numCache>
                <c:formatCode>[$-416]mmm\-yy;@</c:formatCode>
                <c:ptCount val="103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</c:numCache>
            </c:numRef>
          </c:cat>
          <c:val>
            <c:numRef>
              <c:f>'Monthly - Ind Prod'!$B$3:$B$105</c:f>
              <c:numCache>
                <c:formatCode>0.0</c:formatCode>
                <c:ptCount val="103"/>
                <c:pt idx="0">
                  <c:v>72.400000000000006</c:v>
                </c:pt>
                <c:pt idx="1">
                  <c:v>69.7</c:v>
                </c:pt>
                <c:pt idx="2">
                  <c:v>77.400000000000006</c:v>
                </c:pt>
                <c:pt idx="3">
                  <c:v>79.599999999999994</c:v>
                </c:pt>
                <c:pt idx="4">
                  <c:v>80.400000000000006</c:v>
                </c:pt>
                <c:pt idx="5">
                  <c:v>77.5</c:v>
                </c:pt>
                <c:pt idx="6">
                  <c:v>83.3</c:v>
                </c:pt>
                <c:pt idx="7">
                  <c:v>83.6</c:v>
                </c:pt>
                <c:pt idx="8">
                  <c:v>82.1</c:v>
                </c:pt>
                <c:pt idx="9">
                  <c:v>89.2</c:v>
                </c:pt>
                <c:pt idx="10">
                  <c:v>83.9</c:v>
                </c:pt>
                <c:pt idx="11">
                  <c:v>74.599999999999994</c:v>
                </c:pt>
                <c:pt idx="12">
                  <c:v>74</c:v>
                </c:pt>
                <c:pt idx="13">
                  <c:v>71.8</c:v>
                </c:pt>
                <c:pt idx="14">
                  <c:v>77.400000000000006</c:v>
                </c:pt>
                <c:pt idx="15">
                  <c:v>76.5</c:v>
                </c:pt>
                <c:pt idx="16">
                  <c:v>79.7</c:v>
                </c:pt>
                <c:pt idx="17">
                  <c:v>76.3</c:v>
                </c:pt>
                <c:pt idx="18">
                  <c:v>81.3</c:v>
                </c:pt>
                <c:pt idx="19">
                  <c:v>81.599999999999994</c:v>
                </c:pt>
                <c:pt idx="20">
                  <c:v>85.7</c:v>
                </c:pt>
                <c:pt idx="21">
                  <c:v>90</c:v>
                </c:pt>
                <c:pt idx="22">
                  <c:v>84.6</c:v>
                </c:pt>
                <c:pt idx="23">
                  <c:v>77.900000000000006</c:v>
                </c:pt>
                <c:pt idx="24">
                  <c:v>76.8</c:v>
                </c:pt>
                <c:pt idx="25">
                  <c:v>74</c:v>
                </c:pt>
                <c:pt idx="26">
                  <c:v>86.9</c:v>
                </c:pt>
                <c:pt idx="27">
                  <c:v>82.2</c:v>
                </c:pt>
                <c:pt idx="28">
                  <c:v>86.3</c:v>
                </c:pt>
                <c:pt idx="29">
                  <c:v>86.1</c:v>
                </c:pt>
                <c:pt idx="30">
                  <c:v>90.1</c:v>
                </c:pt>
                <c:pt idx="31">
                  <c:v>92.1</c:v>
                </c:pt>
                <c:pt idx="32">
                  <c:v>92.1</c:v>
                </c:pt>
                <c:pt idx="33">
                  <c:v>93.5</c:v>
                </c:pt>
                <c:pt idx="34">
                  <c:v>91.8</c:v>
                </c:pt>
                <c:pt idx="35">
                  <c:v>84.7</c:v>
                </c:pt>
                <c:pt idx="36">
                  <c:v>81</c:v>
                </c:pt>
                <c:pt idx="37">
                  <c:v>76.400000000000006</c:v>
                </c:pt>
                <c:pt idx="38">
                  <c:v>88</c:v>
                </c:pt>
                <c:pt idx="39">
                  <c:v>87</c:v>
                </c:pt>
                <c:pt idx="40">
                  <c:v>91.1</c:v>
                </c:pt>
                <c:pt idx="41">
                  <c:v>91.4</c:v>
                </c:pt>
                <c:pt idx="42">
                  <c:v>90.5</c:v>
                </c:pt>
                <c:pt idx="43">
                  <c:v>95.6</c:v>
                </c:pt>
                <c:pt idx="44">
                  <c:v>92</c:v>
                </c:pt>
                <c:pt idx="45">
                  <c:v>93.7</c:v>
                </c:pt>
                <c:pt idx="46">
                  <c:v>92.4</c:v>
                </c:pt>
                <c:pt idx="47">
                  <c:v>86.6</c:v>
                </c:pt>
                <c:pt idx="48">
                  <c:v>83.7</c:v>
                </c:pt>
                <c:pt idx="49">
                  <c:v>80.2</c:v>
                </c:pt>
                <c:pt idx="50">
                  <c:v>92.4</c:v>
                </c:pt>
                <c:pt idx="51">
                  <c:v>85.7</c:v>
                </c:pt>
                <c:pt idx="52">
                  <c:v>95.4</c:v>
                </c:pt>
                <c:pt idx="53">
                  <c:v>91.1</c:v>
                </c:pt>
                <c:pt idx="54">
                  <c:v>93.8</c:v>
                </c:pt>
                <c:pt idx="55">
                  <c:v>98.6</c:v>
                </c:pt>
                <c:pt idx="56">
                  <c:v>93.2</c:v>
                </c:pt>
                <c:pt idx="57">
                  <c:v>97.5</c:v>
                </c:pt>
                <c:pt idx="58">
                  <c:v>95.9</c:v>
                </c:pt>
                <c:pt idx="59">
                  <c:v>87</c:v>
                </c:pt>
                <c:pt idx="60">
                  <c:v>87</c:v>
                </c:pt>
                <c:pt idx="61">
                  <c:v>82.6</c:v>
                </c:pt>
                <c:pt idx="62">
                  <c:v>96.4</c:v>
                </c:pt>
                <c:pt idx="63">
                  <c:v>90.6</c:v>
                </c:pt>
                <c:pt idx="64">
                  <c:v>99.9</c:v>
                </c:pt>
                <c:pt idx="65">
                  <c:v>96.9</c:v>
                </c:pt>
                <c:pt idx="66">
                  <c:v>99.8</c:v>
                </c:pt>
                <c:pt idx="67">
                  <c:v>104.9</c:v>
                </c:pt>
                <c:pt idx="68">
                  <c:v>98.4</c:v>
                </c:pt>
                <c:pt idx="69">
                  <c:v>107.8</c:v>
                </c:pt>
                <c:pt idx="70">
                  <c:v>102.4</c:v>
                </c:pt>
                <c:pt idx="71">
                  <c:v>92.6</c:v>
                </c:pt>
                <c:pt idx="72">
                  <c:v>94.8</c:v>
                </c:pt>
                <c:pt idx="73">
                  <c:v>91.1</c:v>
                </c:pt>
                <c:pt idx="74">
                  <c:v>97.7</c:v>
                </c:pt>
                <c:pt idx="75">
                  <c:v>99.2</c:v>
                </c:pt>
                <c:pt idx="76">
                  <c:v>102.5</c:v>
                </c:pt>
                <c:pt idx="77">
                  <c:v>103.3</c:v>
                </c:pt>
                <c:pt idx="78">
                  <c:v>108.5</c:v>
                </c:pt>
                <c:pt idx="79">
                  <c:v>106.9</c:v>
                </c:pt>
                <c:pt idx="80">
                  <c:v>107.3</c:v>
                </c:pt>
                <c:pt idx="81">
                  <c:v>108.4</c:v>
                </c:pt>
                <c:pt idx="82">
                  <c:v>96.2</c:v>
                </c:pt>
                <c:pt idx="83">
                  <c:v>79.099999999999994</c:v>
                </c:pt>
                <c:pt idx="84">
                  <c:v>78.7</c:v>
                </c:pt>
                <c:pt idx="85">
                  <c:v>76.099999999999994</c:v>
                </c:pt>
                <c:pt idx="86">
                  <c:v>88.6</c:v>
                </c:pt>
                <c:pt idx="87">
                  <c:v>85.2</c:v>
                </c:pt>
                <c:pt idx="88">
                  <c:v>91.3</c:v>
                </c:pt>
                <c:pt idx="89">
                  <c:v>92.2</c:v>
                </c:pt>
                <c:pt idx="90">
                  <c:v>97.7</c:v>
                </c:pt>
                <c:pt idx="91">
                  <c:v>99.6</c:v>
                </c:pt>
                <c:pt idx="92">
                  <c:v>99.4</c:v>
                </c:pt>
                <c:pt idx="93">
                  <c:v>105.6</c:v>
                </c:pt>
                <c:pt idx="94">
                  <c:v>101.4</c:v>
                </c:pt>
                <c:pt idx="95">
                  <c:v>94.1</c:v>
                </c:pt>
                <c:pt idx="96">
                  <c:v>91.2</c:v>
                </c:pt>
                <c:pt idx="97">
                  <c:v>89</c:v>
                </c:pt>
                <c:pt idx="98">
                  <c:v>105.1</c:v>
                </c:pt>
                <c:pt idx="99">
                  <c:v>99.3</c:v>
                </c:pt>
                <c:pt idx="100">
                  <c:v>104.3</c:v>
                </c:pt>
                <c:pt idx="101">
                  <c:v>102.5</c:v>
                </c:pt>
                <c:pt idx="102">
                  <c:v>106.9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E4-4579-8A9B-1AB58D06C53B}"/>
            </c:ext>
          </c:extLst>
        </c:ser>
        <c:ser>
          <c:idx val="1"/>
          <c:order val="1"/>
          <c:tx>
            <c:v>xlDESSAZ SA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- Ind Prod'!$A$3:$A$105</c:f>
              <c:numCache>
                <c:formatCode>[$-416]mmm\-yy;@</c:formatCode>
                <c:ptCount val="103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</c:numCache>
            </c:numRef>
          </c:cat>
          <c:val>
            <c:numRef>
              <c:f>'Monthly - Ind Prod'!$E$3:$E$105</c:f>
              <c:numCache>
                <c:formatCode>0.0</c:formatCode>
                <c:ptCount val="103"/>
                <c:pt idx="0">
                  <c:v>77.7</c:v>
                </c:pt>
                <c:pt idx="1">
                  <c:v>80.2</c:v>
                </c:pt>
                <c:pt idx="2">
                  <c:v>79.8</c:v>
                </c:pt>
                <c:pt idx="3">
                  <c:v>79.599999999999994</c:v>
                </c:pt>
                <c:pt idx="4">
                  <c:v>79.099999999999994</c:v>
                </c:pt>
                <c:pt idx="5">
                  <c:v>79.400000000000006</c:v>
                </c:pt>
                <c:pt idx="6">
                  <c:v>79.7</c:v>
                </c:pt>
                <c:pt idx="7">
                  <c:v>78.599999999999994</c:v>
                </c:pt>
                <c:pt idx="8">
                  <c:v>79.599999999999994</c:v>
                </c:pt>
                <c:pt idx="9">
                  <c:v>80.099999999999994</c:v>
                </c:pt>
                <c:pt idx="10">
                  <c:v>80.3</c:v>
                </c:pt>
                <c:pt idx="11">
                  <c:v>79.599999999999994</c:v>
                </c:pt>
                <c:pt idx="12">
                  <c:v>79.7</c:v>
                </c:pt>
                <c:pt idx="13">
                  <c:v>79.7</c:v>
                </c:pt>
                <c:pt idx="14">
                  <c:v>79.8</c:v>
                </c:pt>
                <c:pt idx="15">
                  <c:v>79.400000000000006</c:v>
                </c:pt>
                <c:pt idx="16">
                  <c:v>77.8</c:v>
                </c:pt>
                <c:pt idx="17">
                  <c:v>78.2</c:v>
                </c:pt>
                <c:pt idx="18">
                  <c:v>77.400000000000006</c:v>
                </c:pt>
                <c:pt idx="19">
                  <c:v>78.5</c:v>
                </c:pt>
                <c:pt idx="20">
                  <c:v>81.3</c:v>
                </c:pt>
                <c:pt idx="21">
                  <c:v>81.599999999999994</c:v>
                </c:pt>
                <c:pt idx="22">
                  <c:v>82.6</c:v>
                </c:pt>
                <c:pt idx="23">
                  <c:v>81.2</c:v>
                </c:pt>
                <c:pt idx="24">
                  <c:v>82.7</c:v>
                </c:pt>
                <c:pt idx="25">
                  <c:v>84</c:v>
                </c:pt>
                <c:pt idx="26">
                  <c:v>84.5</c:v>
                </c:pt>
                <c:pt idx="27">
                  <c:v>85.1</c:v>
                </c:pt>
                <c:pt idx="28">
                  <c:v>85.9</c:v>
                </c:pt>
                <c:pt idx="29">
                  <c:v>86.1</c:v>
                </c:pt>
                <c:pt idx="30">
                  <c:v>86.7</c:v>
                </c:pt>
                <c:pt idx="31">
                  <c:v>87.6</c:v>
                </c:pt>
                <c:pt idx="32">
                  <c:v>88.2</c:v>
                </c:pt>
                <c:pt idx="33">
                  <c:v>87.5</c:v>
                </c:pt>
                <c:pt idx="34">
                  <c:v>87.5</c:v>
                </c:pt>
                <c:pt idx="35">
                  <c:v>88.3</c:v>
                </c:pt>
                <c:pt idx="36">
                  <c:v>88.7</c:v>
                </c:pt>
                <c:pt idx="37">
                  <c:v>87.4</c:v>
                </c:pt>
                <c:pt idx="38">
                  <c:v>88.2</c:v>
                </c:pt>
                <c:pt idx="39">
                  <c:v>88.3</c:v>
                </c:pt>
                <c:pt idx="40">
                  <c:v>91.3</c:v>
                </c:pt>
                <c:pt idx="41">
                  <c:v>89.5</c:v>
                </c:pt>
                <c:pt idx="42">
                  <c:v>88.9</c:v>
                </c:pt>
                <c:pt idx="43">
                  <c:v>89.1</c:v>
                </c:pt>
                <c:pt idx="44">
                  <c:v>88.3</c:v>
                </c:pt>
                <c:pt idx="45">
                  <c:v>87.6</c:v>
                </c:pt>
                <c:pt idx="46">
                  <c:v>88.6</c:v>
                </c:pt>
                <c:pt idx="47">
                  <c:v>90.5</c:v>
                </c:pt>
                <c:pt idx="48">
                  <c:v>90.8</c:v>
                </c:pt>
                <c:pt idx="49">
                  <c:v>91.4</c:v>
                </c:pt>
                <c:pt idx="50">
                  <c:v>90.7</c:v>
                </c:pt>
                <c:pt idx="51">
                  <c:v>91.4</c:v>
                </c:pt>
                <c:pt idx="52">
                  <c:v>92.2</c:v>
                </c:pt>
                <c:pt idx="53">
                  <c:v>90.6</c:v>
                </c:pt>
                <c:pt idx="54">
                  <c:v>91.6</c:v>
                </c:pt>
                <c:pt idx="55">
                  <c:v>91.4</c:v>
                </c:pt>
                <c:pt idx="56">
                  <c:v>90.4</c:v>
                </c:pt>
                <c:pt idx="57">
                  <c:v>90.7</c:v>
                </c:pt>
                <c:pt idx="58">
                  <c:v>92.1</c:v>
                </c:pt>
                <c:pt idx="59">
                  <c:v>93.3</c:v>
                </c:pt>
                <c:pt idx="60">
                  <c:v>92.7</c:v>
                </c:pt>
                <c:pt idx="61">
                  <c:v>93.9</c:v>
                </c:pt>
                <c:pt idx="62">
                  <c:v>94.9</c:v>
                </c:pt>
                <c:pt idx="63">
                  <c:v>96</c:v>
                </c:pt>
                <c:pt idx="64">
                  <c:v>96.3</c:v>
                </c:pt>
                <c:pt idx="65">
                  <c:v>97</c:v>
                </c:pt>
                <c:pt idx="66">
                  <c:v>96.5</c:v>
                </c:pt>
                <c:pt idx="67">
                  <c:v>97.9</c:v>
                </c:pt>
                <c:pt idx="68">
                  <c:v>97.1</c:v>
                </c:pt>
                <c:pt idx="69">
                  <c:v>99.5</c:v>
                </c:pt>
                <c:pt idx="70">
                  <c:v>98.5</c:v>
                </c:pt>
                <c:pt idx="71">
                  <c:v>98.9</c:v>
                </c:pt>
                <c:pt idx="72">
                  <c:v>100.6</c:v>
                </c:pt>
                <c:pt idx="73">
                  <c:v>100.2</c:v>
                </c:pt>
                <c:pt idx="74">
                  <c:v>100.5</c:v>
                </c:pt>
                <c:pt idx="75">
                  <c:v>100.4</c:v>
                </c:pt>
                <c:pt idx="76">
                  <c:v>101.1</c:v>
                </c:pt>
                <c:pt idx="77">
                  <c:v>102.9</c:v>
                </c:pt>
                <c:pt idx="78">
                  <c:v>103.2</c:v>
                </c:pt>
                <c:pt idx="79">
                  <c:v>101.9</c:v>
                </c:pt>
                <c:pt idx="80">
                  <c:v>103.4</c:v>
                </c:pt>
                <c:pt idx="81">
                  <c:v>100.2</c:v>
                </c:pt>
                <c:pt idx="82">
                  <c:v>94.4</c:v>
                </c:pt>
                <c:pt idx="83">
                  <c:v>83.8</c:v>
                </c:pt>
                <c:pt idx="84">
                  <c:v>85.6</c:v>
                </c:pt>
                <c:pt idx="85">
                  <c:v>87.6</c:v>
                </c:pt>
                <c:pt idx="86">
                  <c:v>88</c:v>
                </c:pt>
                <c:pt idx="87">
                  <c:v>89</c:v>
                </c:pt>
                <c:pt idx="88">
                  <c:v>90.4</c:v>
                </c:pt>
                <c:pt idx="89">
                  <c:v>91.6</c:v>
                </c:pt>
                <c:pt idx="90">
                  <c:v>92.6</c:v>
                </c:pt>
                <c:pt idx="91">
                  <c:v>94</c:v>
                </c:pt>
                <c:pt idx="92">
                  <c:v>95.6</c:v>
                </c:pt>
                <c:pt idx="93">
                  <c:v>97.3</c:v>
                </c:pt>
                <c:pt idx="94">
                  <c:v>98.9</c:v>
                </c:pt>
                <c:pt idx="95">
                  <c:v>99.1</c:v>
                </c:pt>
                <c:pt idx="96">
                  <c:v>100.7</c:v>
                </c:pt>
                <c:pt idx="97">
                  <c:v>100.5</c:v>
                </c:pt>
                <c:pt idx="98">
                  <c:v>103</c:v>
                </c:pt>
                <c:pt idx="99">
                  <c:v>103.2</c:v>
                </c:pt>
                <c:pt idx="100">
                  <c:v>103</c:v>
                </c:pt>
                <c:pt idx="101">
                  <c:v>102.3</c:v>
                </c:pt>
                <c:pt idx="102">
                  <c:v>101.8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E4-4579-8A9B-1AB58D06C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ax val="12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Difference of 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- Ind Prod'!$L$2</c:f>
              <c:strCache>
                <c:ptCount val="1"/>
                <c:pt idx="0">
                  <c:v>Diff of SAs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'Monthly - Ind Prod'!$A$3:$A$105</c:f>
              <c:numCache>
                <c:formatCode>[$-416]mmm\-yy;@</c:formatCode>
                <c:ptCount val="103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</c:numCache>
            </c:numRef>
          </c:cat>
          <c:val>
            <c:numRef>
              <c:f>'Monthly - Ind Prod'!$L$3:$L$105</c:f>
              <c:numCache>
                <c:formatCode>0.0%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C-4BD1-8763-44784F170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80837056"/>
        <c:axId val="780837888"/>
      </c:bar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ax val="1.0000000000000002E-2"/>
          <c:min val="-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Seasonal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'Monthly - Ind Prod'!$X$3:$AI$3</c:f>
              <c:numCache>
                <c:formatCode>General</c:formatCode>
                <c:ptCount val="12"/>
                <c:pt idx="0">
                  <c:v>-2</c:v>
                </c:pt>
                <c:pt idx="1">
                  <c:v>0.4</c:v>
                </c:pt>
                <c:pt idx="2">
                  <c:v>0.2</c:v>
                </c:pt>
                <c:pt idx="3">
                  <c:v>0</c:v>
                </c:pt>
                <c:pt idx="4">
                  <c:v>-0.4</c:v>
                </c:pt>
                <c:pt idx="5">
                  <c:v>0.1</c:v>
                </c:pt>
                <c:pt idx="6">
                  <c:v>0.4</c:v>
                </c:pt>
                <c:pt idx="7">
                  <c:v>-0.9</c:v>
                </c:pt>
                <c:pt idx="8">
                  <c:v>0</c:v>
                </c:pt>
                <c:pt idx="9">
                  <c:v>0.4</c:v>
                </c:pt>
                <c:pt idx="10">
                  <c:v>0.4</c:v>
                </c:pt>
                <c:pt idx="11">
                  <c:v>-0.4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9A-4541-840F-61D73A19B2F6}"/>
            </c:ext>
          </c:extLst>
        </c:ser>
        <c:ser>
          <c:idx val="1"/>
          <c:order val="1"/>
          <c:tx>
            <c:v>2004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'Monthly - Ind Prod'!$X$4:$AI$4</c:f>
              <c:numCache>
                <c:formatCode>General</c:formatCode>
                <c:ptCount val="12"/>
                <c:pt idx="0">
                  <c:v>-0.1</c:v>
                </c:pt>
                <c:pt idx="1">
                  <c:v>0</c:v>
                </c:pt>
                <c:pt idx="2">
                  <c:v>0.5</c:v>
                </c:pt>
                <c:pt idx="3">
                  <c:v>0.6</c:v>
                </c:pt>
                <c:pt idx="4">
                  <c:v>-0.6</c:v>
                </c:pt>
                <c:pt idx="5">
                  <c:v>-0.2</c:v>
                </c:pt>
                <c:pt idx="6">
                  <c:v>-1.2</c:v>
                </c:pt>
                <c:pt idx="7">
                  <c:v>-0.7</c:v>
                </c:pt>
                <c:pt idx="8">
                  <c:v>1.2</c:v>
                </c:pt>
                <c:pt idx="9">
                  <c:v>0.6</c:v>
                </c:pt>
                <c:pt idx="10">
                  <c:v>0.8</c:v>
                </c:pt>
                <c:pt idx="11">
                  <c:v>-1.3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9A-4541-840F-61D73A19B2F6}"/>
            </c:ext>
          </c:extLst>
        </c:ser>
        <c:ser>
          <c:idx val="2"/>
          <c:order val="2"/>
          <c:tx>
            <c:v>2005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'Monthly - Ind Prod'!$X$5:$AI$5</c:f>
              <c:numCache>
                <c:formatCode>General</c:formatCode>
                <c:ptCount val="12"/>
                <c:pt idx="0">
                  <c:v>-0.5</c:v>
                </c:pt>
                <c:pt idx="1">
                  <c:v>0.3</c:v>
                </c:pt>
                <c:pt idx="2">
                  <c:v>0.1</c:v>
                </c:pt>
                <c:pt idx="3">
                  <c:v>0</c:v>
                </c:pt>
                <c:pt idx="4">
                  <c:v>0.1</c:v>
                </c:pt>
                <c:pt idx="5">
                  <c:v>-0.3</c:v>
                </c:pt>
                <c:pt idx="6">
                  <c:v>-0.2</c:v>
                </c:pt>
                <c:pt idx="7">
                  <c:v>0.3</c:v>
                </c:pt>
                <c:pt idx="8">
                  <c:v>0.5</c:v>
                </c:pt>
                <c:pt idx="9">
                  <c:v>-0.3</c:v>
                </c:pt>
                <c:pt idx="10">
                  <c:v>-0.5</c:v>
                </c:pt>
                <c:pt idx="11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9A-4541-840F-61D73A19B2F6}"/>
            </c:ext>
          </c:extLst>
        </c:ser>
        <c:ser>
          <c:idx val="3"/>
          <c:order val="3"/>
          <c:tx>
            <c:v>2006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'Monthly - Ind Prod'!$X$6:$AI$6</c:f>
              <c:numCache>
                <c:formatCode>General</c:formatCode>
                <c:ptCount val="12"/>
                <c:pt idx="0">
                  <c:v>0.7</c:v>
                </c:pt>
                <c:pt idx="1">
                  <c:v>-0.7</c:v>
                </c:pt>
                <c:pt idx="2">
                  <c:v>-0.1</c:v>
                </c:pt>
                <c:pt idx="3">
                  <c:v>-0.2</c:v>
                </c:pt>
                <c:pt idx="4">
                  <c:v>2.6</c:v>
                </c:pt>
                <c:pt idx="5">
                  <c:v>0.6</c:v>
                </c:pt>
                <c:pt idx="6">
                  <c:v>0</c:v>
                </c:pt>
                <c:pt idx="7">
                  <c:v>0.3</c:v>
                </c:pt>
                <c:pt idx="8">
                  <c:v>-0.5</c:v>
                </c:pt>
                <c:pt idx="9">
                  <c:v>-1.4</c:v>
                </c:pt>
                <c:pt idx="10">
                  <c:v>-0.7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9A-4541-840F-61D73A19B2F6}"/>
            </c:ext>
          </c:extLst>
        </c:ser>
        <c:ser>
          <c:idx val="4"/>
          <c:order val="4"/>
          <c:tx>
            <c:v>2007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'Monthly - Ind Prod'!$X$7:$AI$7</c:f>
              <c:numCache>
                <c:formatCode>General</c:formatCode>
                <c:ptCount val="12"/>
                <c:pt idx="0">
                  <c:v>0.3</c:v>
                </c:pt>
                <c:pt idx="1">
                  <c:v>0.4</c:v>
                </c:pt>
                <c:pt idx="2">
                  <c:v>-0.6</c:v>
                </c:pt>
                <c:pt idx="3">
                  <c:v>0</c:v>
                </c:pt>
                <c:pt idx="4">
                  <c:v>0.8</c:v>
                </c:pt>
                <c:pt idx="5">
                  <c:v>-0.7</c:v>
                </c:pt>
                <c:pt idx="6">
                  <c:v>0.4</c:v>
                </c:pt>
                <c:pt idx="7">
                  <c:v>0.3</c:v>
                </c:pt>
                <c:pt idx="8">
                  <c:v>-0.8</c:v>
                </c:pt>
                <c:pt idx="9">
                  <c:v>-0.7</c:v>
                </c:pt>
                <c:pt idx="10">
                  <c:v>0.2</c:v>
                </c:pt>
                <c:pt idx="11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9A-4541-840F-61D73A19B2F6}"/>
            </c:ext>
          </c:extLst>
        </c:ser>
        <c:ser>
          <c:idx val="5"/>
          <c:order val="5"/>
          <c:tx>
            <c:v>2008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'Monthly - Ind Prod'!$X$8:$AI$8</c:f>
              <c:numCache>
                <c:formatCode>General</c:formatCode>
                <c:ptCount val="12"/>
                <c:pt idx="0">
                  <c:v>-0.6</c:v>
                </c:pt>
                <c:pt idx="1">
                  <c:v>-0.2</c:v>
                </c:pt>
                <c:pt idx="2">
                  <c:v>0</c:v>
                </c:pt>
                <c:pt idx="3">
                  <c:v>0.4</c:v>
                </c:pt>
                <c:pt idx="4">
                  <c:v>0.1</c:v>
                </c:pt>
                <c:pt idx="5">
                  <c:v>0.3</c:v>
                </c:pt>
                <c:pt idx="6">
                  <c:v>-0.6</c:v>
                </c:pt>
                <c:pt idx="7">
                  <c:v>0.4</c:v>
                </c:pt>
                <c:pt idx="8">
                  <c:v>-0.8</c:v>
                </c:pt>
                <c:pt idx="9">
                  <c:v>1</c:v>
                </c:pt>
                <c:pt idx="10">
                  <c:v>-0.4</c:v>
                </c:pt>
                <c:pt idx="11">
                  <c:v>-0.5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29A-4541-840F-61D73A19B2F6}"/>
            </c:ext>
          </c:extLst>
        </c:ser>
        <c:ser>
          <c:idx val="6"/>
          <c:order val="6"/>
          <c:tx>
            <c:v>2009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f>'Monthly - Ind Prod'!$X$9:$AI$9</c:f>
              <c:numCache>
                <c:formatCode>General</c:formatCode>
                <c:ptCount val="12"/>
                <c:pt idx="0">
                  <c:v>0.9</c:v>
                </c:pt>
                <c:pt idx="1">
                  <c:v>0.1</c:v>
                </c:pt>
                <c:pt idx="2">
                  <c:v>-0.1</c:v>
                </c:pt>
                <c:pt idx="3">
                  <c:v>-0.7</c:v>
                </c:pt>
                <c:pt idx="4">
                  <c:v>-0.6</c:v>
                </c:pt>
                <c:pt idx="5">
                  <c:v>0.8</c:v>
                </c:pt>
                <c:pt idx="6">
                  <c:v>0.7</c:v>
                </c:pt>
                <c:pt idx="7">
                  <c:v>-0.6</c:v>
                </c:pt>
                <c:pt idx="8">
                  <c:v>1.1000000000000001</c:v>
                </c:pt>
                <c:pt idx="9">
                  <c:v>-1.7</c:v>
                </c:pt>
                <c:pt idx="10">
                  <c:v>-0.1</c:v>
                </c:pt>
                <c:pt idx="11">
                  <c:v>-10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29A-4541-840F-61D73A19B2F6}"/>
            </c:ext>
          </c:extLst>
        </c:ser>
        <c:ser>
          <c:idx val="7"/>
          <c:order val="7"/>
          <c:tx>
            <c:v>2010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f>'Monthly - Ind Prod'!$X$10:$AI$10</c:f>
              <c:numCache>
                <c:formatCode>General</c:formatCode>
                <c:ptCount val="12"/>
                <c:pt idx="0">
                  <c:v>-7.3</c:v>
                </c:pt>
                <c:pt idx="1">
                  <c:v>-4.8</c:v>
                </c:pt>
                <c:pt idx="2">
                  <c:v>-3.9</c:v>
                </c:pt>
                <c:pt idx="3">
                  <c:v>-2.8</c:v>
                </c:pt>
                <c:pt idx="4">
                  <c:v>-1.7</c:v>
                </c:pt>
                <c:pt idx="5">
                  <c:v>-1.1000000000000001</c:v>
                </c:pt>
                <c:pt idx="6">
                  <c:v>-1</c:v>
                </c:pt>
                <c:pt idx="7">
                  <c:v>-0.8</c:v>
                </c:pt>
                <c:pt idx="8">
                  <c:v>-0.5</c:v>
                </c:pt>
                <c:pt idx="9">
                  <c:v>0</c:v>
                </c:pt>
                <c:pt idx="10">
                  <c:v>0.4</c:v>
                </c:pt>
                <c:pt idx="11">
                  <c:v>-0.6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29A-4541-840F-61D73A19B2F6}"/>
            </c:ext>
          </c:extLst>
        </c:ser>
        <c:ser>
          <c:idx val="8"/>
          <c:order val="8"/>
          <c:tx>
            <c:v>2011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f>'Monthly - Ind Prod'!$X$11:$AI$11</c:f>
              <c:numCache>
                <c:formatCode>General</c:formatCode>
                <c:ptCount val="12"/>
                <c:pt idx="0">
                  <c:v>0</c:v>
                </c:pt>
                <c:pt idx="1">
                  <c:v>-1.1000000000000001</c:v>
                </c:pt>
                <c:pt idx="2">
                  <c:v>0.7</c:v>
                </c:pt>
                <c:pt idx="3">
                  <c:v>0.5</c:v>
                </c:pt>
                <c:pt idx="4">
                  <c:v>0.3</c:v>
                </c:pt>
                <c:pt idx="5">
                  <c:v>-0.1</c:v>
                </c:pt>
                <c:pt idx="6">
                  <c:v>-0.2</c:v>
                </c:pt>
                <c:pt idx="7">
                  <c:v>-0.3</c:v>
                </c:pt>
                <c:pt idx="8">
                  <c:v>0.1</c:v>
                </c:pt>
                <c:pt idx="9">
                  <c:v>-0.4</c:v>
                </c:pt>
                <c:pt idx="10">
                  <c:v>0.1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9A-4541-840F-61D73A19B2F6}"/>
            </c:ext>
          </c:extLst>
        </c:ser>
        <c:ser>
          <c:idx val="9"/>
          <c:order val="9"/>
          <c:tx>
            <c:v>2012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f>'Monthly - Ind Prod'!$X$12:$AI$12</c:f>
              <c:numCache>
                <c:formatCode>General</c:formatCode>
                <c:ptCount val="12"/>
                <c:pt idx="0">
                  <c:v>-0.5</c:v>
                </c:pt>
                <c:pt idx="1">
                  <c:v>0.3</c:v>
                </c:pt>
                <c:pt idx="2">
                  <c:v>0.6</c:v>
                </c:pt>
                <c:pt idx="3">
                  <c:v>-2.2000000000000002</c:v>
                </c:pt>
                <c:pt idx="4">
                  <c:v>1.2</c:v>
                </c:pt>
                <c:pt idx="5">
                  <c:v>-0.7</c:v>
                </c:pt>
                <c:pt idx="6">
                  <c:v>0.5</c:v>
                </c:pt>
                <c:pt idx="7">
                  <c:v>0.4</c:v>
                </c:pt>
                <c:pt idx="8">
                  <c:v>-0.6</c:v>
                </c:pt>
                <c:pt idx="9">
                  <c:v>-0.8</c:v>
                </c:pt>
                <c:pt idx="10">
                  <c:v>0.5</c:v>
                </c:pt>
                <c:pt idx="11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29A-4541-840F-61D73A19B2F6}"/>
            </c:ext>
          </c:extLst>
        </c:ser>
        <c:ser>
          <c:idx val="10"/>
          <c:order val="10"/>
          <c:tx>
            <c:v>2013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val>
            <c:numRef>
              <c:f>'Monthly - Ind Prod'!$X$13:$AI$13</c:f>
              <c:numCache>
                <c:formatCode>General</c:formatCode>
                <c:ptCount val="12"/>
                <c:pt idx="0">
                  <c:v>-0.7</c:v>
                </c:pt>
                <c:pt idx="1">
                  <c:v>0.5</c:v>
                </c:pt>
                <c:pt idx="2">
                  <c:v>-0.2</c:v>
                </c:pt>
                <c:pt idx="3">
                  <c:v>-0.1</c:v>
                </c:pt>
                <c:pt idx="4">
                  <c:v>0</c:v>
                </c:pt>
                <c:pt idx="5">
                  <c:v>-0.5</c:v>
                </c:pt>
                <c:pt idx="6">
                  <c:v>0.5</c:v>
                </c:pt>
                <c:pt idx="7">
                  <c:v>2</c:v>
                </c:pt>
                <c:pt idx="8">
                  <c:v>-0.4</c:v>
                </c:pt>
                <c:pt idx="9">
                  <c:v>0.9</c:v>
                </c:pt>
                <c:pt idx="10">
                  <c:v>-0.8</c:v>
                </c:pt>
                <c:pt idx="11">
                  <c:v>-0.1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29A-4541-840F-61D73A19B2F6}"/>
            </c:ext>
          </c:extLst>
        </c:ser>
        <c:ser>
          <c:idx val="11"/>
          <c:order val="11"/>
          <c:tx>
            <c:v>2014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val>
            <c:numRef>
              <c:f>'Monthly - Ind Prod'!$X$14:$AI$14</c:f>
              <c:numCache>
                <c:formatCode>General</c:formatCode>
                <c:ptCount val="12"/>
                <c:pt idx="0">
                  <c:v>0.6</c:v>
                </c:pt>
                <c:pt idx="1">
                  <c:v>-2.1</c:v>
                </c:pt>
                <c:pt idx="2">
                  <c:v>-0.8</c:v>
                </c:pt>
                <c:pt idx="3">
                  <c:v>0.7</c:v>
                </c:pt>
                <c:pt idx="4">
                  <c:v>-0.1</c:v>
                </c:pt>
                <c:pt idx="5">
                  <c:v>0.4</c:v>
                </c:pt>
                <c:pt idx="6">
                  <c:v>-0.6</c:v>
                </c:pt>
                <c:pt idx="7">
                  <c:v>-0.1</c:v>
                </c:pt>
                <c:pt idx="8">
                  <c:v>0.6</c:v>
                </c:pt>
                <c:pt idx="9">
                  <c:v>-0.3</c:v>
                </c:pt>
                <c:pt idx="10">
                  <c:v>0.6</c:v>
                </c:pt>
                <c:pt idx="11">
                  <c:v>-2.9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29A-4541-840F-61D73A19B2F6}"/>
            </c:ext>
          </c:extLst>
        </c:ser>
        <c:ser>
          <c:idx val="12"/>
          <c:order val="12"/>
          <c:tx>
            <c:v>2015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'Monthly - Ind Prod'!$X$15:$AI$15</c:f>
              <c:numCache>
                <c:formatCode>General</c:formatCode>
                <c:ptCount val="12"/>
                <c:pt idx="0">
                  <c:v>-0.9</c:v>
                </c:pt>
                <c:pt idx="1">
                  <c:v>0.3</c:v>
                </c:pt>
                <c:pt idx="2">
                  <c:v>0.6</c:v>
                </c:pt>
                <c:pt idx="3">
                  <c:v>0.3</c:v>
                </c:pt>
                <c:pt idx="4">
                  <c:v>-0.6</c:v>
                </c:pt>
                <c:pt idx="5">
                  <c:v>-3</c:v>
                </c:pt>
                <c:pt idx="6">
                  <c:v>-0.7</c:v>
                </c:pt>
                <c:pt idx="7">
                  <c:v>0.1</c:v>
                </c:pt>
                <c:pt idx="8">
                  <c:v>0.3</c:v>
                </c:pt>
                <c:pt idx="9">
                  <c:v>0.7</c:v>
                </c:pt>
                <c:pt idx="10">
                  <c:v>0.2</c:v>
                </c:pt>
                <c:pt idx="11">
                  <c:v>-2.1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29A-4541-840F-61D73A19B2F6}"/>
            </c:ext>
          </c:extLst>
        </c:ser>
        <c:ser>
          <c:idx val="13"/>
          <c:order val="13"/>
          <c:tx>
            <c:v>2016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'Monthly - Ind Prod'!$X$16:$AI$16</c:f>
              <c:numCache>
                <c:formatCode>General</c:formatCode>
                <c:ptCount val="12"/>
                <c:pt idx="0">
                  <c:v>-0.5</c:v>
                </c:pt>
                <c:pt idx="1">
                  <c:v>0</c:v>
                </c:pt>
                <c:pt idx="2">
                  <c:v>0.7</c:v>
                </c:pt>
                <c:pt idx="3">
                  <c:v>-0.3</c:v>
                </c:pt>
                <c:pt idx="4">
                  <c:v>0</c:v>
                </c:pt>
                <c:pt idx="5">
                  <c:v>0</c:v>
                </c:pt>
                <c:pt idx="6">
                  <c:v>-0.8</c:v>
                </c:pt>
                <c:pt idx="7">
                  <c:v>0.9</c:v>
                </c:pt>
                <c:pt idx="8">
                  <c:v>-0.2</c:v>
                </c:pt>
                <c:pt idx="9">
                  <c:v>0.6</c:v>
                </c:pt>
                <c:pt idx="10">
                  <c:v>-0.2</c:v>
                </c:pt>
                <c:pt idx="11">
                  <c:v>-1.1000000000000001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29A-4541-840F-61D73A19B2F6}"/>
            </c:ext>
          </c:extLst>
        </c:ser>
        <c:ser>
          <c:idx val="14"/>
          <c:order val="14"/>
          <c:tx>
            <c:v>2017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'Monthly - Ind Prod'!$X$17:$AI$17</c:f>
              <c:numCache>
                <c:formatCode>General</c:formatCode>
                <c:ptCount val="12"/>
                <c:pt idx="0">
                  <c:v>0.6</c:v>
                </c:pt>
                <c:pt idx="1">
                  <c:v>-0.5</c:v>
                </c:pt>
                <c:pt idx="2">
                  <c:v>0.2</c:v>
                </c:pt>
                <c:pt idx="3">
                  <c:v>0</c:v>
                </c:pt>
                <c:pt idx="4">
                  <c:v>0.5</c:v>
                </c:pt>
                <c:pt idx="5">
                  <c:v>-0.3</c:v>
                </c:pt>
                <c:pt idx="6">
                  <c:v>0.9</c:v>
                </c:pt>
                <c:pt idx="7">
                  <c:v>-0.8</c:v>
                </c:pt>
                <c:pt idx="8">
                  <c:v>0.3</c:v>
                </c:pt>
                <c:pt idx="9">
                  <c:v>-0.9</c:v>
                </c:pt>
                <c:pt idx="10">
                  <c:v>-0.6</c:v>
                </c:pt>
                <c:pt idx="11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29A-4541-840F-61D73A19B2F6}"/>
            </c:ext>
          </c:extLst>
        </c:ser>
        <c:ser>
          <c:idx val="15"/>
          <c:order val="15"/>
          <c:tx>
            <c:v>2018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'Monthly - Ind Prod'!$X$18:$AI$18</c:f>
              <c:numCache>
                <c:formatCode>General</c:formatCode>
                <c:ptCount val="12"/>
                <c:pt idx="0">
                  <c:v>0.8</c:v>
                </c:pt>
                <c:pt idx="1">
                  <c:v>1.5</c:v>
                </c:pt>
                <c:pt idx="2">
                  <c:v>-0.5</c:v>
                </c:pt>
                <c:pt idx="3">
                  <c:v>-0.4</c:v>
                </c:pt>
                <c:pt idx="4">
                  <c:v>-0.2</c:v>
                </c:pt>
                <c:pt idx="5">
                  <c:v>0.3</c:v>
                </c:pt>
                <c:pt idx="6">
                  <c:v>0.3</c:v>
                </c:pt>
                <c:pt idx="7">
                  <c:v>-0.3</c:v>
                </c:pt>
                <c:pt idx="8">
                  <c:v>-0.3</c:v>
                </c:pt>
                <c:pt idx="9">
                  <c:v>0.1</c:v>
                </c:pt>
                <c:pt idx="10">
                  <c:v>0.1</c:v>
                </c:pt>
                <c:pt idx="11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29A-4541-840F-61D73A19B2F6}"/>
            </c:ext>
          </c:extLst>
        </c:ser>
        <c:ser>
          <c:idx val="16"/>
          <c:order val="16"/>
          <c:tx>
            <c:v>2019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'Monthly - Ind Prod'!$X$19:$AI$19</c:f>
              <c:numCache>
                <c:formatCode>General</c:formatCode>
                <c:ptCount val="12"/>
                <c:pt idx="0">
                  <c:v>0</c:v>
                </c:pt>
                <c:pt idx="1">
                  <c:v>-0.7</c:v>
                </c:pt>
                <c:pt idx="2">
                  <c:v>0.1</c:v>
                </c:pt>
                <c:pt idx="3">
                  <c:v>0.2</c:v>
                </c:pt>
                <c:pt idx="4">
                  <c:v>-9.8000000000000007</c:v>
                </c:pt>
                <c:pt idx="5">
                  <c:v>0.3</c:v>
                </c:pt>
                <c:pt idx="6">
                  <c:v>0.4</c:v>
                </c:pt>
                <c:pt idx="7">
                  <c:v>-0.2</c:v>
                </c:pt>
                <c:pt idx="8">
                  <c:v>-2</c:v>
                </c:pt>
                <c:pt idx="9">
                  <c:v>-0.5</c:v>
                </c:pt>
                <c:pt idx="10">
                  <c:v>-0.1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29A-4541-840F-61D73A19B2F6}"/>
            </c:ext>
          </c:extLst>
        </c:ser>
        <c:ser>
          <c:idx val="17"/>
          <c:order val="17"/>
          <c:tx>
            <c:v>2020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'Monthly - Ind Prod'!$X$20:$AI$20</c:f>
              <c:numCache>
                <c:formatCode>General</c:formatCode>
                <c:ptCount val="12"/>
                <c:pt idx="0">
                  <c:v>-0.5</c:v>
                </c:pt>
                <c:pt idx="1">
                  <c:v>0.1</c:v>
                </c:pt>
                <c:pt idx="2">
                  <c:v>-0.1</c:v>
                </c:pt>
                <c:pt idx="3">
                  <c:v>0.4</c:v>
                </c:pt>
                <c:pt idx="4">
                  <c:v>0.4</c:v>
                </c:pt>
                <c:pt idx="5">
                  <c:v>-0.3</c:v>
                </c:pt>
                <c:pt idx="6">
                  <c:v>-0.8</c:v>
                </c:pt>
                <c:pt idx="7">
                  <c:v>0.4</c:v>
                </c:pt>
                <c:pt idx="8">
                  <c:v>0.3</c:v>
                </c:pt>
                <c:pt idx="9">
                  <c:v>2.1</c:v>
                </c:pt>
                <c:pt idx="10">
                  <c:v>0.3</c:v>
                </c:pt>
                <c:pt idx="11">
                  <c:v>-0.6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29A-4541-840F-61D73A19B2F6}"/>
            </c:ext>
          </c:extLst>
        </c:ser>
        <c:ser>
          <c:idx val="18"/>
          <c:order val="18"/>
          <c:tx>
            <c:v>2021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val>
            <c:numRef>
              <c:f>'Monthly - Ind Prod'!$X$21:$AI$21</c:f>
              <c:numCache>
                <c:formatCode>General</c:formatCode>
                <c:ptCount val="12"/>
                <c:pt idx="0">
                  <c:v>-0.3</c:v>
                </c:pt>
                <c:pt idx="1">
                  <c:v>0.4</c:v>
                </c:pt>
                <c:pt idx="2">
                  <c:v>-7</c:v>
                </c:pt>
                <c:pt idx="3">
                  <c:v>-23.5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29A-4541-840F-61D73A19B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24591"/>
        <c:axId val="51719599"/>
      </c:lineChart>
      <c:catAx>
        <c:axId val="51724591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19599"/>
        <c:crosses val="autoZero"/>
        <c:auto val="1"/>
        <c:lblAlgn val="ctr"/>
        <c:lblOffset val="100"/>
        <c:noMultiLvlLbl val="0"/>
      </c:catAx>
      <c:valAx>
        <c:axId val="51719599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24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RNDBF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- Income'!$B$2</c:f>
              <c:strCache>
                <c:ptCount val="1"/>
                <c:pt idx="0">
                  <c:v>RNDBF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- Income'!$A$3:$A$105</c:f>
              <c:numCache>
                <c:formatCode>[$-416]mmm\-yy;@</c:formatCode>
                <c:ptCount val="103"/>
                <c:pt idx="0">
                  <c:v>37681</c:v>
                </c:pt>
                <c:pt idx="1">
                  <c:v>37712</c:v>
                </c:pt>
                <c:pt idx="2">
                  <c:v>37742</c:v>
                </c:pt>
                <c:pt idx="3">
                  <c:v>37773</c:v>
                </c:pt>
                <c:pt idx="4">
                  <c:v>37803</c:v>
                </c:pt>
                <c:pt idx="5">
                  <c:v>37834</c:v>
                </c:pt>
                <c:pt idx="6">
                  <c:v>37865</c:v>
                </c:pt>
                <c:pt idx="7">
                  <c:v>37895</c:v>
                </c:pt>
                <c:pt idx="8">
                  <c:v>37926</c:v>
                </c:pt>
                <c:pt idx="9">
                  <c:v>37956</c:v>
                </c:pt>
                <c:pt idx="10">
                  <c:v>37987</c:v>
                </c:pt>
                <c:pt idx="11">
                  <c:v>38018</c:v>
                </c:pt>
                <c:pt idx="12">
                  <c:v>38047</c:v>
                </c:pt>
                <c:pt idx="13">
                  <c:v>38078</c:v>
                </c:pt>
                <c:pt idx="14">
                  <c:v>38108</c:v>
                </c:pt>
                <c:pt idx="15">
                  <c:v>38139</c:v>
                </c:pt>
                <c:pt idx="16">
                  <c:v>38169</c:v>
                </c:pt>
                <c:pt idx="17">
                  <c:v>38200</c:v>
                </c:pt>
                <c:pt idx="18">
                  <c:v>38231</c:v>
                </c:pt>
                <c:pt idx="19">
                  <c:v>38261</c:v>
                </c:pt>
                <c:pt idx="20">
                  <c:v>38292</c:v>
                </c:pt>
                <c:pt idx="21">
                  <c:v>38322</c:v>
                </c:pt>
                <c:pt idx="22">
                  <c:v>38353</c:v>
                </c:pt>
                <c:pt idx="23">
                  <c:v>38384</c:v>
                </c:pt>
                <c:pt idx="24">
                  <c:v>38412</c:v>
                </c:pt>
                <c:pt idx="25">
                  <c:v>38443</c:v>
                </c:pt>
                <c:pt idx="26">
                  <c:v>38473</c:v>
                </c:pt>
                <c:pt idx="27">
                  <c:v>38504</c:v>
                </c:pt>
                <c:pt idx="28">
                  <c:v>38534</c:v>
                </c:pt>
                <c:pt idx="29">
                  <c:v>38565</c:v>
                </c:pt>
                <c:pt idx="30">
                  <c:v>38596</c:v>
                </c:pt>
                <c:pt idx="31">
                  <c:v>38626</c:v>
                </c:pt>
                <c:pt idx="32">
                  <c:v>38657</c:v>
                </c:pt>
                <c:pt idx="33">
                  <c:v>38687</c:v>
                </c:pt>
                <c:pt idx="34">
                  <c:v>38718</c:v>
                </c:pt>
                <c:pt idx="35">
                  <c:v>38749</c:v>
                </c:pt>
                <c:pt idx="36">
                  <c:v>38777</c:v>
                </c:pt>
                <c:pt idx="37">
                  <c:v>38808</c:v>
                </c:pt>
                <c:pt idx="38">
                  <c:v>38838</c:v>
                </c:pt>
                <c:pt idx="39">
                  <c:v>38869</c:v>
                </c:pt>
                <c:pt idx="40">
                  <c:v>38899</c:v>
                </c:pt>
                <c:pt idx="41">
                  <c:v>38930</c:v>
                </c:pt>
                <c:pt idx="42">
                  <c:v>38961</c:v>
                </c:pt>
                <c:pt idx="43">
                  <c:v>38991</c:v>
                </c:pt>
                <c:pt idx="44">
                  <c:v>39022</c:v>
                </c:pt>
                <c:pt idx="45">
                  <c:v>39052</c:v>
                </c:pt>
                <c:pt idx="46">
                  <c:v>39083</c:v>
                </c:pt>
                <c:pt idx="47">
                  <c:v>39114</c:v>
                </c:pt>
                <c:pt idx="48">
                  <c:v>39142</c:v>
                </c:pt>
                <c:pt idx="49">
                  <c:v>39173</c:v>
                </c:pt>
                <c:pt idx="50">
                  <c:v>39203</c:v>
                </c:pt>
                <c:pt idx="51">
                  <c:v>39234</c:v>
                </c:pt>
                <c:pt idx="52">
                  <c:v>39264</c:v>
                </c:pt>
                <c:pt idx="53">
                  <c:v>39295</c:v>
                </c:pt>
                <c:pt idx="54">
                  <c:v>39326</c:v>
                </c:pt>
                <c:pt idx="55">
                  <c:v>39356</c:v>
                </c:pt>
                <c:pt idx="56">
                  <c:v>39387</c:v>
                </c:pt>
                <c:pt idx="57">
                  <c:v>39417</c:v>
                </c:pt>
                <c:pt idx="58">
                  <c:v>39448</c:v>
                </c:pt>
                <c:pt idx="59">
                  <c:v>39479</c:v>
                </c:pt>
                <c:pt idx="60">
                  <c:v>39508</c:v>
                </c:pt>
                <c:pt idx="61">
                  <c:v>39539</c:v>
                </c:pt>
                <c:pt idx="62">
                  <c:v>39569</c:v>
                </c:pt>
                <c:pt idx="63">
                  <c:v>39600</c:v>
                </c:pt>
                <c:pt idx="64">
                  <c:v>39630</c:v>
                </c:pt>
                <c:pt idx="65">
                  <c:v>39661</c:v>
                </c:pt>
                <c:pt idx="66">
                  <c:v>39692</c:v>
                </c:pt>
                <c:pt idx="67">
                  <c:v>39722</c:v>
                </c:pt>
                <c:pt idx="68">
                  <c:v>39753</c:v>
                </c:pt>
                <c:pt idx="69">
                  <c:v>39783</c:v>
                </c:pt>
                <c:pt idx="70">
                  <c:v>39814</c:v>
                </c:pt>
                <c:pt idx="71">
                  <c:v>39845</c:v>
                </c:pt>
                <c:pt idx="72">
                  <c:v>39873</c:v>
                </c:pt>
                <c:pt idx="73">
                  <c:v>39904</c:v>
                </c:pt>
                <c:pt idx="74">
                  <c:v>39934</c:v>
                </c:pt>
                <c:pt idx="75">
                  <c:v>39965</c:v>
                </c:pt>
                <c:pt idx="76">
                  <c:v>39995</c:v>
                </c:pt>
                <c:pt idx="77">
                  <c:v>40026</c:v>
                </c:pt>
                <c:pt idx="78">
                  <c:v>40057</c:v>
                </c:pt>
                <c:pt idx="79">
                  <c:v>40087</c:v>
                </c:pt>
                <c:pt idx="80">
                  <c:v>40118</c:v>
                </c:pt>
                <c:pt idx="81">
                  <c:v>40148</c:v>
                </c:pt>
                <c:pt idx="82">
                  <c:v>40179</c:v>
                </c:pt>
                <c:pt idx="83">
                  <c:v>40210</c:v>
                </c:pt>
                <c:pt idx="84">
                  <c:v>40238</c:v>
                </c:pt>
                <c:pt idx="85">
                  <c:v>40269</c:v>
                </c:pt>
                <c:pt idx="86">
                  <c:v>40299</c:v>
                </c:pt>
                <c:pt idx="87">
                  <c:v>40330</c:v>
                </c:pt>
                <c:pt idx="88">
                  <c:v>40360</c:v>
                </c:pt>
                <c:pt idx="89">
                  <c:v>40391</c:v>
                </c:pt>
                <c:pt idx="90">
                  <c:v>40422</c:v>
                </c:pt>
                <c:pt idx="91">
                  <c:v>40452</c:v>
                </c:pt>
                <c:pt idx="92">
                  <c:v>40483</c:v>
                </c:pt>
                <c:pt idx="93">
                  <c:v>40513</c:v>
                </c:pt>
                <c:pt idx="94">
                  <c:v>40544</c:v>
                </c:pt>
                <c:pt idx="95">
                  <c:v>40575</c:v>
                </c:pt>
                <c:pt idx="96">
                  <c:v>40603</c:v>
                </c:pt>
                <c:pt idx="97">
                  <c:v>40634</c:v>
                </c:pt>
                <c:pt idx="98">
                  <c:v>40664</c:v>
                </c:pt>
                <c:pt idx="99">
                  <c:v>40695</c:v>
                </c:pt>
                <c:pt idx="100">
                  <c:v>40725</c:v>
                </c:pt>
                <c:pt idx="101">
                  <c:v>40756</c:v>
                </c:pt>
                <c:pt idx="102">
                  <c:v>40787</c:v>
                </c:pt>
              </c:numCache>
            </c:numRef>
          </c:cat>
          <c:val>
            <c:numRef>
              <c:f>'Monthly - Income'!$B$3:$B$105</c:f>
              <c:numCache>
                <c:formatCode>_-"R$"\ * #,##0_-;\-"R$"\ * #,##0_-;_-"R$"\ * "-"??_-;_-@_-</c:formatCode>
                <c:ptCount val="103"/>
                <c:pt idx="0">
                  <c:v>262484</c:v>
                </c:pt>
                <c:pt idx="1">
                  <c:v>257147</c:v>
                </c:pt>
                <c:pt idx="2">
                  <c:v>258073</c:v>
                </c:pt>
                <c:pt idx="3">
                  <c:v>264112</c:v>
                </c:pt>
                <c:pt idx="4">
                  <c:v>270529</c:v>
                </c:pt>
                <c:pt idx="5">
                  <c:v>271841</c:v>
                </c:pt>
                <c:pt idx="6">
                  <c:v>265512</c:v>
                </c:pt>
                <c:pt idx="7">
                  <c:v>262726</c:v>
                </c:pt>
                <c:pt idx="8">
                  <c:v>264452</c:v>
                </c:pt>
                <c:pt idx="9">
                  <c:v>272399</c:v>
                </c:pt>
                <c:pt idx="10">
                  <c:v>273273</c:v>
                </c:pt>
                <c:pt idx="11">
                  <c:v>270253</c:v>
                </c:pt>
                <c:pt idx="12">
                  <c:v>263746</c:v>
                </c:pt>
                <c:pt idx="13">
                  <c:v>261988</c:v>
                </c:pt>
                <c:pt idx="14">
                  <c:v>264863</c:v>
                </c:pt>
                <c:pt idx="15">
                  <c:v>272828</c:v>
                </c:pt>
                <c:pt idx="16">
                  <c:v>279906</c:v>
                </c:pt>
                <c:pt idx="17">
                  <c:v>283530</c:v>
                </c:pt>
                <c:pt idx="18">
                  <c:v>279398</c:v>
                </c:pt>
                <c:pt idx="19">
                  <c:v>280402</c:v>
                </c:pt>
                <c:pt idx="20">
                  <c:v>280504</c:v>
                </c:pt>
                <c:pt idx="21">
                  <c:v>288010</c:v>
                </c:pt>
                <c:pt idx="22">
                  <c:v>284842</c:v>
                </c:pt>
                <c:pt idx="23">
                  <c:v>281944</c:v>
                </c:pt>
                <c:pt idx="24">
                  <c:v>273142</c:v>
                </c:pt>
                <c:pt idx="25">
                  <c:v>269774</c:v>
                </c:pt>
                <c:pt idx="26">
                  <c:v>270683</c:v>
                </c:pt>
                <c:pt idx="27">
                  <c:v>279477</c:v>
                </c:pt>
                <c:pt idx="28">
                  <c:v>287871</c:v>
                </c:pt>
                <c:pt idx="29">
                  <c:v>290989</c:v>
                </c:pt>
                <c:pt idx="30">
                  <c:v>287366</c:v>
                </c:pt>
                <c:pt idx="31">
                  <c:v>286907</c:v>
                </c:pt>
                <c:pt idx="32">
                  <c:v>293240</c:v>
                </c:pt>
                <c:pt idx="33">
                  <c:v>298268</c:v>
                </c:pt>
                <c:pt idx="34">
                  <c:v>300675</c:v>
                </c:pt>
                <c:pt idx="35">
                  <c:v>292348</c:v>
                </c:pt>
                <c:pt idx="36">
                  <c:v>285626</c:v>
                </c:pt>
                <c:pt idx="37">
                  <c:v>279303</c:v>
                </c:pt>
                <c:pt idx="38">
                  <c:v>283399</c:v>
                </c:pt>
                <c:pt idx="39">
                  <c:v>292689</c:v>
                </c:pt>
                <c:pt idx="40">
                  <c:v>301748</c:v>
                </c:pt>
                <c:pt idx="41">
                  <c:v>304333</c:v>
                </c:pt>
                <c:pt idx="42">
                  <c:v>306318</c:v>
                </c:pt>
                <c:pt idx="43">
                  <c:v>308073</c:v>
                </c:pt>
                <c:pt idx="44">
                  <c:v>315160</c:v>
                </c:pt>
                <c:pt idx="45">
                  <c:v>316677</c:v>
                </c:pt>
                <c:pt idx="46">
                  <c:v>319326</c:v>
                </c:pt>
                <c:pt idx="47">
                  <c:v>314603</c:v>
                </c:pt>
                <c:pt idx="48">
                  <c:v>311740</c:v>
                </c:pt>
                <c:pt idx="49">
                  <c:v>308309</c:v>
                </c:pt>
                <c:pt idx="50">
                  <c:v>311748</c:v>
                </c:pt>
                <c:pt idx="51">
                  <c:v>317903</c:v>
                </c:pt>
                <c:pt idx="52">
                  <c:v>324368</c:v>
                </c:pt>
                <c:pt idx="53">
                  <c:v>327919</c:v>
                </c:pt>
                <c:pt idx="54">
                  <c:v>328447</c:v>
                </c:pt>
                <c:pt idx="55">
                  <c:v>329735</c:v>
                </c:pt>
                <c:pt idx="56">
                  <c:v>334203</c:v>
                </c:pt>
                <c:pt idx="57">
                  <c:v>344549</c:v>
                </c:pt>
                <c:pt idx="58">
                  <c:v>344289</c:v>
                </c:pt>
                <c:pt idx="59">
                  <c:v>339873</c:v>
                </c:pt>
                <c:pt idx="60">
                  <c:v>328214</c:v>
                </c:pt>
                <c:pt idx="61">
                  <c:v>327351</c:v>
                </c:pt>
                <c:pt idx="62">
                  <c:v>332318</c:v>
                </c:pt>
                <c:pt idx="63">
                  <c:v>341324</c:v>
                </c:pt>
                <c:pt idx="64">
                  <c:v>351534</c:v>
                </c:pt>
                <c:pt idx="65">
                  <c:v>357466</c:v>
                </c:pt>
                <c:pt idx="66">
                  <c:v>358028</c:v>
                </c:pt>
                <c:pt idx="67">
                  <c:v>356414</c:v>
                </c:pt>
                <c:pt idx="68">
                  <c:v>360056</c:v>
                </c:pt>
                <c:pt idx="69">
                  <c:v>368513</c:v>
                </c:pt>
                <c:pt idx="70">
                  <c:v>369967</c:v>
                </c:pt>
                <c:pt idx="71">
                  <c:v>363521</c:v>
                </c:pt>
                <c:pt idx="72">
                  <c:v>356289</c:v>
                </c:pt>
                <c:pt idx="73">
                  <c:v>353349</c:v>
                </c:pt>
                <c:pt idx="74">
                  <c:v>355873</c:v>
                </c:pt>
                <c:pt idx="75">
                  <c:v>361827</c:v>
                </c:pt>
                <c:pt idx="76">
                  <c:v>373485</c:v>
                </c:pt>
                <c:pt idx="77">
                  <c:v>379340</c:v>
                </c:pt>
                <c:pt idx="78">
                  <c:v>379662</c:v>
                </c:pt>
                <c:pt idx="79">
                  <c:v>376596</c:v>
                </c:pt>
                <c:pt idx="80">
                  <c:v>381684</c:v>
                </c:pt>
                <c:pt idx="81">
                  <c:v>391486</c:v>
                </c:pt>
                <c:pt idx="82">
                  <c:v>392271</c:v>
                </c:pt>
                <c:pt idx="83">
                  <c:v>388069</c:v>
                </c:pt>
                <c:pt idx="84">
                  <c:v>381822</c:v>
                </c:pt>
                <c:pt idx="85">
                  <c:v>380022</c:v>
                </c:pt>
                <c:pt idx="86">
                  <c:v>381318</c:v>
                </c:pt>
                <c:pt idx="87">
                  <c:v>386786</c:v>
                </c:pt>
                <c:pt idx="88">
                  <c:v>400730</c:v>
                </c:pt>
                <c:pt idx="89">
                  <c:v>411655</c:v>
                </c:pt>
                <c:pt idx="90">
                  <c:v>415622</c:v>
                </c:pt>
                <c:pt idx="91">
                  <c:v>415262</c:v>
                </c:pt>
                <c:pt idx="92">
                  <c:v>415455</c:v>
                </c:pt>
                <c:pt idx="93">
                  <c:v>420114</c:v>
                </c:pt>
                <c:pt idx="94">
                  <c:v>418208</c:v>
                </c:pt>
                <c:pt idx="95">
                  <c:v>416574</c:v>
                </c:pt>
                <c:pt idx="96">
                  <c:v>407386</c:v>
                </c:pt>
                <c:pt idx="97">
                  <c:v>407516</c:v>
                </c:pt>
                <c:pt idx="98">
                  <c:v>408751</c:v>
                </c:pt>
                <c:pt idx="99">
                  <c:v>420006</c:v>
                </c:pt>
                <c:pt idx="100">
                  <c:v>432904</c:v>
                </c:pt>
                <c:pt idx="101">
                  <c:v>438822</c:v>
                </c:pt>
                <c:pt idx="102">
                  <c:v>436447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0-45C8-864B-5F723AC4C5EC}"/>
            </c:ext>
          </c:extLst>
        </c:ser>
        <c:ser>
          <c:idx val="1"/>
          <c:order val="1"/>
          <c:tx>
            <c:strRef>
              <c:f>'Monthly - Income'!$C$2</c:f>
              <c:strCache>
                <c:ptCount val="1"/>
                <c:pt idx="0">
                  <c:v>Official 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- Income'!$A$3:$A$105</c:f>
              <c:numCache>
                <c:formatCode>[$-416]mmm\-yy;@</c:formatCode>
                <c:ptCount val="103"/>
                <c:pt idx="0">
                  <c:v>37681</c:v>
                </c:pt>
                <c:pt idx="1">
                  <c:v>37712</c:v>
                </c:pt>
                <c:pt idx="2">
                  <c:v>37742</c:v>
                </c:pt>
                <c:pt idx="3">
                  <c:v>37773</c:v>
                </c:pt>
                <c:pt idx="4">
                  <c:v>37803</c:v>
                </c:pt>
                <c:pt idx="5">
                  <c:v>37834</c:v>
                </c:pt>
                <c:pt idx="6">
                  <c:v>37865</c:v>
                </c:pt>
                <c:pt idx="7">
                  <c:v>37895</c:v>
                </c:pt>
                <c:pt idx="8">
                  <c:v>37926</c:v>
                </c:pt>
                <c:pt idx="9">
                  <c:v>37956</c:v>
                </c:pt>
                <c:pt idx="10">
                  <c:v>37987</c:v>
                </c:pt>
                <c:pt idx="11">
                  <c:v>38018</c:v>
                </c:pt>
                <c:pt idx="12">
                  <c:v>38047</c:v>
                </c:pt>
                <c:pt idx="13">
                  <c:v>38078</c:v>
                </c:pt>
                <c:pt idx="14">
                  <c:v>38108</c:v>
                </c:pt>
                <c:pt idx="15">
                  <c:v>38139</c:v>
                </c:pt>
                <c:pt idx="16">
                  <c:v>38169</c:v>
                </c:pt>
                <c:pt idx="17">
                  <c:v>38200</c:v>
                </c:pt>
                <c:pt idx="18">
                  <c:v>38231</c:v>
                </c:pt>
                <c:pt idx="19">
                  <c:v>38261</c:v>
                </c:pt>
                <c:pt idx="20">
                  <c:v>38292</c:v>
                </c:pt>
                <c:pt idx="21">
                  <c:v>38322</c:v>
                </c:pt>
                <c:pt idx="22">
                  <c:v>38353</c:v>
                </c:pt>
                <c:pt idx="23">
                  <c:v>38384</c:v>
                </c:pt>
                <c:pt idx="24">
                  <c:v>38412</c:v>
                </c:pt>
                <c:pt idx="25">
                  <c:v>38443</c:v>
                </c:pt>
                <c:pt idx="26">
                  <c:v>38473</c:v>
                </c:pt>
                <c:pt idx="27">
                  <c:v>38504</c:v>
                </c:pt>
                <c:pt idx="28">
                  <c:v>38534</c:v>
                </c:pt>
                <c:pt idx="29">
                  <c:v>38565</c:v>
                </c:pt>
                <c:pt idx="30">
                  <c:v>38596</c:v>
                </c:pt>
                <c:pt idx="31">
                  <c:v>38626</c:v>
                </c:pt>
                <c:pt idx="32">
                  <c:v>38657</c:v>
                </c:pt>
                <c:pt idx="33">
                  <c:v>38687</c:v>
                </c:pt>
                <c:pt idx="34">
                  <c:v>38718</c:v>
                </c:pt>
                <c:pt idx="35">
                  <c:v>38749</c:v>
                </c:pt>
                <c:pt idx="36">
                  <c:v>38777</c:v>
                </c:pt>
                <c:pt idx="37">
                  <c:v>38808</c:v>
                </c:pt>
                <c:pt idx="38">
                  <c:v>38838</c:v>
                </c:pt>
                <c:pt idx="39">
                  <c:v>38869</c:v>
                </c:pt>
                <c:pt idx="40">
                  <c:v>38899</c:v>
                </c:pt>
                <c:pt idx="41">
                  <c:v>38930</c:v>
                </c:pt>
                <c:pt idx="42">
                  <c:v>38961</c:v>
                </c:pt>
                <c:pt idx="43">
                  <c:v>38991</c:v>
                </c:pt>
                <c:pt idx="44">
                  <c:v>39022</c:v>
                </c:pt>
                <c:pt idx="45">
                  <c:v>39052</c:v>
                </c:pt>
                <c:pt idx="46">
                  <c:v>39083</c:v>
                </c:pt>
                <c:pt idx="47">
                  <c:v>39114</c:v>
                </c:pt>
                <c:pt idx="48">
                  <c:v>39142</c:v>
                </c:pt>
                <c:pt idx="49">
                  <c:v>39173</c:v>
                </c:pt>
                <c:pt idx="50">
                  <c:v>39203</c:v>
                </c:pt>
                <c:pt idx="51">
                  <c:v>39234</c:v>
                </c:pt>
                <c:pt idx="52">
                  <c:v>39264</c:v>
                </c:pt>
                <c:pt idx="53">
                  <c:v>39295</c:v>
                </c:pt>
                <c:pt idx="54">
                  <c:v>39326</c:v>
                </c:pt>
                <c:pt idx="55">
                  <c:v>39356</c:v>
                </c:pt>
                <c:pt idx="56">
                  <c:v>39387</c:v>
                </c:pt>
                <c:pt idx="57">
                  <c:v>39417</c:v>
                </c:pt>
                <c:pt idx="58">
                  <c:v>39448</c:v>
                </c:pt>
                <c:pt idx="59">
                  <c:v>39479</c:v>
                </c:pt>
                <c:pt idx="60">
                  <c:v>39508</c:v>
                </c:pt>
                <c:pt idx="61">
                  <c:v>39539</c:v>
                </c:pt>
                <c:pt idx="62">
                  <c:v>39569</c:v>
                </c:pt>
                <c:pt idx="63">
                  <c:v>39600</c:v>
                </c:pt>
                <c:pt idx="64">
                  <c:v>39630</c:v>
                </c:pt>
                <c:pt idx="65">
                  <c:v>39661</c:v>
                </c:pt>
                <c:pt idx="66">
                  <c:v>39692</c:v>
                </c:pt>
                <c:pt idx="67">
                  <c:v>39722</c:v>
                </c:pt>
                <c:pt idx="68">
                  <c:v>39753</c:v>
                </c:pt>
                <c:pt idx="69">
                  <c:v>39783</c:v>
                </c:pt>
                <c:pt idx="70">
                  <c:v>39814</c:v>
                </c:pt>
                <c:pt idx="71">
                  <c:v>39845</c:v>
                </c:pt>
                <c:pt idx="72">
                  <c:v>39873</c:v>
                </c:pt>
                <c:pt idx="73">
                  <c:v>39904</c:v>
                </c:pt>
                <c:pt idx="74">
                  <c:v>39934</c:v>
                </c:pt>
                <c:pt idx="75">
                  <c:v>39965</c:v>
                </c:pt>
                <c:pt idx="76">
                  <c:v>39995</c:v>
                </c:pt>
                <c:pt idx="77">
                  <c:v>40026</c:v>
                </c:pt>
                <c:pt idx="78">
                  <c:v>40057</c:v>
                </c:pt>
                <c:pt idx="79">
                  <c:v>40087</c:v>
                </c:pt>
                <c:pt idx="80">
                  <c:v>40118</c:v>
                </c:pt>
                <c:pt idx="81">
                  <c:v>40148</c:v>
                </c:pt>
                <c:pt idx="82">
                  <c:v>40179</c:v>
                </c:pt>
                <c:pt idx="83">
                  <c:v>40210</c:v>
                </c:pt>
                <c:pt idx="84">
                  <c:v>40238</c:v>
                </c:pt>
                <c:pt idx="85">
                  <c:v>40269</c:v>
                </c:pt>
                <c:pt idx="86">
                  <c:v>40299</c:v>
                </c:pt>
                <c:pt idx="87">
                  <c:v>40330</c:v>
                </c:pt>
                <c:pt idx="88">
                  <c:v>40360</c:v>
                </c:pt>
                <c:pt idx="89">
                  <c:v>40391</c:v>
                </c:pt>
                <c:pt idx="90">
                  <c:v>40422</c:v>
                </c:pt>
                <c:pt idx="91">
                  <c:v>40452</c:v>
                </c:pt>
                <c:pt idx="92">
                  <c:v>40483</c:v>
                </c:pt>
                <c:pt idx="93">
                  <c:v>40513</c:v>
                </c:pt>
                <c:pt idx="94">
                  <c:v>40544</c:v>
                </c:pt>
                <c:pt idx="95">
                  <c:v>40575</c:v>
                </c:pt>
                <c:pt idx="96">
                  <c:v>40603</c:v>
                </c:pt>
                <c:pt idx="97">
                  <c:v>40634</c:v>
                </c:pt>
                <c:pt idx="98">
                  <c:v>40664</c:v>
                </c:pt>
                <c:pt idx="99">
                  <c:v>40695</c:v>
                </c:pt>
                <c:pt idx="100">
                  <c:v>40725</c:v>
                </c:pt>
                <c:pt idx="101">
                  <c:v>40756</c:v>
                </c:pt>
                <c:pt idx="102">
                  <c:v>40787</c:v>
                </c:pt>
              </c:numCache>
            </c:numRef>
          </c:cat>
          <c:val>
            <c:numRef>
              <c:f>'Monthly - Income'!$C$3:$C$105</c:f>
              <c:numCache>
                <c:formatCode>_-"R$"\ * #,##0_-;\-"R$"\ * #,##0_-;_-"R$"\ * "-"??_-;_-@_-</c:formatCode>
                <c:ptCount val="103"/>
                <c:pt idx="0">
                  <c:v>268879</c:v>
                </c:pt>
                <c:pt idx="1">
                  <c:v>267570</c:v>
                </c:pt>
                <c:pt idx="2">
                  <c:v>267384</c:v>
                </c:pt>
                <c:pt idx="3">
                  <c:v>266756</c:v>
                </c:pt>
                <c:pt idx="4">
                  <c:v>266652</c:v>
                </c:pt>
                <c:pt idx="5">
                  <c:v>265634</c:v>
                </c:pt>
                <c:pt idx="6">
                  <c:v>264252</c:v>
                </c:pt>
                <c:pt idx="7">
                  <c:v>262570</c:v>
                </c:pt>
                <c:pt idx="8">
                  <c:v>262807</c:v>
                </c:pt>
                <c:pt idx="9">
                  <c:v>264712</c:v>
                </c:pt>
                <c:pt idx="10">
                  <c:v>267284</c:v>
                </c:pt>
                <c:pt idx="11">
                  <c:v>268461</c:v>
                </c:pt>
                <c:pt idx="12">
                  <c:v>270088</c:v>
                </c:pt>
                <c:pt idx="13">
                  <c:v>272510</c:v>
                </c:pt>
                <c:pt idx="14">
                  <c:v>274555</c:v>
                </c:pt>
                <c:pt idx="15">
                  <c:v>275649</c:v>
                </c:pt>
                <c:pt idx="16">
                  <c:v>276101</c:v>
                </c:pt>
                <c:pt idx="17">
                  <c:v>277356</c:v>
                </c:pt>
                <c:pt idx="18">
                  <c:v>277983</c:v>
                </c:pt>
                <c:pt idx="19">
                  <c:v>279960</c:v>
                </c:pt>
                <c:pt idx="20">
                  <c:v>278425</c:v>
                </c:pt>
                <c:pt idx="21">
                  <c:v>279976</c:v>
                </c:pt>
                <c:pt idx="22">
                  <c:v>278471</c:v>
                </c:pt>
                <c:pt idx="23">
                  <c:v>280264</c:v>
                </c:pt>
                <c:pt idx="24">
                  <c:v>279419</c:v>
                </c:pt>
                <c:pt idx="25">
                  <c:v>280476</c:v>
                </c:pt>
                <c:pt idx="26">
                  <c:v>280631</c:v>
                </c:pt>
                <c:pt idx="27">
                  <c:v>282591</c:v>
                </c:pt>
                <c:pt idx="28">
                  <c:v>284407</c:v>
                </c:pt>
                <c:pt idx="29">
                  <c:v>285264</c:v>
                </c:pt>
                <c:pt idx="30">
                  <c:v>285687</c:v>
                </c:pt>
                <c:pt idx="31">
                  <c:v>286193</c:v>
                </c:pt>
                <c:pt idx="32">
                  <c:v>290556</c:v>
                </c:pt>
                <c:pt idx="33">
                  <c:v>290028</c:v>
                </c:pt>
                <c:pt idx="34">
                  <c:v>293621</c:v>
                </c:pt>
                <c:pt idx="35">
                  <c:v>290833</c:v>
                </c:pt>
                <c:pt idx="36">
                  <c:v>291841</c:v>
                </c:pt>
                <c:pt idx="37">
                  <c:v>290370</c:v>
                </c:pt>
                <c:pt idx="38">
                  <c:v>293624</c:v>
                </c:pt>
                <c:pt idx="39">
                  <c:v>296293</c:v>
                </c:pt>
                <c:pt idx="40">
                  <c:v>298836</c:v>
                </c:pt>
                <c:pt idx="41">
                  <c:v>299078</c:v>
                </c:pt>
                <c:pt idx="42">
                  <c:v>304008</c:v>
                </c:pt>
                <c:pt idx="43">
                  <c:v>306810</c:v>
                </c:pt>
                <c:pt idx="44">
                  <c:v>312091</c:v>
                </c:pt>
                <c:pt idx="45">
                  <c:v>308045</c:v>
                </c:pt>
                <c:pt idx="46">
                  <c:v>311531</c:v>
                </c:pt>
                <c:pt idx="47">
                  <c:v>313202</c:v>
                </c:pt>
                <c:pt idx="48">
                  <c:v>318267</c:v>
                </c:pt>
                <c:pt idx="49">
                  <c:v>320377</c:v>
                </c:pt>
                <c:pt idx="50">
                  <c:v>322501</c:v>
                </c:pt>
                <c:pt idx="51">
                  <c:v>322402</c:v>
                </c:pt>
                <c:pt idx="52">
                  <c:v>321878</c:v>
                </c:pt>
                <c:pt idx="53">
                  <c:v>322674</c:v>
                </c:pt>
                <c:pt idx="54">
                  <c:v>325247</c:v>
                </c:pt>
                <c:pt idx="55">
                  <c:v>328428</c:v>
                </c:pt>
                <c:pt idx="56">
                  <c:v>330980</c:v>
                </c:pt>
                <c:pt idx="57">
                  <c:v>335078</c:v>
                </c:pt>
                <c:pt idx="58">
                  <c:v>335784</c:v>
                </c:pt>
                <c:pt idx="59">
                  <c:v>338384</c:v>
                </c:pt>
                <c:pt idx="60">
                  <c:v>335191</c:v>
                </c:pt>
                <c:pt idx="61">
                  <c:v>339858</c:v>
                </c:pt>
                <c:pt idx="62">
                  <c:v>343484</c:v>
                </c:pt>
                <c:pt idx="63">
                  <c:v>346902</c:v>
                </c:pt>
                <c:pt idx="64">
                  <c:v>349304</c:v>
                </c:pt>
                <c:pt idx="65">
                  <c:v>351515</c:v>
                </c:pt>
                <c:pt idx="66">
                  <c:v>353412</c:v>
                </c:pt>
                <c:pt idx="67">
                  <c:v>354902</c:v>
                </c:pt>
                <c:pt idx="68">
                  <c:v>356785</c:v>
                </c:pt>
                <c:pt idx="69">
                  <c:v>358760</c:v>
                </c:pt>
                <c:pt idx="70">
                  <c:v>361282</c:v>
                </c:pt>
                <c:pt idx="71">
                  <c:v>362179</c:v>
                </c:pt>
                <c:pt idx="72">
                  <c:v>364154</c:v>
                </c:pt>
                <c:pt idx="73">
                  <c:v>366013</c:v>
                </c:pt>
                <c:pt idx="74">
                  <c:v>367713</c:v>
                </c:pt>
                <c:pt idx="75">
                  <c:v>368241</c:v>
                </c:pt>
                <c:pt idx="76">
                  <c:v>371308</c:v>
                </c:pt>
                <c:pt idx="77">
                  <c:v>372391</c:v>
                </c:pt>
                <c:pt idx="78">
                  <c:v>373687</c:v>
                </c:pt>
                <c:pt idx="79">
                  <c:v>375186</c:v>
                </c:pt>
                <c:pt idx="80">
                  <c:v>378154</c:v>
                </c:pt>
                <c:pt idx="81">
                  <c:v>381695</c:v>
                </c:pt>
                <c:pt idx="82">
                  <c:v>383990</c:v>
                </c:pt>
                <c:pt idx="83">
                  <c:v>386982</c:v>
                </c:pt>
                <c:pt idx="84">
                  <c:v>390550</c:v>
                </c:pt>
                <c:pt idx="85">
                  <c:v>392665</c:v>
                </c:pt>
                <c:pt idx="86">
                  <c:v>394057</c:v>
                </c:pt>
                <c:pt idx="87">
                  <c:v>393712</c:v>
                </c:pt>
                <c:pt idx="88">
                  <c:v>398597</c:v>
                </c:pt>
                <c:pt idx="89">
                  <c:v>403648</c:v>
                </c:pt>
                <c:pt idx="90">
                  <c:v>408183</c:v>
                </c:pt>
                <c:pt idx="91">
                  <c:v>413292</c:v>
                </c:pt>
                <c:pt idx="92">
                  <c:v>411311</c:v>
                </c:pt>
                <c:pt idx="93">
                  <c:v>410468</c:v>
                </c:pt>
                <c:pt idx="94">
                  <c:v>410397</c:v>
                </c:pt>
                <c:pt idx="95">
                  <c:v>416027</c:v>
                </c:pt>
                <c:pt idx="96">
                  <c:v>416978</c:v>
                </c:pt>
                <c:pt idx="97">
                  <c:v>420233</c:v>
                </c:pt>
                <c:pt idx="98">
                  <c:v>422043</c:v>
                </c:pt>
                <c:pt idx="99">
                  <c:v>427030</c:v>
                </c:pt>
                <c:pt idx="100">
                  <c:v>430855</c:v>
                </c:pt>
                <c:pt idx="101">
                  <c:v>430767</c:v>
                </c:pt>
                <c:pt idx="102">
                  <c:v>428706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40-45C8-864B-5F723AC4C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RNDBF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- Income'!$B$2</c:f>
              <c:strCache>
                <c:ptCount val="1"/>
                <c:pt idx="0">
                  <c:v>RNDBF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- Income'!$A$3:$A$105</c:f>
              <c:numCache>
                <c:formatCode>[$-416]mmm\-yy;@</c:formatCode>
                <c:ptCount val="103"/>
                <c:pt idx="0">
                  <c:v>37681</c:v>
                </c:pt>
                <c:pt idx="1">
                  <c:v>37712</c:v>
                </c:pt>
                <c:pt idx="2">
                  <c:v>37742</c:v>
                </c:pt>
                <c:pt idx="3">
                  <c:v>37773</c:v>
                </c:pt>
                <c:pt idx="4">
                  <c:v>37803</c:v>
                </c:pt>
                <c:pt idx="5">
                  <c:v>37834</c:v>
                </c:pt>
                <c:pt idx="6">
                  <c:v>37865</c:v>
                </c:pt>
                <c:pt idx="7">
                  <c:v>37895</c:v>
                </c:pt>
                <c:pt idx="8">
                  <c:v>37926</c:v>
                </c:pt>
                <c:pt idx="9">
                  <c:v>37956</c:v>
                </c:pt>
                <c:pt idx="10">
                  <c:v>37987</c:v>
                </c:pt>
                <c:pt idx="11">
                  <c:v>38018</c:v>
                </c:pt>
                <c:pt idx="12">
                  <c:v>38047</c:v>
                </c:pt>
                <c:pt idx="13">
                  <c:v>38078</c:v>
                </c:pt>
                <c:pt idx="14">
                  <c:v>38108</c:v>
                </c:pt>
                <c:pt idx="15">
                  <c:v>38139</c:v>
                </c:pt>
                <c:pt idx="16">
                  <c:v>38169</c:v>
                </c:pt>
                <c:pt idx="17">
                  <c:v>38200</c:v>
                </c:pt>
                <c:pt idx="18">
                  <c:v>38231</c:v>
                </c:pt>
                <c:pt idx="19">
                  <c:v>38261</c:v>
                </c:pt>
                <c:pt idx="20">
                  <c:v>38292</c:v>
                </c:pt>
                <c:pt idx="21">
                  <c:v>38322</c:v>
                </c:pt>
                <c:pt idx="22">
                  <c:v>38353</c:v>
                </c:pt>
                <c:pt idx="23">
                  <c:v>38384</c:v>
                </c:pt>
                <c:pt idx="24">
                  <c:v>38412</c:v>
                </c:pt>
                <c:pt idx="25">
                  <c:v>38443</c:v>
                </c:pt>
                <c:pt idx="26">
                  <c:v>38473</c:v>
                </c:pt>
                <c:pt idx="27">
                  <c:v>38504</c:v>
                </c:pt>
                <c:pt idx="28">
                  <c:v>38534</c:v>
                </c:pt>
                <c:pt idx="29">
                  <c:v>38565</c:v>
                </c:pt>
                <c:pt idx="30">
                  <c:v>38596</c:v>
                </c:pt>
                <c:pt idx="31">
                  <c:v>38626</c:v>
                </c:pt>
                <c:pt idx="32">
                  <c:v>38657</c:v>
                </c:pt>
                <c:pt idx="33">
                  <c:v>38687</c:v>
                </c:pt>
                <c:pt idx="34">
                  <c:v>38718</c:v>
                </c:pt>
                <c:pt idx="35">
                  <c:v>38749</c:v>
                </c:pt>
                <c:pt idx="36">
                  <c:v>38777</c:v>
                </c:pt>
                <c:pt idx="37">
                  <c:v>38808</c:v>
                </c:pt>
                <c:pt idx="38">
                  <c:v>38838</c:v>
                </c:pt>
                <c:pt idx="39">
                  <c:v>38869</c:v>
                </c:pt>
                <c:pt idx="40">
                  <c:v>38899</c:v>
                </c:pt>
                <c:pt idx="41">
                  <c:v>38930</c:v>
                </c:pt>
                <c:pt idx="42">
                  <c:v>38961</c:v>
                </c:pt>
                <c:pt idx="43">
                  <c:v>38991</c:v>
                </c:pt>
                <c:pt idx="44">
                  <c:v>39022</c:v>
                </c:pt>
                <c:pt idx="45">
                  <c:v>39052</c:v>
                </c:pt>
                <c:pt idx="46">
                  <c:v>39083</c:v>
                </c:pt>
                <c:pt idx="47">
                  <c:v>39114</c:v>
                </c:pt>
                <c:pt idx="48">
                  <c:v>39142</c:v>
                </c:pt>
                <c:pt idx="49">
                  <c:v>39173</c:v>
                </c:pt>
                <c:pt idx="50">
                  <c:v>39203</c:v>
                </c:pt>
                <c:pt idx="51">
                  <c:v>39234</c:v>
                </c:pt>
                <c:pt idx="52">
                  <c:v>39264</c:v>
                </c:pt>
                <c:pt idx="53">
                  <c:v>39295</c:v>
                </c:pt>
                <c:pt idx="54">
                  <c:v>39326</c:v>
                </c:pt>
                <c:pt idx="55">
                  <c:v>39356</c:v>
                </c:pt>
                <c:pt idx="56">
                  <c:v>39387</c:v>
                </c:pt>
                <c:pt idx="57">
                  <c:v>39417</c:v>
                </c:pt>
                <c:pt idx="58">
                  <c:v>39448</c:v>
                </c:pt>
                <c:pt idx="59">
                  <c:v>39479</c:v>
                </c:pt>
                <c:pt idx="60">
                  <c:v>39508</c:v>
                </c:pt>
                <c:pt idx="61">
                  <c:v>39539</c:v>
                </c:pt>
                <c:pt idx="62">
                  <c:v>39569</c:v>
                </c:pt>
                <c:pt idx="63">
                  <c:v>39600</c:v>
                </c:pt>
                <c:pt idx="64">
                  <c:v>39630</c:v>
                </c:pt>
                <c:pt idx="65">
                  <c:v>39661</c:v>
                </c:pt>
                <c:pt idx="66">
                  <c:v>39692</c:v>
                </c:pt>
                <c:pt idx="67">
                  <c:v>39722</c:v>
                </c:pt>
                <c:pt idx="68">
                  <c:v>39753</c:v>
                </c:pt>
                <c:pt idx="69">
                  <c:v>39783</c:v>
                </c:pt>
                <c:pt idx="70">
                  <c:v>39814</c:v>
                </c:pt>
                <c:pt idx="71">
                  <c:v>39845</c:v>
                </c:pt>
                <c:pt idx="72">
                  <c:v>39873</c:v>
                </c:pt>
                <c:pt idx="73">
                  <c:v>39904</c:v>
                </c:pt>
                <c:pt idx="74">
                  <c:v>39934</c:v>
                </c:pt>
                <c:pt idx="75">
                  <c:v>39965</c:v>
                </c:pt>
                <c:pt idx="76">
                  <c:v>39995</c:v>
                </c:pt>
                <c:pt idx="77">
                  <c:v>40026</c:v>
                </c:pt>
                <c:pt idx="78">
                  <c:v>40057</c:v>
                </c:pt>
                <c:pt idx="79">
                  <c:v>40087</c:v>
                </c:pt>
                <c:pt idx="80">
                  <c:v>40118</c:v>
                </c:pt>
                <c:pt idx="81">
                  <c:v>40148</c:v>
                </c:pt>
                <c:pt idx="82">
                  <c:v>40179</c:v>
                </c:pt>
                <c:pt idx="83">
                  <c:v>40210</c:v>
                </c:pt>
                <c:pt idx="84">
                  <c:v>40238</c:v>
                </c:pt>
                <c:pt idx="85">
                  <c:v>40269</c:v>
                </c:pt>
                <c:pt idx="86">
                  <c:v>40299</c:v>
                </c:pt>
                <c:pt idx="87">
                  <c:v>40330</c:v>
                </c:pt>
                <c:pt idx="88">
                  <c:v>40360</c:v>
                </c:pt>
                <c:pt idx="89">
                  <c:v>40391</c:v>
                </c:pt>
                <c:pt idx="90">
                  <c:v>40422</c:v>
                </c:pt>
                <c:pt idx="91">
                  <c:v>40452</c:v>
                </c:pt>
                <c:pt idx="92">
                  <c:v>40483</c:v>
                </c:pt>
                <c:pt idx="93">
                  <c:v>40513</c:v>
                </c:pt>
                <c:pt idx="94">
                  <c:v>40544</c:v>
                </c:pt>
                <c:pt idx="95">
                  <c:v>40575</c:v>
                </c:pt>
                <c:pt idx="96">
                  <c:v>40603</c:v>
                </c:pt>
                <c:pt idx="97">
                  <c:v>40634</c:v>
                </c:pt>
                <c:pt idx="98">
                  <c:v>40664</c:v>
                </c:pt>
                <c:pt idx="99">
                  <c:v>40695</c:v>
                </c:pt>
                <c:pt idx="100">
                  <c:v>40725</c:v>
                </c:pt>
                <c:pt idx="101">
                  <c:v>40756</c:v>
                </c:pt>
                <c:pt idx="102">
                  <c:v>40787</c:v>
                </c:pt>
              </c:numCache>
            </c:numRef>
          </c:cat>
          <c:val>
            <c:numRef>
              <c:f>'Monthly - Income'!$B$3:$B$105</c:f>
              <c:numCache>
                <c:formatCode>_-"R$"\ * #,##0_-;\-"R$"\ * #,##0_-;_-"R$"\ * "-"??_-;_-@_-</c:formatCode>
                <c:ptCount val="103"/>
                <c:pt idx="0">
                  <c:v>262484</c:v>
                </c:pt>
                <c:pt idx="1">
                  <c:v>257147</c:v>
                </c:pt>
                <c:pt idx="2">
                  <c:v>258073</c:v>
                </c:pt>
                <c:pt idx="3">
                  <c:v>264112</c:v>
                </c:pt>
                <c:pt idx="4">
                  <c:v>270529</c:v>
                </c:pt>
                <c:pt idx="5">
                  <c:v>271841</c:v>
                </c:pt>
                <c:pt idx="6">
                  <c:v>265512</c:v>
                </c:pt>
                <c:pt idx="7">
                  <c:v>262726</c:v>
                </c:pt>
                <c:pt idx="8">
                  <c:v>264452</c:v>
                </c:pt>
                <c:pt idx="9">
                  <c:v>272399</c:v>
                </c:pt>
                <c:pt idx="10">
                  <c:v>273273</c:v>
                </c:pt>
                <c:pt idx="11">
                  <c:v>270253</c:v>
                </c:pt>
                <c:pt idx="12">
                  <c:v>263746</c:v>
                </c:pt>
                <c:pt idx="13">
                  <c:v>261988</c:v>
                </c:pt>
                <c:pt idx="14">
                  <c:v>264863</c:v>
                </c:pt>
                <c:pt idx="15">
                  <c:v>272828</c:v>
                </c:pt>
                <c:pt idx="16">
                  <c:v>279906</c:v>
                </c:pt>
                <c:pt idx="17">
                  <c:v>283530</c:v>
                </c:pt>
                <c:pt idx="18">
                  <c:v>279398</c:v>
                </c:pt>
                <c:pt idx="19">
                  <c:v>280402</c:v>
                </c:pt>
                <c:pt idx="20">
                  <c:v>280504</c:v>
                </c:pt>
                <c:pt idx="21">
                  <c:v>288010</c:v>
                </c:pt>
                <c:pt idx="22">
                  <c:v>284842</c:v>
                </c:pt>
                <c:pt idx="23">
                  <c:v>281944</c:v>
                </c:pt>
                <c:pt idx="24">
                  <c:v>273142</c:v>
                </c:pt>
                <c:pt idx="25">
                  <c:v>269774</c:v>
                </c:pt>
                <c:pt idx="26">
                  <c:v>270683</c:v>
                </c:pt>
                <c:pt idx="27">
                  <c:v>279477</c:v>
                </c:pt>
                <c:pt idx="28">
                  <c:v>287871</c:v>
                </c:pt>
                <c:pt idx="29">
                  <c:v>290989</c:v>
                </c:pt>
                <c:pt idx="30">
                  <c:v>287366</c:v>
                </c:pt>
                <c:pt idx="31">
                  <c:v>286907</c:v>
                </c:pt>
                <c:pt idx="32">
                  <c:v>293240</c:v>
                </c:pt>
                <c:pt idx="33">
                  <c:v>298268</c:v>
                </c:pt>
                <c:pt idx="34">
                  <c:v>300675</c:v>
                </c:pt>
                <c:pt idx="35">
                  <c:v>292348</c:v>
                </c:pt>
                <c:pt idx="36">
                  <c:v>285626</c:v>
                </c:pt>
                <c:pt idx="37">
                  <c:v>279303</c:v>
                </c:pt>
                <c:pt idx="38">
                  <c:v>283399</c:v>
                </c:pt>
                <c:pt idx="39">
                  <c:v>292689</c:v>
                </c:pt>
                <c:pt idx="40">
                  <c:v>301748</c:v>
                </c:pt>
                <c:pt idx="41">
                  <c:v>304333</c:v>
                </c:pt>
                <c:pt idx="42">
                  <c:v>306318</c:v>
                </c:pt>
                <c:pt idx="43">
                  <c:v>308073</c:v>
                </c:pt>
                <c:pt idx="44">
                  <c:v>315160</c:v>
                </c:pt>
                <c:pt idx="45">
                  <c:v>316677</c:v>
                </c:pt>
                <c:pt idx="46">
                  <c:v>319326</c:v>
                </c:pt>
                <c:pt idx="47">
                  <c:v>314603</c:v>
                </c:pt>
                <c:pt idx="48">
                  <c:v>311740</c:v>
                </c:pt>
                <c:pt idx="49">
                  <c:v>308309</c:v>
                </c:pt>
                <c:pt idx="50">
                  <c:v>311748</c:v>
                </c:pt>
                <c:pt idx="51">
                  <c:v>317903</c:v>
                </c:pt>
                <c:pt idx="52">
                  <c:v>324368</c:v>
                </c:pt>
                <c:pt idx="53">
                  <c:v>327919</c:v>
                </c:pt>
                <c:pt idx="54">
                  <c:v>328447</c:v>
                </c:pt>
                <c:pt idx="55">
                  <c:v>329735</c:v>
                </c:pt>
                <c:pt idx="56">
                  <c:v>334203</c:v>
                </c:pt>
                <c:pt idx="57">
                  <c:v>344549</c:v>
                </c:pt>
                <c:pt idx="58">
                  <c:v>344289</c:v>
                </c:pt>
                <c:pt idx="59">
                  <c:v>339873</c:v>
                </c:pt>
                <c:pt idx="60">
                  <c:v>328214</c:v>
                </c:pt>
                <c:pt idx="61">
                  <c:v>327351</c:v>
                </c:pt>
                <c:pt idx="62">
                  <c:v>332318</c:v>
                </c:pt>
                <c:pt idx="63">
                  <c:v>341324</c:v>
                </c:pt>
                <c:pt idx="64">
                  <c:v>351534</c:v>
                </c:pt>
                <c:pt idx="65">
                  <c:v>357466</c:v>
                </c:pt>
                <c:pt idx="66">
                  <c:v>358028</c:v>
                </c:pt>
                <c:pt idx="67">
                  <c:v>356414</c:v>
                </c:pt>
                <c:pt idx="68">
                  <c:v>360056</c:v>
                </c:pt>
                <c:pt idx="69">
                  <c:v>368513</c:v>
                </c:pt>
                <c:pt idx="70">
                  <c:v>369967</c:v>
                </c:pt>
                <c:pt idx="71">
                  <c:v>363521</c:v>
                </c:pt>
                <c:pt idx="72">
                  <c:v>356289</c:v>
                </c:pt>
                <c:pt idx="73">
                  <c:v>353349</c:v>
                </c:pt>
                <c:pt idx="74">
                  <c:v>355873</c:v>
                </c:pt>
                <c:pt idx="75">
                  <c:v>361827</c:v>
                </c:pt>
                <c:pt idx="76">
                  <c:v>373485</c:v>
                </c:pt>
                <c:pt idx="77">
                  <c:v>379340</c:v>
                </c:pt>
                <c:pt idx="78">
                  <c:v>379662</c:v>
                </c:pt>
                <c:pt idx="79">
                  <c:v>376596</c:v>
                </c:pt>
                <c:pt idx="80">
                  <c:v>381684</c:v>
                </c:pt>
                <c:pt idx="81">
                  <c:v>391486</c:v>
                </c:pt>
                <c:pt idx="82">
                  <c:v>392271</c:v>
                </c:pt>
                <c:pt idx="83">
                  <c:v>388069</c:v>
                </c:pt>
                <c:pt idx="84">
                  <c:v>381822</c:v>
                </c:pt>
                <c:pt idx="85">
                  <c:v>380022</c:v>
                </c:pt>
                <c:pt idx="86">
                  <c:v>381318</c:v>
                </c:pt>
                <c:pt idx="87">
                  <c:v>386786</c:v>
                </c:pt>
                <c:pt idx="88">
                  <c:v>400730</c:v>
                </c:pt>
                <c:pt idx="89">
                  <c:v>411655</c:v>
                </c:pt>
                <c:pt idx="90">
                  <c:v>415622</c:v>
                </c:pt>
                <c:pt idx="91">
                  <c:v>415262</c:v>
                </c:pt>
                <c:pt idx="92">
                  <c:v>415455</c:v>
                </c:pt>
                <c:pt idx="93">
                  <c:v>420114</c:v>
                </c:pt>
                <c:pt idx="94">
                  <c:v>418208</c:v>
                </c:pt>
                <c:pt idx="95">
                  <c:v>416574</c:v>
                </c:pt>
                <c:pt idx="96">
                  <c:v>407386</c:v>
                </c:pt>
                <c:pt idx="97">
                  <c:v>407516</c:v>
                </c:pt>
                <c:pt idx="98">
                  <c:v>408751</c:v>
                </c:pt>
                <c:pt idx="99">
                  <c:v>420006</c:v>
                </c:pt>
                <c:pt idx="100">
                  <c:v>432904</c:v>
                </c:pt>
                <c:pt idx="101">
                  <c:v>438822</c:v>
                </c:pt>
                <c:pt idx="102">
                  <c:v>436447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3-4622-AD4D-13C6DA4FA895}"/>
            </c:ext>
          </c:extLst>
        </c:ser>
        <c:ser>
          <c:idx val="1"/>
          <c:order val="1"/>
          <c:tx>
            <c:v>xlDESSAZ SA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- Income'!$A$3:$A$105</c:f>
              <c:numCache>
                <c:formatCode>[$-416]mmm\-yy;@</c:formatCode>
                <c:ptCount val="103"/>
                <c:pt idx="0">
                  <c:v>37681</c:v>
                </c:pt>
                <c:pt idx="1">
                  <c:v>37712</c:v>
                </c:pt>
                <c:pt idx="2">
                  <c:v>37742</c:v>
                </c:pt>
                <c:pt idx="3">
                  <c:v>37773</c:v>
                </c:pt>
                <c:pt idx="4">
                  <c:v>37803</c:v>
                </c:pt>
                <c:pt idx="5">
                  <c:v>37834</c:v>
                </c:pt>
                <c:pt idx="6">
                  <c:v>37865</c:v>
                </c:pt>
                <c:pt idx="7">
                  <c:v>37895</c:v>
                </c:pt>
                <c:pt idx="8">
                  <c:v>37926</c:v>
                </c:pt>
                <c:pt idx="9">
                  <c:v>37956</c:v>
                </c:pt>
                <c:pt idx="10">
                  <c:v>37987</c:v>
                </c:pt>
                <c:pt idx="11">
                  <c:v>38018</c:v>
                </c:pt>
                <c:pt idx="12">
                  <c:v>38047</c:v>
                </c:pt>
                <c:pt idx="13">
                  <c:v>38078</c:v>
                </c:pt>
                <c:pt idx="14">
                  <c:v>38108</c:v>
                </c:pt>
                <c:pt idx="15">
                  <c:v>38139</c:v>
                </c:pt>
                <c:pt idx="16">
                  <c:v>38169</c:v>
                </c:pt>
                <c:pt idx="17">
                  <c:v>38200</c:v>
                </c:pt>
                <c:pt idx="18">
                  <c:v>38231</c:v>
                </c:pt>
                <c:pt idx="19">
                  <c:v>38261</c:v>
                </c:pt>
                <c:pt idx="20">
                  <c:v>38292</c:v>
                </c:pt>
                <c:pt idx="21">
                  <c:v>38322</c:v>
                </c:pt>
                <c:pt idx="22">
                  <c:v>38353</c:v>
                </c:pt>
                <c:pt idx="23">
                  <c:v>38384</c:v>
                </c:pt>
                <c:pt idx="24">
                  <c:v>38412</c:v>
                </c:pt>
                <c:pt idx="25">
                  <c:v>38443</c:v>
                </c:pt>
                <c:pt idx="26">
                  <c:v>38473</c:v>
                </c:pt>
                <c:pt idx="27">
                  <c:v>38504</c:v>
                </c:pt>
                <c:pt idx="28">
                  <c:v>38534</c:v>
                </c:pt>
                <c:pt idx="29">
                  <c:v>38565</c:v>
                </c:pt>
                <c:pt idx="30">
                  <c:v>38596</c:v>
                </c:pt>
                <c:pt idx="31">
                  <c:v>38626</c:v>
                </c:pt>
                <c:pt idx="32">
                  <c:v>38657</c:v>
                </c:pt>
                <c:pt idx="33">
                  <c:v>38687</c:v>
                </c:pt>
                <c:pt idx="34">
                  <c:v>38718</c:v>
                </c:pt>
                <c:pt idx="35">
                  <c:v>38749</c:v>
                </c:pt>
                <c:pt idx="36">
                  <c:v>38777</c:v>
                </c:pt>
                <c:pt idx="37">
                  <c:v>38808</c:v>
                </c:pt>
                <c:pt idx="38">
                  <c:v>38838</c:v>
                </c:pt>
                <c:pt idx="39">
                  <c:v>38869</c:v>
                </c:pt>
                <c:pt idx="40">
                  <c:v>38899</c:v>
                </c:pt>
                <c:pt idx="41">
                  <c:v>38930</c:v>
                </c:pt>
                <c:pt idx="42">
                  <c:v>38961</c:v>
                </c:pt>
                <c:pt idx="43">
                  <c:v>38991</c:v>
                </c:pt>
                <c:pt idx="44">
                  <c:v>39022</c:v>
                </c:pt>
                <c:pt idx="45">
                  <c:v>39052</c:v>
                </c:pt>
                <c:pt idx="46">
                  <c:v>39083</c:v>
                </c:pt>
                <c:pt idx="47">
                  <c:v>39114</c:v>
                </c:pt>
                <c:pt idx="48">
                  <c:v>39142</c:v>
                </c:pt>
                <c:pt idx="49">
                  <c:v>39173</c:v>
                </c:pt>
                <c:pt idx="50">
                  <c:v>39203</c:v>
                </c:pt>
                <c:pt idx="51">
                  <c:v>39234</c:v>
                </c:pt>
                <c:pt idx="52">
                  <c:v>39264</c:v>
                </c:pt>
                <c:pt idx="53">
                  <c:v>39295</c:v>
                </c:pt>
                <c:pt idx="54">
                  <c:v>39326</c:v>
                </c:pt>
                <c:pt idx="55">
                  <c:v>39356</c:v>
                </c:pt>
                <c:pt idx="56">
                  <c:v>39387</c:v>
                </c:pt>
                <c:pt idx="57">
                  <c:v>39417</c:v>
                </c:pt>
                <c:pt idx="58">
                  <c:v>39448</c:v>
                </c:pt>
                <c:pt idx="59">
                  <c:v>39479</c:v>
                </c:pt>
                <c:pt idx="60">
                  <c:v>39508</c:v>
                </c:pt>
                <c:pt idx="61">
                  <c:v>39539</c:v>
                </c:pt>
                <c:pt idx="62">
                  <c:v>39569</c:v>
                </c:pt>
                <c:pt idx="63">
                  <c:v>39600</c:v>
                </c:pt>
                <c:pt idx="64">
                  <c:v>39630</c:v>
                </c:pt>
                <c:pt idx="65">
                  <c:v>39661</c:v>
                </c:pt>
                <c:pt idx="66">
                  <c:v>39692</c:v>
                </c:pt>
                <c:pt idx="67">
                  <c:v>39722</c:v>
                </c:pt>
                <c:pt idx="68">
                  <c:v>39753</c:v>
                </c:pt>
                <c:pt idx="69">
                  <c:v>39783</c:v>
                </c:pt>
                <c:pt idx="70">
                  <c:v>39814</c:v>
                </c:pt>
                <c:pt idx="71">
                  <c:v>39845</c:v>
                </c:pt>
                <c:pt idx="72">
                  <c:v>39873</c:v>
                </c:pt>
                <c:pt idx="73">
                  <c:v>39904</c:v>
                </c:pt>
                <c:pt idx="74">
                  <c:v>39934</c:v>
                </c:pt>
                <c:pt idx="75">
                  <c:v>39965</c:v>
                </c:pt>
                <c:pt idx="76">
                  <c:v>39995</c:v>
                </c:pt>
                <c:pt idx="77">
                  <c:v>40026</c:v>
                </c:pt>
                <c:pt idx="78">
                  <c:v>40057</c:v>
                </c:pt>
                <c:pt idx="79">
                  <c:v>40087</c:v>
                </c:pt>
                <c:pt idx="80">
                  <c:v>40118</c:v>
                </c:pt>
                <c:pt idx="81">
                  <c:v>40148</c:v>
                </c:pt>
                <c:pt idx="82">
                  <c:v>40179</c:v>
                </c:pt>
                <c:pt idx="83">
                  <c:v>40210</c:v>
                </c:pt>
                <c:pt idx="84">
                  <c:v>40238</c:v>
                </c:pt>
                <c:pt idx="85">
                  <c:v>40269</c:v>
                </c:pt>
                <c:pt idx="86">
                  <c:v>40299</c:v>
                </c:pt>
                <c:pt idx="87">
                  <c:v>40330</c:v>
                </c:pt>
                <c:pt idx="88">
                  <c:v>40360</c:v>
                </c:pt>
                <c:pt idx="89">
                  <c:v>40391</c:v>
                </c:pt>
                <c:pt idx="90">
                  <c:v>40422</c:v>
                </c:pt>
                <c:pt idx="91">
                  <c:v>40452</c:v>
                </c:pt>
                <c:pt idx="92">
                  <c:v>40483</c:v>
                </c:pt>
                <c:pt idx="93">
                  <c:v>40513</c:v>
                </c:pt>
                <c:pt idx="94">
                  <c:v>40544</c:v>
                </c:pt>
                <c:pt idx="95">
                  <c:v>40575</c:v>
                </c:pt>
                <c:pt idx="96">
                  <c:v>40603</c:v>
                </c:pt>
                <c:pt idx="97">
                  <c:v>40634</c:v>
                </c:pt>
                <c:pt idx="98">
                  <c:v>40664</c:v>
                </c:pt>
                <c:pt idx="99">
                  <c:v>40695</c:v>
                </c:pt>
                <c:pt idx="100">
                  <c:v>40725</c:v>
                </c:pt>
                <c:pt idx="101">
                  <c:v>40756</c:v>
                </c:pt>
                <c:pt idx="102">
                  <c:v>40787</c:v>
                </c:pt>
              </c:numCache>
            </c:numRef>
          </c:cat>
          <c:val>
            <c:numRef>
              <c:f>'Monthly - Income'!$E$3:$E$105</c:f>
              <c:numCache>
                <c:formatCode>_-"R$"\ * #,##0_-;\-"R$"\ * #,##0_-;_-"R$"\ * "-"??_-;_-@_-</c:formatCode>
                <c:ptCount val="103"/>
                <c:pt idx="0">
                  <c:v>268879</c:v>
                </c:pt>
                <c:pt idx="1">
                  <c:v>267570</c:v>
                </c:pt>
                <c:pt idx="2">
                  <c:v>267384</c:v>
                </c:pt>
                <c:pt idx="3">
                  <c:v>266756</c:v>
                </c:pt>
                <c:pt idx="4">
                  <c:v>266652</c:v>
                </c:pt>
                <c:pt idx="5">
                  <c:v>265634</c:v>
                </c:pt>
                <c:pt idx="6">
                  <c:v>264252</c:v>
                </c:pt>
                <c:pt idx="7">
                  <c:v>262570</c:v>
                </c:pt>
                <c:pt idx="8">
                  <c:v>262807</c:v>
                </c:pt>
                <c:pt idx="9">
                  <c:v>264712</c:v>
                </c:pt>
                <c:pt idx="10">
                  <c:v>267284</c:v>
                </c:pt>
                <c:pt idx="11">
                  <c:v>268461</c:v>
                </c:pt>
                <c:pt idx="12">
                  <c:v>270088</c:v>
                </c:pt>
                <c:pt idx="13">
                  <c:v>272510</c:v>
                </c:pt>
                <c:pt idx="14">
                  <c:v>274555</c:v>
                </c:pt>
                <c:pt idx="15">
                  <c:v>275649</c:v>
                </c:pt>
                <c:pt idx="16">
                  <c:v>276101</c:v>
                </c:pt>
                <c:pt idx="17">
                  <c:v>277356</c:v>
                </c:pt>
                <c:pt idx="18">
                  <c:v>277983</c:v>
                </c:pt>
                <c:pt idx="19">
                  <c:v>279960</c:v>
                </c:pt>
                <c:pt idx="20">
                  <c:v>278425</c:v>
                </c:pt>
                <c:pt idx="21">
                  <c:v>279976</c:v>
                </c:pt>
                <c:pt idx="22">
                  <c:v>278471</c:v>
                </c:pt>
                <c:pt idx="23">
                  <c:v>280264</c:v>
                </c:pt>
                <c:pt idx="24">
                  <c:v>279419</c:v>
                </c:pt>
                <c:pt idx="25">
                  <c:v>280476</c:v>
                </c:pt>
                <c:pt idx="26">
                  <c:v>280631</c:v>
                </c:pt>
                <c:pt idx="27">
                  <c:v>282591</c:v>
                </c:pt>
                <c:pt idx="28">
                  <c:v>284407</c:v>
                </c:pt>
                <c:pt idx="29">
                  <c:v>285264</c:v>
                </c:pt>
                <c:pt idx="30">
                  <c:v>285687</c:v>
                </c:pt>
                <c:pt idx="31">
                  <c:v>286193</c:v>
                </c:pt>
                <c:pt idx="32">
                  <c:v>290556</c:v>
                </c:pt>
                <c:pt idx="33">
                  <c:v>290028</c:v>
                </c:pt>
                <c:pt idx="34">
                  <c:v>293621</c:v>
                </c:pt>
                <c:pt idx="35">
                  <c:v>290833</c:v>
                </c:pt>
                <c:pt idx="36">
                  <c:v>291841</c:v>
                </c:pt>
                <c:pt idx="37">
                  <c:v>290370</c:v>
                </c:pt>
                <c:pt idx="38">
                  <c:v>293624</c:v>
                </c:pt>
                <c:pt idx="39">
                  <c:v>296293</c:v>
                </c:pt>
                <c:pt idx="40">
                  <c:v>298836</c:v>
                </c:pt>
                <c:pt idx="41">
                  <c:v>299078</c:v>
                </c:pt>
                <c:pt idx="42">
                  <c:v>304008</c:v>
                </c:pt>
                <c:pt idx="43">
                  <c:v>306810</c:v>
                </c:pt>
                <c:pt idx="44">
                  <c:v>312091</c:v>
                </c:pt>
                <c:pt idx="45">
                  <c:v>308045</c:v>
                </c:pt>
                <c:pt idx="46">
                  <c:v>311531</c:v>
                </c:pt>
                <c:pt idx="47">
                  <c:v>313202</c:v>
                </c:pt>
                <c:pt idx="48">
                  <c:v>318267</c:v>
                </c:pt>
                <c:pt idx="49">
                  <c:v>320377</c:v>
                </c:pt>
                <c:pt idx="50">
                  <c:v>322501</c:v>
                </c:pt>
                <c:pt idx="51">
                  <c:v>322402</c:v>
                </c:pt>
                <c:pt idx="52">
                  <c:v>321878</c:v>
                </c:pt>
                <c:pt idx="53">
                  <c:v>322674</c:v>
                </c:pt>
                <c:pt idx="54">
                  <c:v>325247</c:v>
                </c:pt>
                <c:pt idx="55">
                  <c:v>328428</c:v>
                </c:pt>
                <c:pt idx="56">
                  <c:v>330980</c:v>
                </c:pt>
                <c:pt idx="57">
                  <c:v>335078</c:v>
                </c:pt>
                <c:pt idx="58">
                  <c:v>335784</c:v>
                </c:pt>
                <c:pt idx="59">
                  <c:v>338384</c:v>
                </c:pt>
                <c:pt idx="60">
                  <c:v>335191</c:v>
                </c:pt>
                <c:pt idx="61">
                  <c:v>339858</c:v>
                </c:pt>
                <c:pt idx="62">
                  <c:v>343484</c:v>
                </c:pt>
                <c:pt idx="63">
                  <c:v>346902</c:v>
                </c:pt>
                <c:pt idx="64">
                  <c:v>349304</c:v>
                </c:pt>
                <c:pt idx="65">
                  <c:v>351515</c:v>
                </c:pt>
                <c:pt idx="66">
                  <c:v>353412</c:v>
                </c:pt>
                <c:pt idx="67">
                  <c:v>354902</c:v>
                </c:pt>
                <c:pt idx="68">
                  <c:v>356785</c:v>
                </c:pt>
                <c:pt idx="69">
                  <c:v>358760</c:v>
                </c:pt>
                <c:pt idx="70">
                  <c:v>361282</c:v>
                </c:pt>
                <c:pt idx="71">
                  <c:v>362179</c:v>
                </c:pt>
                <c:pt idx="72">
                  <c:v>364154</c:v>
                </c:pt>
                <c:pt idx="73">
                  <c:v>366013</c:v>
                </c:pt>
                <c:pt idx="74">
                  <c:v>367713</c:v>
                </c:pt>
                <c:pt idx="75">
                  <c:v>368241</c:v>
                </c:pt>
                <c:pt idx="76">
                  <c:v>371308</c:v>
                </c:pt>
                <c:pt idx="77">
                  <c:v>372391</c:v>
                </c:pt>
                <c:pt idx="78">
                  <c:v>373687</c:v>
                </c:pt>
                <c:pt idx="79">
                  <c:v>375186</c:v>
                </c:pt>
                <c:pt idx="80">
                  <c:v>378154</c:v>
                </c:pt>
                <c:pt idx="81">
                  <c:v>381695</c:v>
                </c:pt>
                <c:pt idx="82">
                  <c:v>383990</c:v>
                </c:pt>
                <c:pt idx="83">
                  <c:v>386982</c:v>
                </c:pt>
                <c:pt idx="84">
                  <c:v>390550</c:v>
                </c:pt>
                <c:pt idx="85">
                  <c:v>392665</c:v>
                </c:pt>
                <c:pt idx="86">
                  <c:v>394057</c:v>
                </c:pt>
                <c:pt idx="87">
                  <c:v>393712</c:v>
                </c:pt>
                <c:pt idx="88">
                  <c:v>398597</c:v>
                </c:pt>
                <c:pt idx="89">
                  <c:v>403648</c:v>
                </c:pt>
                <c:pt idx="90">
                  <c:v>408183</c:v>
                </c:pt>
                <c:pt idx="91">
                  <c:v>413292</c:v>
                </c:pt>
                <c:pt idx="92">
                  <c:v>411311</c:v>
                </c:pt>
                <c:pt idx="93">
                  <c:v>410468</c:v>
                </c:pt>
                <c:pt idx="94">
                  <c:v>410397</c:v>
                </c:pt>
                <c:pt idx="95">
                  <c:v>416027</c:v>
                </c:pt>
                <c:pt idx="96">
                  <c:v>416978</c:v>
                </c:pt>
                <c:pt idx="97">
                  <c:v>420233</c:v>
                </c:pt>
                <c:pt idx="98">
                  <c:v>422043</c:v>
                </c:pt>
                <c:pt idx="99">
                  <c:v>427030</c:v>
                </c:pt>
                <c:pt idx="100">
                  <c:v>430855</c:v>
                </c:pt>
                <c:pt idx="101">
                  <c:v>430767</c:v>
                </c:pt>
                <c:pt idx="102">
                  <c:v>428706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93-4622-AD4D-13C6DA4FA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Difference of 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- Income'!$L$2</c:f>
              <c:strCache>
                <c:ptCount val="1"/>
                <c:pt idx="0">
                  <c:v>Diff of SAs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'Monthly - Income'!$A$3:$A$105</c:f>
              <c:numCache>
                <c:formatCode>[$-416]mmm\-yy;@</c:formatCode>
                <c:ptCount val="103"/>
                <c:pt idx="0">
                  <c:v>37681</c:v>
                </c:pt>
                <c:pt idx="1">
                  <c:v>37712</c:v>
                </c:pt>
                <c:pt idx="2">
                  <c:v>37742</c:v>
                </c:pt>
                <c:pt idx="3">
                  <c:v>37773</c:v>
                </c:pt>
                <c:pt idx="4">
                  <c:v>37803</c:v>
                </c:pt>
                <c:pt idx="5">
                  <c:v>37834</c:v>
                </c:pt>
                <c:pt idx="6">
                  <c:v>37865</c:v>
                </c:pt>
                <c:pt idx="7">
                  <c:v>37895</c:v>
                </c:pt>
                <c:pt idx="8">
                  <c:v>37926</c:v>
                </c:pt>
                <c:pt idx="9">
                  <c:v>37956</c:v>
                </c:pt>
                <c:pt idx="10">
                  <c:v>37987</c:v>
                </c:pt>
                <c:pt idx="11">
                  <c:v>38018</c:v>
                </c:pt>
                <c:pt idx="12">
                  <c:v>38047</c:v>
                </c:pt>
                <c:pt idx="13">
                  <c:v>38078</c:v>
                </c:pt>
                <c:pt idx="14">
                  <c:v>38108</c:v>
                </c:pt>
                <c:pt idx="15">
                  <c:v>38139</c:v>
                </c:pt>
                <c:pt idx="16">
                  <c:v>38169</c:v>
                </c:pt>
                <c:pt idx="17">
                  <c:v>38200</c:v>
                </c:pt>
                <c:pt idx="18">
                  <c:v>38231</c:v>
                </c:pt>
                <c:pt idx="19">
                  <c:v>38261</c:v>
                </c:pt>
                <c:pt idx="20">
                  <c:v>38292</c:v>
                </c:pt>
                <c:pt idx="21">
                  <c:v>38322</c:v>
                </c:pt>
                <c:pt idx="22">
                  <c:v>38353</c:v>
                </c:pt>
                <c:pt idx="23">
                  <c:v>38384</c:v>
                </c:pt>
                <c:pt idx="24">
                  <c:v>38412</c:v>
                </c:pt>
                <c:pt idx="25">
                  <c:v>38443</c:v>
                </c:pt>
                <c:pt idx="26">
                  <c:v>38473</c:v>
                </c:pt>
                <c:pt idx="27">
                  <c:v>38504</c:v>
                </c:pt>
                <c:pt idx="28">
                  <c:v>38534</c:v>
                </c:pt>
                <c:pt idx="29">
                  <c:v>38565</c:v>
                </c:pt>
                <c:pt idx="30">
                  <c:v>38596</c:v>
                </c:pt>
                <c:pt idx="31">
                  <c:v>38626</c:v>
                </c:pt>
                <c:pt idx="32">
                  <c:v>38657</c:v>
                </c:pt>
                <c:pt idx="33">
                  <c:v>38687</c:v>
                </c:pt>
                <c:pt idx="34">
                  <c:v>38718</c:v>
                </c:pt>
                <c:pt idx="35">
                  <c:v>38749</c:v>
                </c:pt>
                <c:pt idx="36">
                  <c:v>38777</c:v>
                </c:pt>
                <c:pt idx="37">
                  <c:v>38808</c:v>
                </c:pt>
                <c:pt idx="38">
                  <c:v>38838</c:v>
                </c:pt>
                <c:pt idx="39">
                  <c:v>38869</c:v>
                </c:pt>
                <c:pt idx="40">
                  <c:v>38899</c:v>
                </c:pt>
                <c:pt idx="41">
                  <c:v>38930</c:v>
                </c:pt>
                <c:pt idx="42">
                  <c:v>38961</c:v>
                </c:pt>
                <c:pt idx="43">
                  <c:v>38991</c:v>
                </c:pt>
                <c:pt idx="44">
                  <c:v>39022</c:v>
                </c:pt>
                <c:pt idx="45">
                  <c:v>39052</c:v>
                </c:pt>
                <c:pt idx="46">
                  <c:v>39083</c:v>
                </c:pt>
                <c:pt idx="47">
                  <c:v>39114</c:v>
                </c:pt>
                <c:pt idx="48">
                  <c:v>39142</c:v>
                </c:pt>
                <c:pt idx="49">
                  <c:v>39173</c:v>
                </c:pt>
                <c:pt idx="50">
                  <c:v>39203</c:v>
                </c:pt>
                <c:pt idx="51">
                  <c:v>39234</c:v>
                </c:pt>
                <c:pt idx="52">
                  <c:v>39264</c:v>
                </c:pt>
                <c:pt idx="53">
                  <c:v>39295</c:v>
                </c:pt>
                <c:pt idx="54">
                  <c:v>39326</c:v>
                </c:pt>
                <c:pt idx="55">
                  <c:v>39356</c:v>
                </c:pt>
                <c:pt idx="56">
                  <c:v>39387</c:v>
                </c:pt>
                <c:pt idx="57">
                  <c:v>39417</c:v>
                </c:pt>
                <c:pt idx="58">
                  <c:v>39448</c:v>
                </c:pt>
                <c:pt idx="59">
                  <c:v>39479</c:v>
                </c:pt>
                <c:pt idx="60">
                  <c:v>39508</c:v>
                </c:pt>
                <c:pt idx="61">
                  <c:v>39539</c:v>
                </c:pt>
                <c:pt idx="62">
                  <c:v>39569</c:v>
                </c:pt>
                <c:pt idx="63">
                  <c:v>39600</c:v>
                </c:pt>
                <c:pt idx="64">
                  <c:v>39630</c:v>
                </c:pt>
                <c:pt idx="65">
                  <c:v>39661</c:v>
                </c:pt>
                <c:pt idx="66">
                  <c:v>39692</c:v>
                </c:pt>
                <c:pt idx="67">
                  <c:v>39722</c:v>
                </c:pt>
                <c:pt idx="68">
                  <c:v>39753</c:v>
                </c:pt>
                <c:pt idx="69">
                  <c:v>39783</c:v>
                </c:pt>
                <c:pt idx="70">
                  <c:v>39814</c:v>
                </c:pt>
                <c:pt idx="71">
                  <c:v>39845</c:v>
                </c:pt>
                <c:pt idx="72">
                  <c:v>39873</c:v>
                </c:pt>
                <c:pt idx="73">
                  <c:v>39904</c:v>
                </c:pt>
                <c:pt idx="74">
                  <c:v>39934</c:v>
                </c:pt>
                <c:pt idx="75">
                  <c:v>39965</c:v>
                </c:pt>
                <c:pt idx="76">
                  <c:v>39995</c:v>
                </c:pt>
                <c:pt idx="77">
                  <c:v>40026</c:v>
                </c:pt>
                <c:pt idx="78">
                  <c:v>40057</c:v>
                </c:pt>
                <c:pt idx="79">
                  <c:v>40087</c:v>
                </c:pt>
                <c:pt idx="80">
                  <c:v>40118</c:v>
                </c:pt>
                <c:pt idx="81">
                  <c:v>40148</c:v>
                </c:pt>
                <c:pt idx="82">
                  <c:v>40179</c:v>
                </c:pt>
                <c:pt idx="83">
                  <c:v>40210</c:v>
                </c:pt>
                <c:pt idx="84">
                  <c:v>40238</c:v>
                </c:pt>
                <c:pt idx="85">
                  <c:v>40269</c:v>
                </c:pt>
                <c:pt idx="86">
                  <c:v>40299</c:v>
                </c:pt>
                <c:pt idx="87">
                  <c:v>40330</c:v>
                </c:pt>
                <c:pt idx="88">
                  <c:v>40360</c:v>
                </c:pt>
                <c:pt idx="89">
                  <c:v>40391</c:v>
                </c:pt>
                <c:pt idx="90">
                  <c:v>40422</c:v>
                </c:pt>
                <c:pt idx="91">
                  <c:v>40452</c:v>
                </c:pt>
                <c:pt idx="92">
                  <c:v>40483</c:v>
                </c:pt>
                <c:pt idx="93">
                  <c:v>40513</c:v>
                </c:pt>
                <c:pt idx="94">
                  <c:v>40544</c:v>
                </c:pt>
                <c:pt idx="95">
                  <c:v>40575</c:v>
                </c:pt>
                <c:pt idx="96">
                  <c:v>40603</c:v>
                </c:pt>
                <c:pt idx="97">
                  <c:v>40634</c:v>
                </c:pt>
                <c:pt idx="98">
                  <c:v>40664</c:v>
                </c:pt>
                <c:pt idx="99">
                  <c:v>40695</c:v>
                </c:pt>
                <c:pt idx="100">
                  <c:v>40725</c:v>
                </c:pt>
                <c:pt idx="101">
                  <c:v>40756</c:v>
                </c:pt>
                <c:pt idx="102">
                  <c:v>40787</c:v>
                </c:pt>
              </c:numCache>
            </c:numRef>
          </c:cat>
          <c:val>
            <c:numRef>
              <c:f>'Monthly - Income'!$L$3:$L$105</c:f>
              <c:numCache>
                <c:formatCode>0.0%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EB-422C-B091-2E1586F0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80837056"/>
        <c:axId val="780837888"/>
      </c:bar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ax val="1.0000000000000002E-2"/>
          <c:min val="-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Brazil GDP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'Quarterly - GDP'!$B$2</c:f>
              <c:strCache>
                <c:ptCount val="1"/>
                <c:pt idx="0">
                  <c:v>BR GDP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'Quarterly - GDP'!$A$3:$A$105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'Quarterly - GDP'!$B$3:$B$105</c:f>
              <c:numCache>
                <c:formatCode>General</c:formatCode>
                <c:ptCount val="103"/>
                <c:pt idx="0" formatCode="0.0">
                  <c:v>96.8</c:v>
                </c:pt>
                <c:pt idx="1">
                  <c:v>100.1</c:v>
                </c:pt>
                <c:pt idx="2">
                  <c:v>107.6</c:v>
                </c:pt>
                <c:pt idx="3">
                  <c:v>104.3</c:v>
                </c:pt>
                <c:pt idx="4">
                  <c:v>100.1</c:v>
                </c:pt>
                <c:pt idx="5">
                  <c:v>104.9</c:v>
                </c:pt>
                <c:pt idx="6">
                  <c:v>109.5</c:v>
                </c:pt>
                <c:pt idx="7">
                  <c:v>108.2</c:v>
                </c:pt>
                <c:pt idx="8">
                  <c:v>101.1</c:v>
                </c:pt>
                <c:pt idx="9">
                  <c:v>106.5</c:v>
                </c:pt>
                <c:pt idx="10">
                  <c:v>109.9</c:v>
                </c:pt>
                <c:pt idx="11">
                  <c:v>106.7</c:v>
                </c:pt>
                <c:pt idx="12">
                  <c:v>101.9</c:v>
                </c:pt>
                <c:pt idx="13">
                  <c:v>106</c:v>
                </c:pt>
                <c:pt idx="14">
                  <c:v>109.2</c:v>
                </c:pt>
                <c:pt idx="15">
                  <c:v>109</c:v>
                </c:pt>
                <c:pt idx="16">
                  <c:v>106.4</c:v>
                </c:pt>
                <c:pt idx="17">
                  <c:v>110.3</c:v>
                </c:pt>
                <c:pt idx="18">
                  <c:v>114.2</c:v>
                </c:pt>
                <c:pt idx="19">
                  <c:v>114</c:v>
                </c:pt>
                <c:pt idx="20">
                  <c:v>110.1</c:v>
                </c:pt>
                <c:pt idx="21">
                  <c:v>112.8</c:v>
                </c:pt>
                <c:pt idx="22">
                  <c:v>114.7</c:v>
                </c:pt>
                <c:pt idx="23">
                  <c:v>113.4</c:v>
                </c:pt>
                <c:pt idx="24">
                  <c:v>110.6</c:v>
                </c:pt>
                <c:pt idx="25">
                  <c:v>115.4</c:v>
                </c:pt>
                <c:pt idx="26">
                  <c:v>119.5</c:v>
                </c:pt>
                <c:pt idx="27">
                  <c:v>119.2</c:v>
                </c:pt>
                <c:pt idx="28">
                  <c:v>113.6</c:v>
                </c:pt>
                <c:pt idx="29">
                  <c:v>116.3</c:v>
                </c:pt>
                <c:pt idx="30">
                  <c:v>120.2</c:v>
                </c:pt>
                <c:pt idx="31">
                  <c:v>119.9</c:v>
                </c:pt>
                <c:pt idx="32">
                  <c:v>118</c:v>
                </c:pt>
                <c:pt idx="33">
                  <c:v>123.7</c:v>
                </c:pt>
                <c:pt idx="34">
                  <c:v>128.1</c:v>
                </c:pt>
                <c:pt idx="35">
                  <c:v>127.4</c:v>
                </c:pt>
                <c:pt idx="36">
                  <c:v>122.9</c:v>
                </c:pt>
                <c:pt idx="37">
                  <c:v>129.19999999999999</c:v>
                </c:pt>
                <c:pt idx="38">
                  <c:v>130.80000000000001</c:v>
                </c:pt>
                <c:pt idx="39">
                  <c:v>130.1</c:v>
                </c:pt>
                <c:pt idx="40">
                  <c:v>128.19999999999999</c:v>
                </c:pt>
                <c:pt idx="41">
                  <c:v>132.1</c:v>
                </c:pt>
                <c:pt idx="42">
                  <c:v>136.69999999999999</c:v>
                </c:pt>
                <c:pt idx="43">
                  <c:v>136.4</c:v>
                </c:pt>
                <c:pt idx="44">
                  <c:v>134.80000000000001</c:v>
                </c:pt>
                <c:pt idx="45">
                  <c:v>140.80000000000001</c:v>
                </c:pt>
                <c:pt idx="46">
                  <c:v>144.80000000000001</c:v>
                </c:pt>
                <c:pt idx="47">
                  <c:v>145.4</c:v>
                </c:pt>
                <c:pt idx="48">
                  <c:v>143.1</c:v>
                </c:pt>
                <c:pt idx="49">
                  <c:v>149.69999999999999</c:v>
                </c:pt>
                <c:pt idx="50">
                  <c:v>154.9</c:v>
                </c:pt>
                <c:pt idx="51">
                  <c:v>146.9</c:v>
                </c:pt>
                <c:pt idx="52">
                  <c:v>139.69999999999999</c:v>
                </c:pt>
                <c:pt idx="53">
                  <c:v>146.4</c:v>
                </c:pt>
                <c:pt idx="54">
                  <c:v>153.1</c:v>
                </c:pt>
                <c:pt idx="55">
                  <c:v>154.69999999999999</c:v>
                </c:pt>
                <c:pt idx="56">
                  <c:v>152.5</c:v>
                </c:pt>
                <c:pt idx="57">
                  <c:v>158.9</c:v>
                </c:pt>
                <c:pt idx="58">
                  <c:v>163.6</c:v>
                </c:pt>
                <c:pt idx="59">
                  <c:v>163.5</c:v>
                </c:pt>
                <c:pt idx="60">
                  <c:v>160.5</c:v>
                </c:pt>
                <c:pt idx="61">
                  <c:v>166.3</c:v>
                </c:pt>
                <c:pt idx="62">
                  <c:v>169.4</c:v>
                </c:pt>
                <c:pt idx="63">
                  <c:v>167.7</c:v>
                </c:pt>
                <c:pt idx="64">
                  <c:v>163.19999999999999</c:v>
                </c:pt>
                <c:pt idx="65">
                  <c:v>168</c:v>
                </c:pt>
                <c:pt idx="66">
                  <c:v>173.6</c:v>
                </c:pt>
                <c:pt idx="67">
                  <c:v>171.9</c:v>
                </c:pt>
                <c:pt idx="68">
                  <c:v>167.6</c:v>
                </c:pt>
                <c:pt idx="69">
                  <c:v>174.7</c:v>
                </c:pt>
                <c:pt idx="70">
                  <c:v>178.4</c:v>
                </c:pt>
                <c:pt idx="71">
                  <c:v>176.3</c:v>
                </c:pt>
                <c:pt idx="72">
                  <c:v>173.4</c:v>
                </c:pt>
                <c:pt idx="73">
                  <c:v>174</c:v>
                </c:pt>
                <c:pt idx="74">
                  <c:v>177.3</c:v>
                </c:pt>
                <c:pt idx="75">
                  <c:v>175.9</c:v>
                </c:pt>
                <c:pt idx="76">
                  <c:v>170.6</c:v>
                </c:pt>
                <c:pt idx="77">
                  <c:v>169.2</c:v>
                </c:pt>
                <c:pt idx="78">
                  <c:v>169.7</c:v>
                </c:pt>
                <c:pt idx="79">
                  <c:v>166.2</c:v>
                </c:pt>
                <c:pt idx="80">
                  <c:v>161.9</c:v>
                </c:pt>
                <c:pt idx="81">
                  <c:v>163.80000000000001</c:v>
                </c:pt>
                <c:pt idx="82">
                  <c:v>165.6</c:v>
                </c:pt>
                <c:pt idx="83">
                  <c:v>162.4</c:v>
                </c:pt>
                <c:pt idx="84">
                  <c:v>162.30000000000001</c:v>
                </c:pt>
                <c:pt idx="85">
                  <c:v>165.1</c:v>
                </c:pt>
                <c:pt idx="86">
                  <c:v>168.3</c:v>
                </c:pt>
                <c:pt idx="87">
                  <c:v>166.6</c:v>
                </c:pt>
                <c:pt idx="88">
                  <c:v>165.4</c:v>
                </c:pt>
                <c:pt idx="89">
                  <c:v>167.7</c:v>
                </c:pt>
                <c:pt idx="90">
                  <c:v>171.7</c:v>
                </c:pt>
                <c:pt idx="91">
                  <c:v>169.2</c:v>
                </c:pt>
                <c:pt idx="92">
                  <c:v>167.1</c:v>
                </c:pt>
                <c:pt idx="93">
                  <c:v>169.8</c:v>
                </c:pt>
                <c:pt idx="94">
                  <c:v>173.6</c:v>
                </c:pt>
                <c:pt idx="95">
                  <c:v>171.7</c:v>
                </c:pt>
                <c:pt idx="96">
                  <c:v>166.9</c:v>
                </c:pt>
                <c:pt idx="97">
                  <c:v>151.6</c:v>
                </c:pt>
                <c:pt idx="98">
                  <c:v>167.2</c:v>
                </c:pt>
                <c:pt idx="99">
                  <c:v>170.1</c:v>
                </c:pt>
                <c:pt idx="100">
                  <c:v>169</c:v>
                </c:pt>
                <c:pt idx="101">
                  <c:v>170.3</c:v>
                </c:pt>
                <c:pt idx="102">
                  <c:v>173.9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AC-4058-9726-6758511A0A04}"/>
            </c:ext>
          </c:extLst>
        </c:ser>
        <c:ser>
          <c:idx val="1"/>
          <c:order val="1"/>
          <c:tx>
            <c:strRef>
              <c:f>'Quarterly - GDP'!$C$2</c:f>
              <c:strCache>
                <c:ptCount val="1"/>
                <c:pt idx="0">
                  <c:v>Official 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'Quarterly - GDP'!$A$3:$A$105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'Quarterly - GDP'!$C$3:$C$105</c:f>
              <c:numCache>
                <c:formatCode>0.0</c:formatCode>
                <c:ptCount val="103"/>
                <c:pt idx="0">
                  <c:v>99.5</c:v>
                </c:pt>
                <c:pt idx="1">
                  <c:v>100.4</c:v>
                </c:pt>
                <c:pt idx="2" formatCode="General">
                  <c:v>104.4</c:v>
                </c:pt>
                <c:pt idx="3" formatCode="General">
                  <c:v>103.3</c:v>
                </c:pt>
                <c:pt idx="4" formatCode="General">
                  <c:v>104.3</c:v>
                </c:pt>
                <c:pt idx="5" formatCode="General">
                  <c:v>105</c:v>
                </c:pt>
                <c:pt idx="6" formatCode="General">
                  <c:v>106.3</c:v>
                </c:pt>
                <c:pt idx="7" formatCode="General">
                  <c:v>107.1</c:v>
                </c:pt>
                <c:pt idx="8" formatCode="General">
                  <c:v>105.1</c:v>
                </c:pt>
                <c:pt idx="9" formatCode="General">
                  <c:v>106.8</c:v>
                </c:pt>
                <c:pt idx="10" formatCode="General">
                  <c:v>106.9</c:v>
                </c:pt>
                <c:pt idx="11" formatCode="General">
                  <c:v>105.6</c:v>
                </c:pt>
                <c:pt idx="12" formatCode="General">
                  <c:v>105.9</c:v>
                </c:pt>
                <c:pt idx="13" formatCode="General">
                  <c:v>106.2</c:v>
                </c:pt>
                <c:pt idx="14" formatCode="General">
                  <c:v>106.4</c:v>
                </c:pt>
                <c:pt idx="15" formatCode="General">
                  <c:v>107.8</c:v>
                </c:pt>
                <c:pt idx="16" formatCode="General">
                  <c:v>109</c:v>
                </c:pt>
                <c:pt idx="17" formatCode="General">
                  <c:v>110.5</c:v>
                </c:pt>
                <c:pt idx="18" formatCode="General">
                  <c:v>111.8</c:v>
                </c:pt>
                <c:pt idx="19" formatCode="General">
                  <c:v>113.2</c:v>
                </c:pt>
                <c:pt idx="20" formatCode="General">
                  <c:v>113.6</c:v>
                </c:pt>
                <c:pt idx="21" formatCode="General">
                  <c:v>113.1</c:v>
                </c:pt>
                <c:pt idx="22" formatCode="General">
                  <c:v>112.5</c:v>
                </c:pt>
                <c:pt idx="23" formatCode="General">
                  <c:v>112.2</c:v>
                </c:pt>
                <c:pt idx="24" formatCode="General">
                  <c:v>114.7</c:v>
                </c:pt>
                <c:pt idx="25" formatCode="General">
                  <c:v>115.4</c:v>
                </c:pt>
                <c:pt idx="26" formatCode="General">
                  <c:v>116.8</c:v>
                </c:pt>
                <c:pt idx="27" formatCode="General">
                  <c:v>118</c:v>
                </c:pt>
                <c:pt idx="28" formatCode="General">
                  <c:v>117.5</c:v>
                </c:pt>
                <c:pt idx="29" formatCode="General">
                  <c:v>116.5</c:v>
                </c:pt>
                <c:pt idx="30" formatCode="General">
                  <c:v>117.6</c:v>
                </c:pt>
                <c:pt idx="31" formatCode="General">
                  <c:v>118.8</c:v>
                </c:pt>
                <c:pt idx="32" formatCode="General">
                  <c:v>120.5</c:v>
                </c:pt>
                <c:pt idx="33" formatCode="General">
                  <c:v>123.8</c:v>
                </c:pt>
                <c:pt idx="34" formatCode="General">
                  <c:v>125.3</c:v>
                </c:pt>
                <c:pt idx="35" formatCode="General">
                  <c:v>126.3</c:v>
                </c:pt>
                <c:pt idx="36" formatCode="General">
                  <c:v>127.2</c:v>
                </c:pt>
                <c:pt idx="37" formatCode="General">
                  <c:v>129</c:v>
                </c:pt>
                <c:pt idx="38" formatCode="General">
                  <c:v>128</c:v>
                </c:pt>
                <c:pt idx="39" formatCode="General">
                  <c:v>129.6</c:v>
                </c:pt>
                <c:pt idx="40" formatCode="General">
                  <c:v>131.80000000000001</c:v>
                </c:pt>
                <c:pt idx="41" formatCode="General">
                  <c:v>132.1</c:v>
                </c:pt>
                <c:pt idx="42" formatCode="General">
                  <c:v>134.30000000000001</c:v>
                </c:pt>
                <c:pt idx="43" formatCode="General">
                  <c:v>135.9</c:v>
                </c:pt>
                <c:pt idx="44" formatCode="General">
                  <c:v>138.6</c:v>
                </c:pt>
                <c:pt idx="45" formatCode="General">
                  <c:v>140.80000000000001</c:v>
                </c:pt>
                <c:pt idx="46" formatCode="General">
                  <c:v>142.19999999999999</c:v>
                </c:pt>
                <c:pt idx="47" formatCode="General">
                  <c:v>144.4</c:v>
                </c:pt>
                <c:pt idx="48" formatCode="General">
                  <c:v>146.1</c:v>
                </c:pt>
                <c:pt idx="49" formatCode="General">
                  <c:v>149.4</c:v>
                </c:pt>
                <c:pt idx="50" formatCode="General">
                  <c:v>151.6</c:v>
                </c:pt>
                <c:pt idx="51" formatCode="General">
                  <c:v>145.9</c:v>
                </c:pt>
                <c:pt idx="52" formatCode="General">
                  <c:v>143.9</c:v>
                </c:pt>
                <c:pt idx="53" formatCode="General">
                  <c:v>146.5</c:v>
                </c:pt>
                <c:pt idx="54" formatCode="General">
                  <c:v>149.9</c:v>
                </c:pt>
                <c:pt idx="55" formatCode="General">
                  <c:v>153.69999999999999</c:v>
                </c:pt>
                <c:pt idx="56" formatCode="General">
                  <c:v>157.19999999999999</c:v>
                </c:pt>
                <c:pt idx="57" formatCode="General">
                  <c:v>158.69999999999999</c:v>
                </c:pt>
                <c:pt idx="58" formatCode="General">
                  <c:v>160.4</c:v>
                </c:pt>
                <c:pt idx="59" formatCode="General">
                  <c:v>162.5</c:v>
                </c:pt>
                <c:pt idx="60" formatCode="General">
                  <c:v>164.9</c:v>
                </c:pt>
                <c:pt idx="61" formatCode="General">
                  <c:v>166.5</c:v>
                </c:pt>
                <c:pt idx="62" formatCode="General">
                  <c:v>166.1</c:v>
                </c:pt>
                <c:pt idx="63" formatCode="General">
                  <c:v>167.5</c:v>
                </c:pt>
                <c:pt idx="64" formatCode="General">
                  <c:v>165.3</c:v>
                </c:pt>
                <c:pt idx="65" formatCode="General">
                  <c:v>168.2</c:v>
                </c:pt>
                <c:pt idx="66" formatCode="General">
                  <c:v>171.1</c:v>
                </c:pt>
                <c:pt idx="67" formatCode="General">
                  <c:v>171.1</c:v>
                </c:pt>
                <c:pt idx="68" formatCode="General">
                  <c:v>171.8</c:v>
                </c:pt>
                <c:pt idx="69" formatCode="General">
                  <c:v>174.7</c:v>
                </c:pt>
                <c:pt idx="70" formatCode="General">
                  <c:v>175.3</c:v>
                </c:pt>
                <c:pt idx="71" formatCode="General">
                  <c:v>175.5</c:v>
                </c:pt>
                <c:pt idx="72" formatCode="General">
                  <c:v>177.1</c:v>
                </c:pt>
                <c:pt idx="73" formatCode="General">
                  <c:v>174.4</c:v>
                </c:pt>
                <c:pt idx="74" formatCode="General">
                  <c:v>174.4</c:v>
                </c:pt>
                <c:pt idx="75" formatCode="General">
                  <c:v>175.2</c:v>
                </c:pt>
                <c:pt idx="76" formatCode="General">
                  <c:v>174.1</c:v>
                </c:pt>
                <c:pt idx="77" formatCode="General">
                  <c:v>169.5</c:v>
                </c:pt>
                <c:pt idx="78" formatCode="General">
                  <c:v>167</c:v>
                </c:pt>
                <c:pt idx="79" formatCode="General">
                  <c:v>165.7</c:v>
                </c:pt>
                <c:pt idx="80" formatCode="General">
                  <c:v>163</c:v>
                </c:pt>
                <c:pt idx="81" formatCode="General">
                  <c:v>164</c:v>
                </c:pt>
                <c:pt idx="82" formatCode="General">
                  <c:v>162.9</c:v>
                </c:pt>
                <c:pt idx="83" formatCode="General">
                  <c:v>162.6</c:v>
                </c:pt>
                <c:pt idx="84" formatCode="General">
                  <c:v>164.4</c:v>
                </c:pt>
                <c:pt idx="85" formatCode="General">
                  <c:v>165.7</c:v>
                </c:pt>
                <c:pt idx="86" formatCode="General">
                  <c:v>166.2</c:v>
                </c:pt>
                <c:pt idx="87" formatCode="General">
                  <c:v>166.9</c:v>
                </c:pt>
                <c:pt idx="88" formatCode="General">
                  <c:v>167.8</c:v>
                </c:pt>
                <c:pt idx="89" formatCode="General">
                  <c:v>168.1</c:v>
                </c:pt>
                <c:pt idx="90" formatCode="General">
                  <c:v>169.5</c:v>
                </c:pt>
                <c:pt idx="91" formatCode="General">
                  <c:v>168.9</c:v>
                </c:pt>
                <c:pt idx="92" formatCode="General">
                  <c:v>169.8</c:v>
                </c:pt>
                <c:pt idx="93" formatCode="General">
                  <c:v>170.7</c:v>
                </c:pt>
                <c:pt idx="94" formatCode="General">
                  <c:v>170.7</c:v>
                </c:pt>
                <c:pt idx="95" formatCode="General">
                  <c:v>171.3</c:v>
                </c:pt>
                <c:pt idx="96" formatCode="General">
                  <c:v>167.4</c:v>
                </c:pt>
                <c:pt idx="97" formatCode="General">
                  <c:v>152.6</c:v>
                </c:pt>
                <c:pt idx="98" formatCode="General">
                  <c:v>164.4</c:v>
                </c:pt>
                <c:pt idx="99" formatCode="General">
                  <c:v>169.5</c:v>
                </c:pt>
                <c:pt idx="100" formatCode="General">
                  <c:v>171.8</c:v>
                </c:pt>
                <c:pt idx="101" formatCode="General">
                  <c:v>171.2</c:v>
                </c:pt>
                <c:pt idx="102" formatCode="General">
                  <c:v>171.1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AC-4058-9726-6758511A0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Brazil GDP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'Quarterly - GDP'!$B$2</c:f>
              <c:strCache>
                <c:ptCount val="1"/>
                <c:pt idx="0">
                  <c:v>BR GDP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'Quarterly - GDP'!$A$3:$A$105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'Quarterly - GDP'!$B$3:$B$105</c:f>
              <c:numCache>
                <c:formatCode>General</c:formatCode>
                <c:ptCount val="103"/>
                <c:pt idx="0" formatCode="0.0">
                  <c:v>96.8</c:v>
                </c:pt>
                <c:pt idx="1">
                  <c:v>100.1</c:v>
                </c:pt>
                <c:pt idx="2">
                  <c:v>107.6</c:v>
                </c:pt>
                <c:pt idx="3">
                  <c:v>104.3</c:v>
                </c:pt>
                <c:pt idx="4">
                  <c:v>100.1</c:v>
                </c:pt>
                <c:pt idx="5">
                  <c:v>104.9</c:v>
                </c:pt>
                <c:pt idx="6">
                  <c:v>109.5</c:v>
                </c:pt>
                <c:pt idx="7">
                  <c:v>108.2</c:v>
                </c:pt>
                <c:pt idx="8">
                  <c:v>101.1</c:v>
                </c:pt>
                <c:pt idx="9">
                  <c:v>106.5</c:v>
                </c:pt>
                <c:pt idx="10">
                  <c:v>109.9</c:v>
                </c:pt>
                <c:pt idx="11">
                  <c:v>106.7</c:v>
                </c:pt>
                <c:pt idx="12">
                  <c:v>101.9</c:v>
                </c:pt>
                <c:pt idx="13">
                  <c:v>106</c:v>
                </c:pt>
                <c:pt idx="14">
                  <c:v>109.2</c:v>
                </c:pt>
                <c:pt idx="15">
                  <c:v>109</c:v>
                </c:pt>
                <c:pt idx="16">
                  <c:v>106.4</c:v>
                </c:pt>
                <c:pt idx="17">
                  <c:v>110.3</c:v>
                </c:pt>
                <c:pt idx="18">
                  <c:v>114.2</c:v>
                </c:pt>
                <c:pt idx="19">
                  <c:v>114</c:v>
                </c:pt>
                <c:pt idx="20">
                  <c:v>110.1</c:v>
                </c:pt>
                <c:pt idx="21">
                  <c:v>112.8</c:v>
                </c:pt>
                <c:pt idx="22">
                  <c:v>114.7</c:v>
                </c:pt>
                <c:pt idx="23">
                  <c:v>113.4</c:v>
                </c:pt>
                <c:pt idx="24">
                  <c:v>110.6</c:v>
                </c:pt>
                <c:pt idx="25">
                  <c:v>115.4</c:v>
                </c:pt>
                <c:pt idx="26">
                  <c:v>119.5</c:v>
                </c:pt>
                <c:pt idx="27">
                  <c:v>119.2</c:v>
                </c:pt>
                <c:pt idx="28">
                  <c:v>113.6</c:v>
                </c:pt>
                <c:pt idx="29">
                  <c:v>116.3</c:v>
                </c:pt>
                <c:pt idx="30">
                  <c:v>120.2</c:v>
                </c:pt>
                <c:pt idx="31">
                  <c:v>119.9</c:v>
                </c:pt>
                <c:pt idx="32">
                  <c:v>118</c:v>
                </c:pt>
                <c:pt idx="33">
                  <c:v>123.7</c:v>
                </c:pt>
                <c:pt idx="34">
                  <c:v>128.1</c:v>
                </c:pt>
                <c:pt idx="35">
                  <c:v>127.4</c:v>
                </c:pt>
                <c:pt idx="36">
                  <c:v>122.9</c:v>
                </c:pt>
                <c:pt idx="37">
                  <c:v>129.19999999999999</c:v>
                </c:pt>
                <c:pt idx="38">
                  <c:v>130.80000000000001</c:v>
                </c:pt>
                <c:pt idx="39">
                  <c:v>130.1</c:v>
                </c:pt>
                <c:pt idx="40">
                  <c:v>128.19999999999999</c:v>
                </c:pt>
                <c:pt idx="41">
                  <c:v>132.1</c:v>
                </c:pt>
                <c:pt idx="42">
                  <c:v>136.69999999999999</c:v>
                </c:pt>
                <c:pt idx="43">
                  <c:v>136.4</c:v>
                </c:pt>
                <c:pt idx="44">
                  <c:v>134.80000000000001</c:v>
                </c:pt>
                <c:pt idx="45">
                  <c:v>140.80000000000001</c:v>
                </c:pt>
                <c:pt idx="46">
                  <c:v>144.80000000000001</c:v>
                </c:pt>
                <c:pt idx="47">
                  <c:v>145.4</c:v>
                </c:pt>
                <c:pt idx="48">
                  <c:v>143.1</c:v>
                </c:pt>
                <c:pt idx="49">
                  <c:v>149.69999999999999</c:v>
                </c:pt>
                <c:pt idx="50">
                  <c:v>154.9</c:v>
                </c:pt>
                <c:pt idx="51">
                  <c:v>146.9</c:v>
                </c:pt>
                <c:pt idx="52">
                  <c:v>139.69999999999999</c:v>
                </c:pt>
                <c:pt idx="53">
                  <c:v>146.4</c:v>
                </c:pt>
                <c:pt idx="54">
                  <c:v>153.1</c:v>
                </c:pt>
                <c:pt idx="55">
                  <c:v>154.69999999999999</c:v>
                </c:pt>
                <c:pt idx="56">
                  <c:v>152.5</c:v>
                </c:pt>
                <c:pt idx="57">
                  <c:v>158.9</c:v>
                </c:pt>
                <c:pt idx="58">
                  <c:v>163.6</c:v>
                </c:pt>
                <c:pt idx="59">
                  <c:v>163.5</c:v>
                </c:pt>
                <c:pt idx="60">
                  <c:v>160.5</c:v>
                </c:pt>
                <c:pt idx="61">
                  <c:v>166.3</c:v>
                </c:pt>
                <c:pt idx="62">
                  <c:v>169.4</c:v>
                </c:pt>
                <c:pt idx="63">
                  <c:v>167.7</c:v>
                </c:pt>
                <c:pt idx="64">
                  <c:v>163.19999999999999</c:v>
                </c:pt>
                <c:pt idx="65">
                  <c:v>168</c:v>
                </c:pt>
                <c:pt idx="66">
                  <c:v>173.6</c:v>
                </c:pt>
                <c:pt idx="67">
                  <c:v>171.9</c:v>
                </c:pt>
                <c:pt idx="68">
                  <c:v>167.6</c:v>
                </c:pt>
                <c:pt idx="69">
                  <c:v>174.7</c:v>
                </c:pt>
                <c:pt idx="70">
                  <c:v>178.4</c:v>
                </c:pt>
                <c:pt idx="71">
                  <c:v>176.3</c:v>
                </c:pt>
                <c:pt idx="72">
                  <c:v>173.4</c:v>
                </c:pt>
                <c:pt idx="73">
                  <c:v>174</c:v>
                </c:pt>
                <c:pt idx="74">
                  <c:v>177.3</c:v>
                </c:pt>
                <c:pt idx="75">
                  <c:v>175.9</c:v>
                </c:pt>
                <c:pt idx="76">
                  <c:v>170.6</c:v>
                </c:pt>
                <c:pt idx="77">
                  <c:v>169.2</c:v>
                </c:pt>
                <c:pt idx="78">
                  <c:v>169.7</c:v>
                </c:pt>
                <c:pt idx="79">
                  <c:v>166.2</c:v>
                </c:pt>
                <c:pt idx="80">
                  <c:v>161.9</c:v>
                </c:pt>
                <c:pt idx="81">
                  <c:v>163.80000000000001</c:v>
                </c:pt>
                <c:pt idx="82">
                  <c:v>165.6</c:v>
                </c:pt>
                <c:pt idx="83">
                  <c:v>162.4</c:v>
                </c:pt>
                <c:pt idx="84">
                  <c:v>162.30000000000001</c:v>
                </c:pt>
                <c:pt idx="85">
                  <c:v>165.1</c:v>
                </c:pt>
                <c:pt idx="86">
                  <c:v>168.3</c:v>
                </c:pt>
                <c:pt idx="87">
                  <c:v>166.6</c:v>
                </c:pt>
                <c:pt idx="88">
                  <c:v>165.4</c:v>
                </c:pt>
                <c:pt idx="89">
                  <c:v>167.7</c:v>
                </c:pt>
                <c:pt idx="90">
                  <c:v>171.7</c:v>
                </c:pt>
                <c:pt idx="91">
                  <c:v>169.2</c:v>
                </c:pt>
                <c:pt idx="92">
                  <c:v>167.1</c:v>
                </c:pt>
                <c:pt idx="93">
                  <c:v>169.8</c:v>
                </c:pt>
                <c:pt idx="94">
                  <c:v>173.6</c:v>
                </c:pt>
                <c:pt idx="95">
                  <c:v>171.7</c:v>
                </c:pt>
                <c:pt idx="96">
                  <c:v>166.9</c:v>
                </c:pt>
                <c:pt idx="97">
                  <c:v>151.6</c:v>
                </c:pt>
                <c:pt idx="98">
                  <c:v>167.2</c:v>
                </c:pt>
                <c:pt idx="99">
                  <c:v>170.1</c:v>
                </c:pt>
                <c:pt idx="100">
                  <c:v>169</c:v>
                </c:pt>
                <c:pt idx="101">
                  <c:v>170.3</c:v>
                </c:pt>
                <c:pt idx="102">
                  <c:v>173.9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CC-489D-B2CD-D0A9D26D99F8}"/>
            </c:ext>
          </c:extLst>
        </c:ser>
        <c:ser>
          <c:idx val="1"/>
          <c:order val="1"/>
          <c:tx>
            <c:v>xlDESSAZ SA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'Quarterly - GDP'!$A$3:$A$105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'Quarterly - GDP'!$E$3:$E$105</c:f>
              <c:numCache>
                <c:formatCode>0.0</c:formatCode>
                <c:ptCount val="103"/>
                <c:pt idx="0">
                  <c:v>99.5</c:v>
                </c:pt>
                <c:pt idx="1">
                  <c:v>100.4</c:v>
                </c:pt>
                <c:pt idx="2">
                  <c:v>104.4</c:v>
                </c:pt>
                <c:pt idx="3">
                  <c:v>103.3</c:v>
                </c:pt>
                <c:pt idx="4">
                  <c:v>104.3</c:v>
                </c:pt>
                <c:pt idx="5">
                  <c:v>105</c:v>
                </c:pt>
                <c:pt idx="6">
                  <c:v>106.3</c:v>
                </c:pt>
                <c:pt idx="7">
                  <c:v>107.1</c:v>
                </c:pt>
                <c:pt idx="8">
                  <c:v>105.1</c:v>
                </c:pt>
                <c:pt idx="9">
                  <c:v>106.8</c:v>
                </c:pt>
                <c:pt idx="10">
                  <c:v>106.9</c:v>
                </c:pt>
                <c:pt idx="11">
                  <c:v>105.6</c:v>
                </c:pt>
                <c:pt idx="12">
                  <c:v>105.9</c:v>
                </c:pt>
                <c:pt idx="13">
                  <c:v>106.1</c:v>
                </c:pt>
                <c:pt idx="14">
                  <c:v>106.4</c:v>
                </c:pt>
                <c:pt idx="15">
                  <c:v>107.9</c:v>
                </c:pt>
                <c:pt idx="16">
                  <c:v>109</c:v>
                </c:pt>
                <c:pt idx="17">
                  <c:v>110.6</c:v>
                </c:pt>
                <c:pt idx="18">
                  <c:v>111.8</c:v>
                </c:pt>
                <c:pt idx="19">
                  <c:v>113.2</c:v>
                </c:pt>
                <c:pt idx="20">
                  <c:v>113.6</c:v>
                </c:pt>
                <c:pt idx="21">
                  <c:v>113</c:v>
                </c:pt>
                <c:pt idx="22">
                  <c:v>112.5</c:v>
                </c:pt>
                <c:pt idx="23">
                  <c:v>112.2</c:v>
                </c:pt>
                <c:pt idx="24">
                  <c:v>114.7</c:v>
                </c:pt>
                <c:pt idx="25">
                  <c:v>115.4</c:v>
                </c:pt>
                <c:pt idx="26">
                  <c:v>116.8</c:v>
                </c:pt>
                <c:pt idx="27">
                  <c:v>118</c:v>
                </c:pt>
                <c:pt idx="28">
                  <c:v>117.5</c:v>
                </c:pt>
                <c:pt idx="29">
                  <c:v>116.4</c:v>
                </c:pt>
                <c:pt idx="30">
                  <c:v>117.5</c:v>
                </c:pt>
                <c:pt idx="31">
                  <c:v>118.8</c:v>
                </c:pt>
                <c:pt idx="32">
                  <c:v>120.5</c:v>
                </c:pt>
                <c:pt idx="33">
                  <c:v>123.8</c:v>
                </c:pt>
                <c:pt idx="34">
                  <c:v>125.3</c:v>
                </c:pt>
                <c:pt idx="35">
                  <c:v>126.3</c:v>
                </c:pt>
                <c:pt idx="36">
                  <c:v>127.2</c:v>
                </c:pt>
                <c:pt idx="37">
                  <c:v>129</c:v>
                </c:pt>
                <c:pt idx="38">
                  <c:v>128</c:v>
                </c:pt>
                <c:pt idx="39">
                  <c:v>129.6</c:v>
                </c:pt>
                <c:pt idx="40">
                  <c:v>131.80000000000001</c:v>
                </c:pt>
                <c:pt idx="41">
                  <c:v>132.1</c:v>
                </c:pt>
                <c:pt idx="42">
                  <c:v>134.30000000000001</c:v>
                </c:pt>
                <c:pt idx="43">
                  <c:v>135.9</c:v>
                </c:pt>
                <c:pt idx="44">
                  <c:v>138.6</c:v>
                </c:pt>
                <c:pt idx="45">
                  <c:v>140.80000000000001</c:v>
                </c:pt>
                <c:pt idx="46">
                  <c:v>142.30000000000001</c:v>
                </c:pt>
                <c:pt idx="47">
                  <c:v>144.4</c:v>
                </c:pt>
                <c:pt idx="48">
                  <c:v>146</c:v>
                </c:pt>
                <c:pt idx="49">
                  <c:v>149.4</c:v>
                </c:pt>
                <c:pt idx="50">
                  <c:v>151.69999999999999</c:v>
                </c:pt>
                <c:pt idx="51">
                  <c:v>145.9</c:v>
                </c:pt>
                <c:pt idx="52">
                  <c:v>143.9</c:v>
                </c:pt>
                <c:pt idx="53">
                  <c:v>146.5</c:v>
                </c:pt>
                <c:pt idx="54">
                  <c:v>149.9</c:v>
                </c:pt>
                <c:pt idx="55">
                  <c:v>153.69999999999999</c:v>
                </c:pt>
                <c:pt idx="56">
                  <c:v>157.19999999999999</c:v>
                </c:pt>
                <c:pt idx="57">
                  <c:v>158.80000000000001</c:v>
                </c:pt>
                <c:pt idx="58">
                  <c:v>160.30000000000001</c:v>
                </c:pt>
                <c:pt idx="59">
                  <c:v>162.5</c:v>
                </c:pt>
                <c:pt idx="60">
                  <c:v>164.9</c:v>
                </c:pt>
                <c:pt idx="61">
                  <c:v>166.5</c:v>
                </c:pt>
                <c:pt idx="62">
                  <c:v>166.1</c:v>
                </c:pt>
                <c:pt idx="63">
                  <c:v>167.5</c:v>
                </c:pt>
                <c:pt idx="64">
                  <c:v>165.3</c:v>
                </c:pt>
                <c:pt idx="65">
                  <c:v>168.2</c:v>
                </c:pt>
                <c:pt idx="66">
                  <c:v>171.1</c:v>
                </c:pt>
                <c:pt idx="67">
                  <c:v>171.1</c:v>
                </c:pt>
                <c:pt idx="68">
                  <c:v>171.8</c:v>
                </c:pt>
                <c:pt idx="69">
                  <c:v>174.7</c:v>
                </c:pt>
                <c:pt idx="70">
                  <c:v>175.3</c:v>
                </c:pt>
                <c:pt idx="71">
                  <c:v>175.5</c:v>
                </c:pt>
                <c:pt idx="72">
                  <c:v>177</c:v>
                </c:pt>
                <c:pt idx="73">
                  <c:v>174.4</c:v>
                </c:pt>
                <c:pt idx="74">
                  <c:v>174.4</c:v>
                </c:pt>
                <c:pt idx="75">
                  <c:v>175.2</c:v>
                </c:pt>
                <c:pt idx="76">
                  <c:v>174</c:v>
                </c:pt>
                <c:pt idx="77">
                  <c:v>169.5</c:v>
                </c:pt>
                <c:pt idx="78">
                  <c:v>167</c:v>
                </c:pt>
                <c:pt idx="79">
                  <c:v>165.7</c:v>
                </c:pt>
                <c:pt idx="80">
                  <c:v>163.1</c:v>
                </c:pt>
                <c:pt idx="81">
                  <c:v>164</c:v>
                </c:pt>
                <c:pt idx="82">
                  <c:v>163</c:v>
                </c:pt>
                <c:pt idx="83">
                  <c:v>162.6</c:v>
                </c:pt>
                <c:pt idx="84">
                  <c:v>164.4</c:v>
                </c:pt>
                <c:pt idx="85">
                  <c:v>165.7</c:v>
                </c:pt>
                <c:pt idx="86">
                  <c:v>166.2</c:v>
                </c:pt>
                <c:pt idx="87">
                  <c:v>166.9</c:v>
                </c:pt>
                <c:pt idx="88">
                  <c:v>167.8</c:v>
                </c:pt>
                <c:pt idx="89">
                  <c:v>168.1</c:v>
                </c:pt>
                <c:pt idx="90">
                  <c:v>169.5</c:v>
                </c:pt>
                <c:pt idx="91">
                  <c:v>168.9</c:v>
                </c:pt>
                <c:pt idx="92">
                  <c:v>169.8</c:v>
                </c:pt>
                <c:pt idx="93">
                  <c:v>170.7</c:v>
                </c:pt>
                <c:pt idx="94">
                  <c:v>170.7</c:v>
                </c:pt>
                <c:pt idx="95">
                  <c:v>171.3</c:v>
                </c:pt>
                <c:pt idx="96">
                  <c:v>167.4</c:v>
                </c:pt>
                <c:pt idx="97">
                  <c:v>152.5</c:v>
                </c:pt>
                <c:pt idx="98">
                  <c:v>164.4</c:v>
                </c:pt>
                <c:pt idx="99">
                  <c:v>169.6</c:v>
                </c:pt>
                <c:pt idx="100">
                  <c:v>171.8</c:v>
                </c:pt>
                <c:pt idx="101">
                  <c:v>171.2</c:v>
                </c:pt>
                <c:pt idx="102">
                  <c:v>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CC-489D-B2CD-D0A9D26D9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Difference of 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'Quarterly - GDP'!$L$2</c:f>
              <c:strCache>
                <c:ptCount val="1"/>
                <c:pt idx="0">
                  <c:v>Diff of SAs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'Quarterly - GDP'!$A$3:$A$105</c:f>
              <c:numCache>
                <c:formatCode>[$-416]mmm\-yy;@</c:formatCode>
                <c:ptCount val="103"/>
                <c:pt idx="0">
                  <c:v>35065</c:v>
                </c:pt>
                <c:pt idx="1">
                  <c:v>35156</c:v>
                </c:pt>
                <c:pt idx="2">
                  <c:v>35247</c:v>
                </c:pt>
                <c:pt idx="3">
                  <c:v>35339</c:v>
                </c:pt>
                <c:pt idx="4">
                  <c:v>35431</c:v>
                </c:pt>
                <c:pt idx="5">
                  <c:v>35521</c:v>
                </c:pt>
                <c:pt idx="6">
                  <c:v>35612</c:v>
                </c:pt>
                <c:pt idx="7">
                  <c:v>35704</c:v>
                </c:pt>
                <c:pt idx="8">
                  <c:v>35796</c:v>
                </c:pt>
                <c:pt idx="9">
                  <c:v>35886</c:v>
                </c:pt>
                <c:pt idx="10">
                  <c:v>35977</c:v>
                </c:pt>
                <c:pt idx="11">
                  <c:v>36069</c:v>
                </c:pt>
                <c:pt idx="12">
                  <c:v>36161</c:v>
                </c:pt>
                <c:pt idx="13">
                  <c:v>36251</c:v>
                </c:pt>
                <c:pt idx="14">
                  <c:v>36342</c:v>
                </c:pt>
                <c:pt idx="15">
                  <c:v>36434</c:v>
                </c:pt>
                <c:pt idx="16">
                  <c:v>36526</c:v>
                </c:pt>
                <c:pt idx="17">
                  <c:v>36617</c:v>
                </c:pt>
                <c:pt idx="18">
                  <c:v>36708</c:v>
                </c:pt>
                <c:pt idx="19">
                  <c:v>36800</c:v>
                </c:pt>
                <c:pt idx="20">
                  <c:v>36892</c:v>
                </c:pt>
                <c:pt idx="21">
                  <c:v>36982</c:v>
                </c:pt>
                <c:pt idx="22">
                  <c:v>37073</c:v>
                </c:pt>
                <c:pt idx="23">
                  <c:v>37165</c:v>
                </c:pt>
                <c:pt idx="24">
                  <c:v>37257</c:v>
                </c:pt>
                <c:pt idx="25">
                  <c:v>37347</c:v>
                </c:pt>
                <c:pt idx="26">
                  <c:v>37438</c:v>
                </c:pt>
                <c:pt idx="27">
                  <c:v>37530</c:v>
                </c:pt>
                <c:pt idx="28">
                  <c:v>37622</c:v>
                </c:pt>
                <c:pt idx="29">
                  <c:v>37712</c:v>
                </c:pt>
                <c:pt idx="30">
                  <c:v>37803</c:v>
                </c:pt>
                <c:pt idx="31">
                  <c:v>37895</c:v>
                </c:pt>
                <c:pt idx="32">
                  <c:v>37987</c:v>
                </c:pt>
                <c:pt idx="33">
                  <c:v>38078</c:v>
                </c:pt>
                <c:pt idx="34">
                  <c:v>38169</c:v>
                </c:pt>
                <c:pt idx="35">
                  <c:v>38261</c:v>
                </c:pt>
                <c:pt idx="36">
                  <c:v>38353</c:v>
                </c:pt>
                <c:pt idx="37">
                  <c:v>38443</c:v>
                </c:pt>
                <c:pt idx="38">
                  <c:v>38534</c:v>
                </c:pt>
                <c:pt idx="39">
                  <c:v>38626</c:v>
                </c:pt>
                <c:pt idx="40">
                  <c:v>38718</c:v>
                </c:pt>
                <c:pt idx="41">
                  <c:v>38808</c:v>
                </c:pt>
                <c:pt idx="42">
                  <c:v>38899</c:v>
                </c:pt>
                <c:pt idx="43">
                  <c:v>38991</c:v>
                </c:pt>
                <c:pt idx="44">
                  <c:v>39083</c:v>
                </c:pt>
                <c:pt idx="45">
                  <c:v>39173</c:v>
                </c:pt>
                <c:pt idx="46">
                  <c:v>39264</c:v>
                </c:pt>
                <c:pt idx="47">
                  <c:v>39356</c:v>
                </c:pt>
                <c:pt idx="48">
                  <c:v>39448</c:v>
                </c:pt>
                <c:pt idx="49">
                  <c:v>39539</c:v>
                </c:pt>
                <c:pt idx="50">
                  <c:v>39630</c:v>
                </c:pt>
                <c:pt idx="51">
                  <c:v>39722</c:v>
                </c:pt>
                <c:pt idx="52">
                  <c:v>39814</c:v>
                </c:pt>
                <c:pt idx="53">
                  <c:v>39904</c:v>
                </c:pt>
                <c:pt idx="54">
                  <c:v>39995</c:v>
                </c:pt>
                <c:pt idx="55">
                  <c:v>40087</c:v>
                </c:pt>
                <c:pt idx="56">
                  <c:v>40179</c:v>
                </c:pt>
                <c:pt idx="57">
                  <c:v>40269</c:v>
                </c:pt>
                <c:pt idx="58">
                  <c:v>40360</c:v>
                </c:pt>
                <c:pt idx="59">
                  <c:v>40452</c:v>
                </c:pt>
                <c:pt idx="60">
                  <c:v>40544</c:v>
                </c:pt>
                <c:pt idx="61">
                  <c:v>40634</c:v>
                </c:pt>
                <c:pt idx="62">
                  <c:v>40725</c:v>
                </c:pt>
                <c:pt idx="63">
                  <c:v>40817</c:v>
                </c:pt>
                <c:pt idx="64">
                  <c:v>40909</c:v>
                </c:pt>
                <c:pt idx="65">
                  <c:v>41000</c:v>
                </c:pt>
                <c:pt idx="66">
                  <c:v>41091</c:v>
                </c:pt>
                <c:pt idx="67">
                  <c:v>41183</c:v>
                </c:pt>
                <c:pt idx="68">
                  <c:v>41275</c:v>
                </c:pt>
                <c:pt idx="69">
                  <c:v>41365</c:v>
                </c:pt>
                <c:pt idx="70">
                  <c:v>41456</c:v>
                </c:pt>
                <c:pt idx="71">
                  <c:v>41548</c:v>
                </c:pt>
                <c:pt idx="72">
                  <c:v>41640</c:v>
                </c:pt>
                <c:pt idx="73">
                  <c:v>41730</c:v>
                </c:pt>
                <c:pt idx="74">
                  <c:v>41821</c:v>
                </c:pt>
                <c:pt idx="75">
                  <c:v>41913</c:v>
                </c:pt>
                <c:pt idx="76">
                  <c:v>42005</c:v>
                </c:pt>
                <c:pt idx="77">
                  <c:v>42095</c:v>
                </c:pt>
                <c:pt idx="78">
                  <c:v>42186</c:v>
                </c:pt>
                <c:pt idx="79">
                  <c:v>42278</c:v>
                </c:pt>
                <c:pt idx="80">
                  <c:v>42370</c:v>
                </c:pt>
                <c:pt idx="81">
                  <c:v>42461</c:v>
                </c:pt>
                <c:pt idx="82">
                  <c:v>42552</c:v>
                </c:pt>
                <c:pt idx="83">
                  <c:v>42644</c:v>
                </c:pt>
                <c:pt idx="84">
                  <c:v>42736</c:v>
                </c:pt>
                <c:pt idx="85">
                  <c:v>42826</c:v>
                </c:pt>
                <c:pt idx="86">
                  <c:v>42917</c:v>
                </c:pt>
                <c:pt idx="87">
                  <c:v>43009</c:v>
                </c:pt>
                <c:pt idx="88">
                  <c:v>43101</c:v>
                </c:pt>
                <c:pt idx="89">
                  <c:v>43191</c:v>
                </c:pt>
                <c:pt idx="90">
                  <c:v>43282</c:v>
                </c:pt>
                <c:pt idx="91">
                  <c:v>43374</c:v>
                </c:pt>
                <c:pt idx="92">
                  <c:v>43466</c:v>
                </c:pt>
                <c:pt idx="93">
                  <c:v>43556</c:v>
                </c:pt>
                <c:pt idx="94">
                  <c:v>43647</c:v>
                </c:pt>
                <c:pt idx="95">
                  <c:v>43739</c:v>
                </c:pt>
                <c:pt idx="96">
                  <c:v>43831</c:v>
                </c:pt>
                <c:pt idx="97">
                  <c:v>43922</c:v>
                </c:pt>
                <c:pt idx="98">
                  <c:v>44013</c:v>
                </c:pt>
                <c:pt idx="99">
                  <c:v>44105</c:v>
                </c:pt>
                <c:pt idx="100">
                  <c:v>44197</c:v>
                </c:pt>
                <c:pt idx="101">
                  <c:v>44287</c:v>
                </c:pt>
                <c:pt idx="102">
                  <c:v>44378</c:v>
                </c:pt>
              </c:numCache>
            </c:numRef>
          </c:cat>
          <c:val>
            <c:numRef>
              <c:f>'Quarterly - GDP'!$L$3:$L$105</c:f>
              <c:numCache>
                <c:formatCode>0.0%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-9.416195856874626E-4</c:v>
                </c:pt>
                <c:pt idx="14">
                  <c:v>0</c:v>
                </c:pt>
                <c:pt idx="15">
                  <c:v>9.2764378478672109E-4</c:v>
                </c:pt>
                <c:pt idx="16">
                  <c:v>0</c:v>
                </c:pt>
                <c:pt idx="17">
                  <c:v>9.049773755655594E-4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-8.8417329796635117E-4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-8.5836909871239752E-4</c:v>
                </c:pt>
                <c:pt idx="30">
                  <c:v>-8.5034013605437349E-4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7.0323488045023026E-4</c:v>
                </c:pt>
                <c:pt idx="47">
                  <c:v>0</c:v>
                </c:pt>
                <c:pt idx="48">
                  <c:v>-6.8446269678298639E-4</c:v>
                </c:pt>
                <c:pt idx="49">
                  <c:v>0</c:v>
                </c:pt>
                <c:pt idx="50">
                  <c:v>6.5963060686012088E-4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6.3011972274746534E-4</c:v>
                </c:pt>
                <c:pt idx="58">
                  <c:v>-6.2344139650869271E-4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-5.6465273856574991E-4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-5.7438253877078874E-4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6.1349693251530255E-4</c:v>
                </c:pt>
                <c:pt idx="81">
                  <c:v>0</c:v>
                </c:pt>
                <c:pt idx="82">
                  <c:v>6.1387354205030267E-4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-6.5530799475749886E-4</c:v>
                </c:pt>
                <c:pt idx="98">
                  <c:v>0</c:v>
                </c:pt>
                <c:pt idx="99">
                  <c:v>5.8997050147489274E-4</c:v>
                </c:pt>
                <c:pt idx="100">
                  <c:v>0</c:v>
                </c:pt>
                <c:pt idx="101">
                  <c:v>0</c:v>
                </c:pt>
                <c:pt idx="102">
                  <c:v>-5.8445353594385925E-4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67-4DAC-9557-C90ACB7F7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80837056"/>
        <c:axId val="780837888"/>
      </c:bar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Brazil GDP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'Matrix Results'!$E$2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'Matrix Results'!$A$4:$A$110</c15:sqref>
                  </c15:fullRef>
                </c:ext>
              </c:extLst>
              <c:f>'Matrix Results'!$A$94:$A$110</c:f>
              <c:numCache>
                <c:formatCode>[$-416]mmm\-yy;@</c:formatCode>
                <c:ptCount val="17"/>
                <c:pt idx="0">
                  <c:v>43282</c:v>
                </c:pt>
                <c:pt idx="1">
                  <c:v>43374</c:v>
                </c:pt>
                <c:pt idx="2">
                  <c:v>43466</c:v>
                </c:pt>
                <c:pt idx="3">
                  <c:v>43556</c:v>
                </c:pt>
                <c:pt idx="4">
                  <c:v>43647</c:v>
                </c:pt>
                <c:pt idx="5">
                  <c:v>43739</c:v>
                </c:pt>
                <c:pt idx="6">
                  <c:v>43831</c:v>
                </c:pt>
                <c:pt idx="7">
                  <c:v>43922</c:v>
                </c:pt>
                <c:pt idx="8">
                  <c:v>44013</c:v>
                </c:pt>
                <c:pt idx="9">
                  <c:v>44105</c:v>
                </c:pt>
                <c:pt idx="10">
                  <c:v>44197</c:v>
                </c:pt>
                <c:pt idx="11">
                  <c:v>44287</c:v>
                </c:pt>
                <c:pt idx="12">
                  <c:v>44378</c:v>
                </c:pt>
                <c:pt idx="13">
                  <c:v>44470</c:v>
                </c:pt>
                <c:pt idx="14">
                  <c:v>44562</c:v>
                </c:pt>
                <c:pt idx="15">
                  <c:v>44652</c:v>
                </c:pt>
                <c:pt idx="16">
                  <c:v>44743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'Matrix Results'!$E$4:$E$110</c15:sqref>
                  </c15:fullRef>
                </c:ext>
              </c:extLst>
              <c:f>'Matrix Results'!$E$94:$E$110</c:f>
              <c:numCache>
                <c:formatCode>0.0</c:formatCode>
                <c:ptCount val="17"/>
                <c:pt idx="0">
                  <c:v>171.7</c:v>
                </c:pt>
                <c:pt idx="1">
                  <c:v>169.2</c:v>
                </c:pt>
                <c:pt idx="2">
                  <c:v>167.1</c:v>
                </c:pt>
                <c:pt idx="3">
                  <c:v>169.8</c:v>
                </c:pt>
                <c:pt idx="4">
                  <c:v>173.6</c:v>
                </c:pt>
                <c:pt idx="5">
                  <c:v>171.7</c:v>
                </c:pt>
                <c:pt idx="6">
                  <c:v>166.9</c:v>
                </c:pt>
                <c:pt idx="7">
                  <c:v>151.6</c:v>
                </c:pt>
                <c:pt idx="8">
                  <c:v>167.2</c:v>
                </c:pt>
                <c:pt idx="9">
                  <c:v>170.1</c:v>
                </c:pt>
                <c:pt idx="10">
                  <c:v>169</c:v>
                </c:pt>
                <c:pt idx="11">
                  <c:v>170.3</c:v>
                </c:pt>
                <c:pt idx="12">
                  <c:v>173.9</c:v>
                </c:pt>
                <c:pt idx="13" formatCode="General">
                  <c:v>172</c:v>
                </c:pt>
                <c:pt idx="14" formatCode="General">
                  <c:v>168.9</c:v>
                </c:pt>
                <c:pt idx="15" formatCode="General">
                  <c:v>170.4</c:v>
                </c:pt>
                <c:pt idx="16" formatCode="General">
                  <c:v>174.5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1E-4EF3-92E3-18F7055971B4}"/>
            </c:ext>
          </c:extLst>
        </c:ser>
        <c:ser>
          <c:idx val="0"/>
          <c:order val="1"/>
          <c:tx>
            <c:strRef>
              <c:f>'Matrix Results'!$B$2</c:f>
              <c:strCache>
                <c:ptCount val="1"/>
                <c:pt idx="0">
                  <c:v>BR GDP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'Matrix Results'!$A$4:$A$110</c15:sqref>
                  </c15:fullRef>
                </c:ext>
              </c:extLst>
              <c:f>'Matrix Results'!$A$94:$A$110</c:f>
              <c:numCache>
                <c:formatCode>[$-416]mmm\-yy;@</c:formatCode>
                <c:ptCount val="17"/>
                <c:pt idx="0">
                  <c:v>43282</c:v>
                </c:pt>
                <c:pt idx="1">
                  <c:v>43374</c:v>
                </c:pt>
                <c:pt idx="2">
                  <c:v>43466</c:v>
                </c:pt>
                <c:pt idx="3">
                  <c:v>43556</c:v>
                </c:pt>
                <c:pt idx="4">
                  <c:v>43647</c:v>
                </c:pt>
                <c:pt idx="5">
                  <c:v>43739</c:v>
                </c:pt>
                <c:pt idx="6">
                  <c:v>43831</c:v>
                </c:pt>
                <c:pt idx="7">
                  <c:v>43922</c:v>
                </c:pt>
                <c:pt idx="8">
                  <c:v>44013</c:v>
                </c:pt>
                <c:pt idx="9">
                  <c:v>44105</c:v>
                </c:pt>
                <c:pt idx="10">
                  <c:v>44197</c:v>
                </c:pt>
                <c:pt idx="11">
                  <c:v>44287</c:v>
                </c:pt>
                <c:pt idx="12">
                  <c:v>44378</c:v>
                </c:pt>
                <c:pt idx="13">
                  <c:v>44470</c:v>
                </c:pt>
                <c:pt idx="14">
                  <c:v>44562</c:v>
                </c:pt>
                <c:pt idx="15">
                  <c:v>44652</c:v>
                </c:pt>
                <c:pt idx="16">
                  <c:v>44743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'Matrix Results'!$B$4:$B$110</c15:sqref>
                  </c15:fullRef>
                </c:ext>
              </c:extLst>
              <c:f>'Matrix Results'!$B$94:$B$110</c:f>
              <c:numCache>
                <c:formatCode>General</c:formatCode>
                <c:ptCount val="17"/>
                <c:pt idx="0">
                  <c:v>171.7</c:v>
                </c:pt>
                <c:pt idx="1">
                  <c:v>169.2</c:v>
                </c:pt>
                <c:pt idx="2">
                  <c:v>167.1</c:v>
                </c:pt>
                <c:pt idx="3">
                  <c:v>169.8</c:v>
                </c:pt>
                <c:pt idx="4">
                  <c:v>173.6</c:v>
                </c:pt>
                <c:pt idx="5">
                  <c:v>171.7</c:v>
                </c:pt>
                <c:pt idx="6">
                  <c:v>166.9</c:v>
                </c:pt>
                <c:pt idx="7">
                  <c:v>151.6</c:v>
                </c:pt>
                <c:pt idx="8">
                  <c:v>167.2</c:v>
                </c:pt>
                <c:pt idx="9">
                  <c:v>170.1</c:v>
                </c:pt>
                <c:pt idx="10">
                  <c:v>169</c:v>
                </c:pt>
                <c:pt idx="11">
                  <c:v>170.3</c:v>
                </c:pt>
                <c:pt idx="12">
                  <c:v>173.9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1E-4EF3-92E3-18F705597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837056"/>
        <c:axId val="780837888"/>
      </c:lineChart>
      <c:dateAx>
        <c:axId val="780837056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888"/>
        <c:crosses val="autoZero"/>
        <c:auto val="1"/>
        <c:lblOffset val="100"/>
        <c:baseTimeUnit val="months"/>
      </c:dateAx>
      <c:valAx>
        <c:axId val="780837888"/>
        <c:scaling>
          <c:orientation val="minMax"/>
          <c:min val="1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083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30</xdr:row>
      <xdr:rowOff>95249</xdr:rowOff>
    </xdr:from>
    <xdr:to>
      <xdr:col>10</xdr:col>
      <xdr:colOff>595916</xdr:colOff>
      <xdr:row>30</xdr:row>
      <xdr:rowOff>1238474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273145A2-FA4E-4348-9F35-5D292AB3EFB9}"/>
            </a:ext>
          </a:extLst>
        </xdr:cNvPr>
        <xdr:cNvGrpSpPr/>
      </xdr:nvGrpSpPr>
      <xdr:grpSpPr>
        <a:xfrm>
          <a:off x="952500" y="5581649"/>
          <a:ext cx="5987066" cy="1143225"/>
          <a:chOff x="161925" y="3752849"/>
          <a:chExt cx="5310791" cy="1143225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C28B74AE-FC85-44C1-9B05-91E75AE1A8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57176" y="3752849"/>
            <a:ext cx="5215540" cy="1143225"/>
          </a:xfrm>
          <a:prstGeom prst="rect">
            <a:avLst/>
          </a:prstGeom>
        </xdr:spPr>
      </xdr:pic>
      <xdr:sp macro="" textlink="">
        <xdr:nvSpPr>
          <xdr:cNvPr id="4" name="Elipse 3">
            <a:extLst>
              <a:ext uri="{FF2B5EF4-FFF2-40B4-BE49-F238E27FC236}">
                <a16:creationId xmlns:a16="http://schemas.microsoft.com/office/drawing/2014/main" id="{C41A036C-1726-488A-BA70-C1654DF86E2A}"/>
              </a:ext>
            </a:extLst>
          </xdr:cNvPr>
          <xdr:cNvSpPr/>
        </xdr:nvSpPr>
        <xdr:spPr>
          <a:xfrm>
            <a:off x="161925" y="4086225"/>
            <a:ext cx="657225" cy="742950"/>
          </a:xfrm>
          <a:prstGeom prst="ellipse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</xdr:col>
      <xdr:colOff>71871</xdr:colOff>
      <xdr:row>33</xdr:row>
      <xdr:rowOff>95250</xdr:rowOff>
    </xdr:from>
    <xdr:to>
      <xdr:col>4</xdr:col>
      <xdr:colOff>324297</xdr:colOff>
      <xdr:row>34</xdr:row>
      <xdr:rowOff>57764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657D6826-E262-4071-AA00-C7E4E503C8FF}"/>
            </a:ext>
          </a:extLst>
        </xdr:cNvPr>
        <xdr:cNvGrpSpPr/>
      </xdr:nvGrpSpPr>
      <xdr:grpSpPr>
        <a:xfrm>
          <a:off x="862446" y="7381875"/>
          <a:ext cx="2147901" cy="2953364"/>
          <a:chOff x="862446" y="6238875"/>
          <a:chExt cx="2147901" cy="2953364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0EED111D-1C4D-4BC5-BBA9-0453C774FE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62446" y="6238875"/>
            <a:ext cx="2147901" cy="2953364"/>
          </a:xfrm>
          <a:prstGeom prst="rect">
            <a:avLst/>
          </a:prstGeom>
        </xdr:spPr>
      </xdr:pic>
      <xdr:sp macro="" textlink="">
        <xdr:nvSpPr>
          <xdr:cNvPr id="8" name="Elipse 7">
            <a:extLst>
              <a:ext uri="{FF2B5EF4-FFF2-40B4-BE49-F238E27FC236}">
                <a16:creationId xmlns:a16="http://schemas.microsoft.com/office/drawing/2014/main" id="{0CF5A854-42BC-4C51-B24C-E2E6FECD0881}"/>
              </a:ext>
            </a:extLst>
          </xdr:cNvPr>
          <xdr:cNvSpPr/>
        </xdr:nvSpPr>
        <xdr:spPr>
          <a:xfrm>
            <a:off x="984941" y="8886825"/>
            <a:ext cx="1424884" cy="295275"/>
          </a:xfrm>
          <a:prstGeom prst="ellipse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2</xdr:col>
      <xdr:colOff>19050</xdr:colOff>
      <xdr:row>36</xdr:row>
      <xdr:rowOff>38100</xdr:rowOff>
    </xdr:from>
    <xdr:to>
      <xdr:col>12</xdr:col>
      <xdr:colOff>343976</xdr:colOff>
      <xdr:row>36</xdr:row>
      <xdr:rowOff>2067208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947267CA-E5F3-46B6-B160-E17CB278E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625" y="10687050"/>
          <a:ext cx="7706801" cy="20291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419101</xdr:colOff>
      <xdr:row>7</xdr:row>
      <xdr:rowOff>142875</xdr:rowOff>
    </xdr:from>
    <xdr:to>
      <xdr:col>22</xdr:col>
      <xdr:colOff>266700</xdr:colOff>
      <xdr:row>24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B115FB-C8C9-4E5E-8E3A-F9919E6D46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419100</xdr:colOff>
      <xdr:row>24</xdr:row>
      <xdr:rowOff>152400</xdr:rowOff>
    </xdr:from>
    <xdr:to>
      <xdr:col>22</xdr:col>
      <xdr:colOff>266699</xdr:colOff>
      <xdr:row>41</xdr:row>
      <xdr:rowOff>19050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7F507E-F786-491F-AD7C-E4B39449B3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419100</xdr:colOff>
      <xdr:row>41</xdr:row>
      <xdr:rowOff>152400</xdr:rowOff>
    </xdr:from>
    <xdr:to>
      <xdr:col>22</xdr:col>
      <xdr:colOff>342900</xdr:colOff>
      <xdr:row>57</xdr:row>
      <xdr:rowOff>4762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2C0123-32AD-4D28-996D-A79C39E7A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99392</xdr:colOff>
      <xdr:row>0</xdr:row>
      <xdr:rowOff>66263</xdr:rowOff>
    </xdr:from>
    <xdr:to>
      <xdr:col>20</xdr:col>
      <xdr:colOff>0</xdr:colOff>
      <xdr:row>11</xdr:row>
      <xdr:rowOff>16565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02F227-55FB-48FA-B936-18C9589D0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91109</xdr:colOff>
      <xdr:row>11</xdr:row>
      <xdr:rowOff>57978</xdr:rowOff>
    </xdr:from>
    <xdr:to>
      <xdr:col>19</xdr:col>
      <xdr:colOff>604630</xdr:colOff>
      <xdr:row>21</xdr:row>
      <xdr:rowOff>99391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ECCE835-75C9-481B-8985-7CA533E8A0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91108</xdr:colOff>
      <xdr:row>21</xdr:row>
      <xdr:rowOff>149088</xdr:rowOff>
    </xdr:from>
    <xdr:to>
      <xdr:col>19</xdr:col>
      <xdr:colOff>604629</xdr:colOff>
      <xdr:row>32</xdr:row>
      <xdr:rowOff>99391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CA36E36-841C-4136-960F-49B363A02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480390</xdr:colOff>
      <xdr:row>22</xdr:row>
      <xdr:rowOff>28161</xdr:rowOff>
    </xdr:from>
    <xdr:to>
      <xdr:col>30</xdr:col>
      <xdr:colOff>149086</xdr:colOff>
      <xdr:row>41</xdr:row>
      <xdr:rowOff>41412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8A6FE1F4-601B-4762-B44D-DDFD3013D9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99392</xdr:colOff>
      <xdr:row>0</xdr:row>
      <xdr:rowOff>66263</xdr:rowOff>
    </xdr:from>
    <xdr:to>
      <xdr:col>20</xdr:col>
      <xdr:colOff>0</xdr:colOff>
      <xdr:row>11</xdr:row>
      <xdr:rowOff>16565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987CA5B-A55D-4271-B585-1685F813F7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91109</xdr:colOff>
      <xdr:row>11</xdr:row>
      <xdr:rowOff>57978</xdr:rowOff>
    </xdr:from>
    <xdr:to>
      <xdr:col>19</xdr:col>
      <xdr:colOff>604630</xdr:colOff>
      <xdr:row>21</xdr:row>
      <xdr:rowOff>99391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243891A-5245-4522-B8CD-1298715B44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91108</xdr:colOff>
      <xdr:row>21</xdr:row>
      <xdr:rowOff>149088</xdr:rowOff>
    </xdr:from>
    <xdr:to>
      <xdr:col>19</xdr:col>
      <xdr:colOff>604629</xdr:colOff>
      <xdr:row>32</xdr:row>
      <xdr:rowOff>99391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B8BF32A-F817-4D85-94C9-EBD39EC68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480390</xdr:colOff>
      <xdr:row>22</xdr:row>
      <xdr:rowOff>28161</xdr:rowOff>
    </xdr:from>
    <xdr:to>
      <xdr:col>30</xdr:col>
      <xdr:colOff>149086</xdr:colOff>
      <xdr:row>41</xdr:row>
      <xdr:rowOff>41412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684D7C1-E131-41E3-87A2-58434D88F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99392</xdr:colOff>
      <xdr:row>0</xdr:row>
      <xdr:rowOff>66263</xdr:rowOff>
    </xdr:from>
    <xdr:to>
      <xdr:col>20</xdr:col>
      <xdr:colOff>0</xdr:colOff>
      <xdr:row>11</xdr:row>
      <xdr:rowOff>16565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08D176-276A-489F-9811-2BD6DB8E1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91109</xdr:colOff>
      <xdr:row>11</xdr:row>
      <xdr:rowOff>57978</xdr:rowOff>
    </xdr:from>
    <xdr:to>
      <xdr:col>19</xdr:col>
      <xdr:colOff>604630</xdr:colOff>
      <xdr:row>21</xdr:row>
      <xdr:rowOff>99391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F9939D3-AB4B-453B-ADD8-7634F5C75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91108</xdr:colOff>
      <xdr:row>21</xdr:row>
      <xdr:rowOff>149088</xdr:rowOff>
    </xdr:from>
    <xdr:to>
      <xdr:col>19</xdr:col>
      <xdr:colOff>604629</xdr:colOff>
      <xdr:row>32</xdr:row>
      <xdr:rowOff>99391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AAF88B-E608-459A-97A0-609B51E40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99392</xdr:colOff>
      <xdr:row>0</xdr:row>
      <xdr:rowOff>66263</xdr:rowOff>
    </xdr:from>
    <xdr:to>
      <xdr:col>20</xdr:col>
      <xdr:colOff>0</xdr:colOff>
      <xdr:row>11</xdr:row>
      <xdr:rowOff>16565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5FFEBC9-07E1-4965-A7B3-D2D7A47C7D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91109</xdr:colOff>
      <xdr:row>11</xdr:row>
      <xdr:rowOff>57978</xdr:rowOff>
    </xdr:from>
    <xdr:to>
      <xdr:col>19</xdr:col>
      <xdr:colOff>604630</xdr:colOff>
      <xdr:row>21</xdr:row>
      <xdr:rowOff>99391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76EE239-AABB-48DB-867A-2E3F5BF13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91108</xdr:colOff>
      <xdr:row>21</xdr:row>
      <xdr:rowOff>149088</xdr:rowOff>
    </xdr:from>
    <xdr:to>
      <xdr:col>19</xdr:col>
      <xdr:colOff>604629</xdr:colOff>
      <xdr:row>32</xdr:row>
      <xdr:rowOff>99391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86717B5-CCA2-416B-82FB-E00A5F703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124240</xdr:colOff>
      <xdr:row>0</xdr:row>
      <xdr:rowOff>165653</xdr:rowOff>
    </xdr:from>
    <xdr:to>
      <xdr:col>10</xdr:col>
      <xdr:colOff>563218</xdr:colOff>
      <xdr:row>16</xdr:row>
      <xdr:rowOff>49694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64D52FC-87C8-4660-A8B7-3844C1A6FB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uardo/Google%20Drive/Meus%20Projetos/xlFOCUS/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duardo Amaral" id="{87CF4EBF-8BA3-426F-AB5B-EF77EC28B643}" userId="1bfa2ac83e16c31e" providerId="Windows Live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2-02-06T18:42:12.31" personId="{87CF4EBF-8BA3-426F-AB5B-EF77EC28B643}" id="{FA56785D-205B-4D39-B027-61859D280B54}">
    <text>BCB SGS
Series: 24363 and 24364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" dT="2022-02-06T17:50:44.66" personId="{87CF4EBF-8BA3-426F-AB5B-EF77EC28B643}" id="{3F115306-7DD6-48E4-B0BB-33872E30CB27}">
    <text>IBGE
Tabela 3653
1 Indústria geral
Índice de base fixa sem ajuste sazonal (Base: média de 2012 = 100) (Número-índice): 1 de 1 casas decimais
Índice de base fixa com ajuste sazonal (Base: média de 2012 = 100) (Número-índice): 1 de 1 casas decimais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2" dT="2022-02-06T18:47:00.51" personId="{87CF4EBF-8BA3-426F-AB5B-EF77EC28B643}" id="{4B8A4EB9-4371-491D-A0EA-A6C05E3F22FD}">
    <text>BCB SGS
Households gross disposable national income (deflated by IPCA, 3-months moving average)
Series: 29025 and 29027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support.microsoft.com/en-us/office/enable-or-disable-macros-in-office-files-12b036fd-d140-4e74-b45e-16fed1a7e5c6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support.microsoft.com/en-us/topic/show-the-developer-tab-e1192344-5e56-4d45-931b-e5fd9bea2d45" TargetMode="External"/><Relationship Id="rId1" Type="http://schemas.openxmlformats.org/officeDocument/2006/relationships/hyperlink" Target="https://github.com/edugca/xlDESSAZ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2.census.gov/software/x-13arima-seats/x13as/unix-linux/documentation/docx13as.pdf" TargetMode="External"/><Relationship Id="rId4" Type="http://schemas.openxmlformats.org/officeDocument/2006/relationships/hyperlink" Target="https://www.census.gov/data/software/x13as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B315F-5F82-4B06-9BA3-63B8D50785F7}">
  <sheetPr codeName="Planilha9">
    <tabColor theme="9" tint="0.39997558519241921"/>
  </sheetPr>
  <dimension ref="B2:T66"/>
  <sheetViews>
    <sheetView showGridLines="0" tabSelected="1" workbookViewId="0">
      <selection activeCell="C37" sqref="C37"/>
    </sheetView>
  </sheetViews>
  <sheetFormatPr defaultRowHeight="12.75" x14ac:dyDescent="0.2"/>
  <cols>
    <col min="1" max="1" width="2.7109375" style="30" customWidth="1"/>
    <col min="2" max="2" width="9.140625" style="30" customWidth="1"/>
    <col min="3" max="3" width="19.28515625" style="30" customWidth="1"/>
    <col min="4" max="10" width="9.140625" style="30"/>
    <col min="11" max="17" width="13.7109375" style="30" customWidth="1"/>
    <col min="18" max="16384" width="9.140625" style="30"/>
  </cols>
  <sheetData>
    <row r="2" spans="2:20" ht="18" x14ac:dyDescent="0.25">
      <c r="B2" s="28" t="s">
        <v>56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</row>
    <row r="4" spans="2:20" ht="14.25" x14ac:dyDescent="0.2">
      <c r="B4" s="31" t="s">
        <v>100</v>
      </c>
    </row>
    <row r="5" spans="2:20" ht="15" x14ac:dyDescent="0.25">
      <c r="B5" s="31" t="s">
        <v>40</v>
      </c>
    </row>
    <row r="6" spans="2:20" ht="14.25" x14ac:dyDescent="0.2">
      <c r="B6" s="31" t="s">
        <v>41</v>
      </c>
    </row>
    <row r="8" spans="2:20" x14ac:dyDescent="0.2">
      <c r="B8" s="32" t="s">
        <v>42</v>
      </c>
    </row>
    <row r="9" spans="2:20" x14ac:dyDescent="0.2">
      <c r="B9" s="32"/>
    </row>
    <row r="10" spans="2:20" ht="15" x14ac:dyDescent="0.25">
      <c r="B10" s="33" t="s">
        <v>43</v>
      </c>
    </row>
    <row r="11" spans="2:20" ht="15" x14ac:dyDescent="0.25">
      <c r="B11" s="34" t="s">
        <v>57</v>
      </c>
    </row>
    <row r="12" spans="2:20" x14ac:dyDescent="0.2">
      <c r="B12" s="32"/>
    </row>
    <row r="13" spans="2:20" ht="15" x14ac:dyDescent="0.25">
      <c r="B13" s="33" t="s">
        <v>44</v>
      </c>
    </row>
    <row r="14" spans="2:20" ht="15" x14ac:dyDescent="0.25">
      <c r="B14" s="33" t="s">
        <v>58</v>
      </c>
    </row>
    <row r="15" spans="2:20" ht="15" x14ac:dyDescent="0.25">
      <c r="B15" s="33"/>
      <c r="C15" s="35" t="s">
        <v>50</v>
      </c>
    </row>
    <row r="16" spans="2:20" ht="15" x14ac:dyDescent="0.25">
      <c r="B16" s="33" t="s">
        <v>62</v>
      </c>
    </row>
    <row r="17" spans="2:4" ht="15" x14ac:dyDescent="0.25">
      <c r="B17" s="34" t="s">
        <v>61</v>
      </c>
      <c r="C17" s="32"/>
      <c r="D17" s="34"/>
    </row>
    <row r="18" spans="2:4" ht="15" x14ac:dyDescent="0.25">
      <c r="B18" s="34"/>
      <c r="C18" s="32"/>
      <c r="D18" s="34"/>
    </row>
    <row r="19" spans="2:4" ht="15" x14ac:dyDescent="0.25">
      <c r="B19" s="33" t="s">
        <v>65</v>
      </c>
      <c r="C19" s="32"/>
      <c r="D19" s="34"/>
    </row>
    <row r="20" spans="2:4" ht="15" x14ac:dyDescent="0.25">
      <c r="B20" s="34" t="s">
        <v>64</v>
      </c>
      <c r="C20" s="32"/>
      <c r="D20" s="34"/>
    </row>
    <row r="21" spans="2:4" ht="15" x14ac:dyDescent="0.25">
      <c r="B21" s="34"/>
      <c r="C21" s="32"/>
      <c r="D21" s="34"/>
    </row>
    <row r="22" spans="2:4" ht="15" x14ac:dyDescent="0.25">
      <c r="B22" s="33" t="s">
        <v>45</v>
      </c>
    </row>
    <row r="23" spans="2:4" ht="15" x14ac:dyDescent="0.25">
      <c r="B23" s="33" t="s">
        <v>59</v>
      </c>
    </row>
    <row r="24" spans="2:4" ht="15" x14ac:dyDescent="0.25">
      <c r="B24" s="34"/>
    </row>
    <row r="25" spans="2:4" ht="14.25" x14ac:dyDescent="0.2">
      <c r="C25" s="31" t="s">
        <v>46</v>
      </c>
    </row>
    <row r="26" spans="2:4" ht="10.5" customHeight="1" x14ac:dyDescent="0.2">
      <c r="C26" s="31"/>
    </row>
    <row r="27" spans="2:4" ht="15" customHeight="1" x14ac:dyDescent="0.25">
      <c r="C27" s="34" t="s">
        <v>47</v>
      </c>
    </row>
    <row r="28" spans="2:4" ht="15" customHeight="1" x14ac:dyDescent="0.25">
      <c r="C28" s="34" t="s">
        <v>48</v>
      </c>
    </row>
    <row r="29" spans="2:4" ht="15" x14ac:dyDescent="0.25">
      <c r="C29" s="31"/>
      <c r="D29" s="34"/>
    </row>
    <row r="30" spans="2:4" ht="14.25" x14ac:dyDescent="0.2">
      <c r="C30" s="31" t="s">
        <v>49</v>
      </c>
    </row>
    <row r="31" spans="2:4" ht="112.5" customHeight="1" x14ac:dyDescent="0.25">
      <c r="C31" s="34"/>
    </row>
    <row r="32" spans="2:4" ht="15" x14ac:dyDescent="0.25">
      <c r="B32" s="34"/>
    </row>
    <row r="33" spans="2:14" ht="14.25" x14ac:dyDescent="0.2">
      <c r="C33" s="31" t="s">
        <v>92</v>
      </c>
    </row>
    <row r="34" spans="2:14" ht="235.5" customHeight="1" x14ac:dyDescent="0.25">
      <c r="C34" s="34"/>
    </row>
    <row r="35" spans="2:14" ht="15" x14ac:dyDescent="0.25">
      <c r="B35" s="34"/>
    </row>
    <row r="36" spans="2:14" ht="64.5" customHeight="1" x14ac:dyDescent="0.2">
      <c r="C36" s="60" t="s">
        <v>101</v>
      </c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</row>
    <row r="37" spans="2:14" ht="164.25" customHeight="1" x14ac:dyDescent="0.25">
      <c r="C37" s="34"/>
    </row>
    <row r="38" spans="2:14" ht="15" x14ac:dyDescent="0.25">
      <c r="B38" s="34"/>
    </row>
    <row r="39" spans="2:14" ht="15" x14ac:dyDescent="0.25">
      <c r="B39" s="33" t="s">
        <v>60</v>
      </c>
    </row>
    <row r="40" spans="2:14" ht="15" x14ac:dyDescent="0.25">
      <c r="C40" s="32"/>
      <c r="D40" s="34"/>
    </row>
    <row r="41" spans="2:14" ht="15" x14ac:dyDescent="0.25">
      <c r="B41" s="33" t="s">
        <v>63</v>
      </c>
    </row>
    <row r="43" spans="2:14" ht="15" x14ac:dyDescent="0.25">
      <c r="B43" s="33" t="s">
        <v>66</v>
      </c>
    </row>
    <row r="44" spans="2:14" ht="14.25" x14ac:dyDescent="0.2">
      <c r="C44" s="31" t="s">
        <v>67</v>
      </c>
    </row>
    <row r="45" spans="2:14" ht="14.25" x14ac:dyDescent="0.2">
      <c r="C45" s="31" t="s">
        <v>91</v>
      </c>
    </row>
    <row r="47" spans="2:14" ht="15" x14ac:dyDescent="0.25">
      <c r="B47" s="33" t="s">
        <v>68</v>
      </c>
    </row>
    <row r="49" spans="2:17" x14ac:dyDescent="0.2">
      <c r="C49" s="32" t="s">
        <v>51</v>
      </c>
      <c r="D49" s="32"/>
      <c r="E49" s="32"/>
      <c r="F49" s="32" t="s">
        <v>85</v>
      </c>
      <c r="G49" s="32"/>
      <c r="H49" s="36" t="s">
        <v>52</v>
      </c>
      <c r="I49" s="36"/>
      <c r="J49" s="37"/>
      <c r="K49" s="37"/>
      <c r="L49" s="37"/>
      <c r="M49" s="37"/>
      <c r="N49" s="37"/>
    </row>
    <row r="50" spans="2:17" x14ac:dyDescent="0.2">
      <c r="B50" s="32">
        <v>1</v>
      </c>
      <c r="C50" s="38" t="s">
        <v>24</v>
      </c>
      <c r="D50" s="39"/>
      <c r="E50" s="39"/>
      <c r="F50" s="56" t="s">
        <v>86</v>
      </c>
      <c r="G50" s="39"/>
      <c r="H50" s="30" t="s">
        <v>71</v>
      </c>
    </row>
    <row r="51" spans="2:17" x14ac:dyDescent="0.2">
      <c r="B51" s="32">
        <v>2</v>
      </c>
      <c r="C51" s="50" t="s">
        <v>69</v>
      </c>
      <c r="D51" s="51"/>
      <c r="E51" s="51"/>
      <c r="F51" s="57" t="s">
        <v>86</v>
      </c>
      <c r="G51" s="51"/>
      <c r="H51" s="51" t="s">
        <v>70</v>
      </c>
      <c r="I51" s="51"/>
      <c r="J51" s="51"/>
      <c r="K51" s="51"/>
      <c r="L51" s="51"/>
      <c r="M51" s="51"/>
      <c r="N51" s="51"/>
    </row>
    <row r="53" spans="2:17" x14ac:dyDescent="0.2">
      <c r="C53" s="32" t="s">
        <v>53</v>
      </c>
      <c r="D53" s="32"/>
      <c r="E53" s="32"/>
      <c r="F53" s="32" t="s">
        <v>85</v>
      </c>
      <c r="G53" s="32"/>
      <c r="H53" s="36" t="s">
        <v>52</v>
      </c>
      <c r="I53" s="36"/>
      <c r="J53" s="41"/>
      <c r="K53" s="41"/>
    </row>
    <row r="54" spans="2:17" x14ac:dyDescent="0.2">
      <c r="B54" s="32">
        <v>1</v>
      </c>
      <c r="C54" s="42" t="s">
        <v>73</v>
      </c>
      <c r="D54" s="43"/>
      <c r="E54" s="43"/>
      <c r="F54" s="53" t="s">
        <v>86</v>
      </c>
      <c r="G54" s="43"/>
      <c r="H54" s="44" t="s">
        <v>80</v>
      </c>
      <c r="I54" s="44"/>
      <c r="J54" s="43"/>
      <c r="K54" s="43"/>
      <c r="L54" s="43"/>
      <c r="M54" s="43"/>
      <c r="N54" s="43"/>
    </row>
    <row r="55" spans="2:17" x14ac:dyDescent="0.2">
      <c r="B55" s="32">
        <v>2</v>
      </c>
      <c r="C55" s="48" t="s">
        <v>74</v>
      </c>
      <c r="D55" s="49"/>
      <c r="E55" s="49"/>
      <c r="F55" s="54" t="s">
        <v>86</v>
      </c>
      <c r="G55" s="49"/>
      <c r="H55" s="49" t="s">
        <v>81</v>
      </c>
      <c r="I55" s="49"/>
      <c r="J55" s="49"/>
      <c r="K55" s="49"/>
      <c r="L55" s="49"/>
      <c r="M55" s="49"/>
      <c r="N55" s="49"/>
    </row>
    <row r="56" spans="2:17" ht="57.75" customHeight="1" x14ac:dyDescent="0.2">
      <c r="B56" s="32">
        <v>3</v>
      </c>
      <c r="C56" s="45" t="s">
        <v>75</v>
      </c>
      <c r="D56" s="44"/>
      <c r="E56" s="44"/>
      <c r="F56" s="52" t="s">
        <v>87</v>
      </c>
      <c r="G56" s="44"/>
      <c r="H56" s="58" t="s">
        <v>95</v>
      </c>
      <c r="I56" s="59"/>
      <c r="J56" s="59"/>
      <c r="K56" s="59"/>
      <c r="L56" s="59"/>
      <c r="M56" s="59"/>
      <c r="N56" s="59"/>
    </row>
    <row r="57" spans="2:17" ht="38.25" x14ac:dyDescent="0.2">
      <c r="B57" s="32">
        <v>4</v>
      </c>
      <c r="C57" s="48" t="s">
        <v>76</v>
      </c>
      <c r="D57" s="49"/>
      <c r="E57" s="49"/>
      <c r="F57" s="54" t="s">
        <v>88</v>
      </c>
      <c r="G57" s="49"/>
      <c r="H57" s="49" t="s">
        <v>82</v>
      </c>
      <c r="I57" s="49"/>
      <c r="J57" s="49"/>
      <c r="K57" s="49"/>
      <c r="L57" s="49"/>
      <c r="M57" s="49"/>
      <c r="N57" s="49"/>
    </row>
    <row r="58" spans="2:17" x14ac:dyDescent="0.2">
      <c r="B58" s="32">
        <v>5</v>
      </c>
      <c r="C58" s="45" t="s">
        <v>77</v>
      </c>
      <c r="D58" s="44"/>
      <c r="E58" s="44"/>
      <c r="F58" s="52" t="s">
        <v>89</v>
      </c>
      <c r="G58" s="44"/>
      <c r="H58" s="44" t="s">
        <v>84</v>
      </c>
      <c r="I58" s="44"/>
      <c r="J58" s="44"/>
      <c r="K58" s="44"/>
      <c r="L58" s="44"/>
      <c r="M58" s="44"/>
      <c r="N58" s="44"/>
    </row>
    <row r="59" spans="2:17" x14ac:dyDescent="0.2">
      <c r="B59" s="32">
        <v>6</v>
      </c>
      <c r="C59" s="48" t="s">
        <v>78</v>
      </c>
      <c r="D59" s="49"/>
      <c r="E59" s="49"/>
      <c r="F59" s="54" t="s">
        <v>89</v>
      </c>
      <c r="G59" s="49"/>
      <c r="H59" s="49" t="s">
        <v>83</v>
      </c>
      <c r="I59" s="49"/>
      <c r="J59" s="49"/>
      <c r="K59" s="49"/>
      <c r="L59" s="49"/>
      <c r="M59" s="49"/>
      <c r="N59" s="49"/>
    </row>
    <row r="60" spans="2:17" x14ac:dyDescent="0.2">
      <c r="B60" s="32">
        <v>7</v>
      </c>
      <c r="C60" s="46" t="s">
        <v>79</v>
      </c>
      <c r="D60" s="47"/>
      <c r="E60" s="47"/>
      <c r="F60" s="55" t="s">
        <v>89</v>
      </c>
      <c r="G60" s="47"/>
      <c r="H60" s="47" t="s">
        <v>90</v>
      </c>
      <c r="I60" s="47"/>
      <c r="J60" s="47"/>
      <c r="K60" s="47"/>
      <c r="L60" s="47"/>
      <c r="M60" s="47"/>
      <c r="N60" s="47"/>
    </row>
    <row r="61" spans="2:17" x14ac:dyDescent="0.2">
      <c r="K61" s="40"/>
      <c r="L61" s="40"/>
      <c r="M61" s="40"/>
      <c r="N61" s="40"/>
      <c r="O61" s="40"/>
      <c r="P61" s="40"/>
      <c r="Q61" s="40"/>
    </row>
    <row r="63" spans="2:17" ht="15" x14ac:dyDescent="0.25">
      <c r="B63" s="33" t="s">
        <v>54</v>
      </c>
    </row>
    <row r="65" spans="2:2" x14ac:dyDescent="0.2">
      <c r="B65" s="30" t="s">
        <v>72</v>
      </c>
    </row>
    <row r="66" spans="2:2" x14ac:dyDescent="0.2">
      <c r="B66" s="30" t="s">
        <v>55</v>
      </c>
    </row>
  </sheetData>
  <mergeCells count="2">
    <mergeCell ref="H56:N56"/>
    <mergeCell ref="C36:N36"/>
  </mergeCells>
  <hyperlinks>
    <hyperlink ref="B11" r:id="rId1" xr:uid="{70CDA504-75BF-465F-9362-CD38F2BED890}"/>
    <hyperlink ref="C28" r:id="rId2" xr:uid="{36E91AFA-A3E6-4346-843B-3D93B091C81B}"/>
    <hyperlink ref="C27" r:id="rId3" xr:uid="{210F3CCE-30AD-4D9B-95BE-37EEA9486829}"/>
    <hyperlink ref="B17" r:id="rId4" xr:uid="{4B5E4EBA-1022-456F-9F46-305E0110960E}"/>
    <hyperlink ref="B20" r:id="rId5" xr:uid="{5743A459-1DA5-4474-B250-025E064CC593}"/>
  </hyperlinks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243E0-916B-45D5-85DE-C23793D71DA6}">
  <sheetPr codeName="Planilha3"/>
  <dimension ref="A2:L226"/>
  <sheetViews>
    <sheetView showGridLines="0" zoomScaleNormal="100" workbookViewId="0">
      <pane ySplit="6" topLeftCell="A7" activePane="bottomLeft" state="frozen"/>
      <selection activeCell="N3" sqref="N3"/>
      <selection pane="bottomLeft" activeCell="N4" sqref="N4"/>
    </sheetView>
  </sheetViews>
  <sheetFormatPr defaultRowHeight="15" x14ac:dyDescent="0.25"/>
  <cols>
    <col min="2" max="3" width="18.140625" customWidth="1"/>
    <col min="4" max="4" width="13.28515625" customWidth="1"/>
    <col min="5" max="5" width="10.5703125" bestFit="1" customWidth="1"/>
    <col min="6" max="6" width="13.7109375" customWidth="1"/>
    <col min="7" max="7" width="18" customWidth="1"/>
    <col min="8" max="8" width="15.42578125" customWidth="1"/>
    <col min="9" max="9" width="9" customWidth="1"/>
    <col min="10" max="10" width="5.85546875" bestFit="1" customWidth="1"/>
    <col min="11" max="11" width="6.5703125" bestFit="1" customWidth="1"/>
    <col min="12" max="13" width="9.140625" customWidth="1"/>
    <col min="14" max="14" width="10" customWidth="1"/>
  </cols>
  <sheetData>
    <row r="2" spans="1:12" ht="23.25" x14ac:dyDescent="0.35">
      <c r="B2" s="5" t="s">
        <v>15</v>
      </c>
    </row>
    <row r="3" spans="1:12" x14ac:dyDescent="0.25">
      <c r="F3" t="s">
        <v>16</v>
      </c>
      <c r="G3" s="25" t="s">
        <v>4</v>
      </c>
      <c r="H3" s="25"/>
      <c r="I3" s="25"/>
      <c r="J3" s="25"/>
      <c r="K3" s="25"/>
      <c r="L3" s="25"/>
    </row>
    <row r="4" spans="1:12" ht="90" x14ac:dyDescent="0.25">
      <c r="A4" t="s">
        <v>14</v>
      </c>
      <c r="B4" s="4" t="s">
        <v>5</v>
      </c>
      <c r="C4" s="4" t="s">
        <v>6</v>
      </c>
      <c r="D4" s="4"/>
      <c r="E4" s="4"/>
      <c r="F4" s="4"/>
      <c r="G4" s="4"/>
      <c r="H4" s="4"/>
      <c r="I4" s="4"/>
    </row>
    <row r="5" spans="1:12" x14ac:dyDescent="0.25">
      <c r="B5" s="4"/>
      <c r="C5" s="4"/>
      <c r="D5" s="61" t="s">
        <v>29</v>
      </c>
      <c r="E5" s="61"/>
      <c r="F5" s="61"/>
      <c r="G5" s="62" t="s">
        <v>28</v>
      </c>
      <c r="H5" s="62"/>
      <c r="I5" s="4"/>
      <c r="J5" s="63" t="s">
        <v>26</v>
      </c>
      <c r="K5" s="63"/>
    </row>
    <row r="6" spans="1:12" ht="30" x14ac:dyDescent="0.25">
      <c r="A6" s="15" t="s">
        <v>13</v>
      </c>
      <c r="B6" s="16" t="s">
        <v>17</v>
      </c>
      <c r="C6" s="16" t="s">
        <v>18</v>
      </c>
      <c r="D6" s="16" t="s">
        <v>19</v>
      </c>
      <c r="E6" s="16" t="s">
        <v>19</v>
      </c>
      <c r="F6" s="16" t="s">
        <v>19</v>
      </c>
      <c r="G6" s="16" t="s">
        <v>20</v>
      </c>
      <c r="H6" s="16" t="s">
        <v>21</v>
      </c>
      <c r="I6" s="17"/>
      <c r="J6" s="17" t="s">
        <v>7</v>
      </c>
      <c r="K6" s="17" t="s">
        <v>8</v>
      </c>
      <c r="L6" s="4"/>
    </row>
    <row r="7" spans="1:12" x14ac:dyDescent="0.25">
      <c r="A7" s="6">
        <v>37622</v>
      </c>
      <c r="B7" s="7">
        <v>96.15</v>
      </c>
      <c r="C7" s="7">
        <v>100.5</v>
      </c>
      <c r="D7" s="7" cm="1">
        <f t="array" ref="D7:D226">xlDESSAZ($A$7:$A$226,$B$7:$B$226)</f>
        <v>101.580051050555</v>
      </c>
      <c r="E7" s="7" cm="1">
        <f t="array" ref="E7:E226">xlDESSAZ($A$7:$A$226,$B$7:$B$226,"SA")</f>
        <v>101.580051050555</v>
      </c>
      <c r="F7" s="7" cm="1">
        <f t="array" ref="F7:F226">xlDESSAZ($A$7:$A$226,$B$7:$B$226,"SA","X13")</f>
        <v>101.580051050555</v>
      </c>
      <c r="G7" s="7" cm="1">
        <f t="array" ref="G7:G226">xlDESSAZ($A$7:$A$226,$B$7:$B$226,"SA","X13",$G$3)</f>
        <v>100.498050423983</v>
      </c>
      <c r="H7" s="7" cm="1">
        <f t="array" ref="H7:H226">xlDESSAZ($A$7:$A$226,$B$7:$B$226,"SA","X13",,Specs!$B$3)</f>
        <v>100.498050423983</v>
      </c>
      <c r="I7" s="9"/>
      <c r="J7" s="9">
        <f t="shared" ref="J7:J70" si="0">E7/$C7-1</f>
        <v>1.0746776622437837E-2</v>
      </c>
      <c r="K7" s="9">
        <f t="shared" ref="K7:K70" si="1">G7/$C7-1</f>
        <v>-1.939876633827442E-5</v>
      </c>
      <c r="L7" s="9"/>
    </row>
    <row r="8" spans="1:12" x14ac:dyDescent="0.25">
      <c r="A8" s="6">
        <v>37653</v>
      </c>
      <c r="B8" s="7">
        <v>98.67</v>
      </c>
      <c r="C8" s="7">
        <v>102</v>
      </c>
      <c r="D8" s="7">
        <v>104.319529580658</v>
      </c>
      <c r="E8" s="7">
        <v>104.319529580658</v>
      </c>
      <c r="F8" s="7">
        <v>104.319529580658</v>
      </c>
      <c r="G8" s="7">
        <v>102.003989431153</v>
      </c>
      <c r="H8" s="7">
        <v>102.003989431153</v>
      </c>
      <c r="I8" s="9"/>
      <c r="J8" s="9">
        <f t="shared" si="0"/>
        <v>2.2740486084882328E-2</v>
      </c>
      <c r="K8" s="9">
        <f t="shared" si="1"/>
        <v>3.9112070127522713E-5</v>
      </c>
      <c r="L8" s="9"/>
    </row>
    <row r="9" spans="1:12" x14ac:dyDescent="0.25">
      <c r="A9" s="6">
        <v>37681</v>
      </c>
      <c r="B9" s="7">
        <v>103.41</v>
      </c>
      <c r="C9" s="7">
        <v>101.77</v>
      </c>
      <c r="D9" s="7">
        <v>97.853067294410394</v>
      </c>
      <c r="E9" s="7">
        <v>97.853067294410394</v>
      </c>
      <c r="F9" s="7">
        <v>97.853067294410394</v>
      </c>
      <c r="G9" s="7">
        <v>101.76529100051</v>
      </c>
      <c r="H9" s="7">
        <v>101.76529100051</v>
      </c>
      <c r="I9" s="9"/>
      <c r="J9" s="9">
        <f t="shared" si="0"/>
        <v>-3.848808790006486E-2</v>
      </c>
      <c r="K9" s="9">
        <f t="shared" si="1"/>
        <v>-4.6270998231179306E-5</v>
      </c>
      <c r="L9" s="9"/>
    </row>
    <row r="10" spans="1:12" x14ac:dyDescent="0.25">
      <c r="A10" s="6">
        <v>37712</v>
      </c>
      <c r="B10" s="7">
        <v>102.19</v>
      </c>
      <c r="C10" s="7">
        <v>100.94</v>
      </c>
      <c r="D10" s="8">
        <v>100.706855574748</v>
      </c>
      <c r="E10" s="7">
        <v>100.706855574748</v>
      </c>
      <c r="F10" s="7">
        <v>100.706855574748</v>
      </c>
      <c r="G10" s="7">
        <v>100.938417368765</v>
      </c>
      <c r="H10" s="7">
        <v>100.938417368765</v>
      </c>
      <c r="I10" s="9"/>
      <c r="J10" s="9">
        <f t="shared" si="0"/>
        <v>-2.3097327645332788E-3</v>
      </c>
      <c r="K10" s="9">
        <f t="shared" si="1"/>
        <v>-1.5678930404106062E-5</v>
      </c>
      <c r="L10" s="9"/>
    </row>
    <row r="11" spans="1:12" x14ac:dyDescent="0.25">
      <c r="A11" s="6">
        <v>37742</v>
      </c>
      <c r="B11" s="7">
        <v>100.3</v>
      </c>
      <c r="C11" s="7">
        <v>99.8</v>
      </c>
      <c r="D11" s="7">
        <v>100.201790870327</v>
      </c>
      <c r="E11" s="7">
        <v>100.201790870327</v>
      </c>
      <c r="F11" s="7">
        <v>100.201790870327</v>
      </c>
      <c r="G11" s="7">
        <v>99.795972897947905</v>
      </c>
      <c r="H11" s="7">
        <v>99.795972897947905</v>
      </c>
      <c r="I11" s="9"/>
      <c r="J11" s="9">
        <f t="shared" si="0"/>
        <v>4.0259606245189872E-3</v>
      </c>
      <c r="K11" s="9">
        <f t="shared" si="1"/>
        <v>-4.0351723968878872E-5</v>
      </c>
      <c r="L11" s="9"/>
    </row>
    <row r="12" spans="1:12" x14ac:dyDescent="0.25">
      <c r="A12" s="6">
        <v>37773</v>
      </c>
      <c r="B12" s="7">
        <v>98.58</v>
      </c>
      <c r="C12" s="7">
        <v>100.39</v>
      </c>
      <c r="D12" s="7">
        <v>99.028018924873706</v>
      </c>
      <c r="E12" s="7">
        <v>99.028018924873706</v>
      </c>
      <c r="F12" s="7">
        <v>99.028018924873706</v>
      </c>
      <c r="G12" s="7">
        <v>100.39422086085401</v>
      </c>
      <c r="H12" s="7">
        <v>100.39422086085401</v>
      </c>
      <c r="I12" s="9"/>
      <c r="J12" s="9">
        <f t="shared" si="0"/>
        <v>-1.3566899841879643E-2</v>
      </c>
      <c r="K12" s="9">
        <f t="shared" si="1"/>
        <v>4.2044634465554509E-5</v>
      </c>
      <c r="L12" s="9"/>
    </row>
    <row r="13" spans="1:12" x14ac:dyDescent="0.25">
      <c r="A13" s="6">
        <v>37803</v>
      </c>
      <c r="B13" s="7">
        <v>103.05</v>
      </c>
      <c r="C13" s="7">
        <v>99.12</v>
      </c>
      <c r="D13" s="7">
        <v>100.086923622285</v>
      </c>
      <c r="E13" s="7">
        <v>100.086923622285</v>
      </c>
      <c r="F13" s="7">
        <v>100.086923622285</v>
      </c>
      <c r="G13" s="7">
        <v>99.117415746327097</v>
      </c>
      <c r="H13" s="7">
        <v>99.117415746327097</v>
      </c>
      <c r="I13" s="9"/>
      <c r="J13" s="9">
        <f t="shared" si="0"/>
        <v>9.7550809350785972E-3</v>
      </c>
      <c r="K13" s="9">
        <f t="shared" si="1"/>
        <v>-2.6071970065655314E-5</v>
      </c>
      <c r="L13" s="9"/>
    </row>
    <row r="14" spans="1:12" x14ac:dyDescent="0.25">
      <c r="A14" s="6">
        <v>37834</v>
      </c>
      <c r="B14" s="7">
        <v>101.47</v>
      </c>
      <c r="C14" s="7">
        <v>99.72</v>
      </c>
      <c r="D14" s="7">
        <v>97.9721154001694</v>
      </c>
      <c r="E14" s="7">
        <v>97.9721154001694</v>
      </c>
      <c r="F14" s="7">
        <v>97.9721154001694</v>
      </c>
      <c r="G14" s="7">
        <v>99.7177268355194</v>
      </c>
      <c r="H14" s="7">
        <v>99.7177268355194</v>
      </c>
      <c r="I14" s="9"/>
      <c r="J14" s="9">
        <f t="shared" si="0"/>
        <v>-1.7527924186026889E-2</v>
      </c>
      <c r="K14" s="9">
        <f t="shared" si="1"/>
        <v>-2.279547212791222E-5</v>
      </c>
      <c r="L14" s="9"/>
    </row>
    <row r="15" spans="1:12" x14ac:dyDescent="0.25">
      <c r="A15" s="6">
        <v>37865</v>
      </c>
      <c r="B15" s="7">
        <v>102.87</v>
      </c>
      <c r="C15" s="7">
        <v>101.81</v>
      </c>
      <c r="D15" s="7">
        <v>102.554330970539</v>
      </c>
      <c r="E15" s="7">
        <v>102.554330970539</v>
      </c>
      <c r="F15" s="7">
        <v>102.554330970539</v>
      </c>
      <c r="G15" s="7">
        <v>101.811675550701</v>
      </c>
      <c r="H15" s="7">
        <v>101.811675550701</v>
      </c>
      <c r="I15" s="9"/>
      <c r="J15" s="9">
        <f t="shared" si="0"/>
        <v>7.310980950191448E-3</v>
      </c>
      <c r="K15" s="9">
        <f t="shared" si="1"/>
        <v>1.6457624015364658E-5</v>
      </c>
      <c r="L15" s="9"/>
    </row>
    <row r="16" spans="1:12" x14ac:dyDescent="0.25">
      <c r="A16" s="6">
        <v>37895</v>
      </c>
      <c r="B16" s="7">
        <v>105.06</v>
      </c>
      <c r="C16" s="7">
        <v>101.88</v>
      </c>
      <c r="D16" s="7">
        <v>104.85673319103</v>
      </c>
      <c r="E16" s="7">
        <v>104.85673319103</v>
      </c>
      <c r="F16" s="7">
        <v>104.85673319103</v>
      </c>
      <c r="G16" s="7">
        <v>101.880818098048</v>
      </c>
      <c r="H16" s="7">
        <v>101.880818098048</v>
      </c>
      <c r="I16" s="9"/>
      <c r="J16" s="9">
        <f t="shared" si="0"/>
        <v>2.9218032891931811E-2</v>
      </c>
      <c r="K16" s="9">
        <f t="shared" si="1"/>
        <v>8.03001617599719E-6</v>
      </c>
      <c r="L16" s="9"/>
    </row>
    <row r="17" spans="1:12" x14ac:dyDescent="0.25">
      <c r="A17" s="6">
        <v>37926</v>
      </c>
      <c r="B17" s="7">
        <v>101.95</v>
      </c>
      <c r="C17" s="7">
        <v>101.97</v>
      </c>
      <c r="D17" s="7">
        <v>102.13332963821701</v>
      </c>
      <c r="E17" s="7">
        <v>102.13332963821701</v>
      </c>
      <c r="F17" s="7">
        <v>102.13332963821701</v>
      </c>
      <c r="G17" s="7">
        <v>101.973159862332</v>
      </c>
      <c r="H17" s="7">
        <v>101.973159862332</v>
      </c>
      <c r="I17" s="9"/>
      <c r="J17" s="9">
        <f t="shared" si="0"/>
        <v>1.6017420635188184E-3</v>
      </c>
      <c r="K17" s="9">
        <f t="shared" si="1"/>
        <v>3.098815663427068E-5</v>
      </c>
      <c r="L17" s="9"/>
    </row>
    <row r="18" spans="1:12" x14ac:dyDescent="0.25">
      <c r="A18" s="6">
        <v>37956</v>
      </c>
      <c r="B18" s="7">
        <v>99.74</v>
      </c>
      <c r="C18" s="7">
        <v>101.59</v>
      </c>
      <c r="D18" s="7">
        <v>102.104482335387</v>
      </c>
      <c r="E18" s="7">
        <v>102.104482335387</v>
      </c>
      <c r="F18" s="7">
        <v>102.104482335387</v>
      </c>
      <c r="G18" s="7">
        <v>101.586666280949</v>
      </c>
      <c r="H18" s="7">
        <v>101.586666280949</v>
      </c>
      <c r="I18" s="9"/>
      <c r="J18" s="9">
        <f t="shared" si="0"/>
        <v>5.0643009684712137E-3</v>
      </c>
      <c r="K18" s="9">
        <f t="shared" si="1"/>
        <v>-3.2815425248577945E-5</v>
      </c>
      <c r="L18" s="9"/>
    </row>
    <row r="19" spans="1:12" x14ac:dyDescent="0.25">
      <c r="A19" s="6">
        <v>37987</v>
      </c>
      <c r="B19" s="7">
        <v>98.59</v>
      </c>
      <c r="C19" s="7">
        <v>103.61</v>
      </c>
      <c r="D19" s="7">
        <v>103.925477428923</v>
      </c>
      <c r="E19" s="7">
        <v>103.925477428923</v>
      </c>
      <c r="F19" s="7">
        <v>103.925477428923</v>
      </c>
      <c r="G19" s="7">
        <v>103.614858958376</v>
      </c>
      <c r="H19" s="7">
        <v>103.614858958376</v>
      </c>
      <c r="I19" s="9"/>
      <c r="J19" s="9">
        <f t="shared" si="0"/>
        <v>3.0448550229031923E-3</v>
      </c>
      <c r="K19" s="9">
        <f t="shared" si="1"/>
        <v>4.6896615925051677E-5</v>
      </c>
      <c r="L19" s="9"/>
    </row>
    <row r="20" spans="1:12" x14ac:dyDescent="0.25">
      <c r="A20" s="6">
        <v>38018</v>
      </c>
      <c r="B20" s="7">
        <v>99.45</v>
      </c>
      <c r="C20" s="7">
        <v>104.48</v>
      </c>
      <c r="D20" s="7">
        <v>105.185342785239</v>
      </c>
      <c r="E20" s="7">
        <v>105.185342785239</v>
      </c>
      <c r="F20" s="7">
        <v>105.185342785239</v>
      </c>
      <c r="G20" s="7">
        <v>104.477184002843</v>
      </c>
      <c r="H20" s="7">
        <v>104.477184002843</v>
      </c>
      <c r="I20" s="9"/>
      <c r="J20" s="9">
        <f t="shared" si="0"/>
        <v>6.7509837790868943E-3</v>
      </c>
      <c r="K20" s="9">
        <f t="shared" si="1"/>
        <v>-2.6952499588395185E-5</v>
      </c>
      <c r="L20" s="9"/>
    </row>
    <row r="21" spans="1:12" x14ac:dyDescent="0.25">
      <c r="A21" s="6">
        <v>38047</v>
      </c>
      <c r="B21" s="7">
        <v>111.98</v>
      </c>
      <c r="C21" s="7">
        <v>105.81</v>
      </c>
      <c r="D21" s="7">
        <v>106.52893619227901</v>
      </c>
      <c r="E21" s="7">
        <v>106.52893619227901</v>
      </c>
      <c r="F21" s="7">
        <v>106.52893619227901</v>
      </c>
      <c r="G21" s="7">
        <v>105.812398569129</v>
      </c>
      <c r="H21" s="7">
        <v>105.812398569129</v>
      </c>
      <c r="I21" s="9"/>
      <c r="J21" s="9">
        <f t="shared" si="0"/>
        <v>6.7945959009452217E-3</v>
      </c>
      <c r="K21" s="9">
        <f t="shared" si="1"/>
        <v>2.2668643124390542E-5</v>
      </c>
      <c r="L21" s="9"/>
    </row>
    <row r="22" spans="1:12" x14ac:dyDescent="0.25">
      <c r="A22" s="6">
        <v>38078</v>
      </c>
      <c r="B22" s="7">
        <v>107.36</v>
      </c>
      <c r="C22" s="7">
        <v>106.45</v>
      </c>
      <c r="D22" s="7">
        <v>106.105588406495</v>
      </c>
      <c r="E22" s="7">
        <v>106.105588406495</v>
      </c>
      <c r="F22" s="7">
        <v>106.105588406495</v>
      </c>
      <c r="G22" s="7">
        <v>106.45475247373901</v>
      </c>
      <c r="H22" s="7">
        <v>106.45475247373901</v>
      </c>
      <c r="I22" s="9"/>
      <c r="J22" s="9">
        <f t="shared" si="0"/>
        <v>-3.2354306576326541E-3</v>
      </c>
      <c r="K22" s="9">
        <f t="shared" si="1"/>
        <v>4.4645126716869044E-5</v>
      </c>
      <c r="L22" s="9"/>
    </row>
    <row r="23" spans="1:12" x14ac:dyDescent="0.25">
      <c r="A23" s="6">
        <v>38108</v>
      </c>
      <c r="B23" s="7">
        <v>106.03</v>
      </c>
      <c r="C23" s="7">
        <v>106.34</v>
      </c>
      <c r="D23" s="7">
        <v>105.77383733198</v>
      </c>
      <c r="E23" s="7">
        <v>105.77383733198</v>
      </c>
      <c r="F23" s="7">
        <v>105.77383733198</v>
      </c>
      <c r="G23" s="7">
        <v>106.33746575830899</v>
      </c>
      <c r="H23" s="7">
        <v>106.33746575830899</v>
      </c>
      <c r="I23" s="9"/>
      <c r="J23" s="9">
        <f t="shared" si="0"/>
        <v>-5.3240800077111183E-3</v>
      </c>
      <c r="K23" s="9">
        <f t="shared" si="1"/>
        <v>-2.3831499821436175E-5</v>
      </c>
      <c r="L23" s="9"/>
    </row>
    <row r="24" spans="1:12" x14ac:dyDescent="0.25">
      <c r="A24" s="6">
        <v>38139</v>
      </c>
      <c r="B24" s="7">
        <v>107</v>
      </c>
      <c r="C24" s="7">
        <v>107.38</v>
      </c>
      <c r="D24" s="7">
        <v>107.480549081782</v>
      </c>
      <c r="E24" s="7">
        <v>107.480549081782</v>
      </c>
      <c r="F24" s="7">
        <v>107.480549081782</v>
      </c>
      <c r="G24" s="7">
        <v>107.375314718082</v>
      </c>
      <c r="H24" s="7">
        <v>107.375314718082</v>
      </c>
      <c r="I24" s="9"/>
      <c r="J24" s="9">
        <f t="shared" si="0"/>
        <v>9.3638556325204014E-4</v>
      </c>
      <c r="K24" s="9">
        <f t="shared" si="1"/>
        <v>-4.3632724138542578E-5</v>
      </c>
      <c r="L24" s="9"/>
    </row>
    <row r="25" spans="1:12" x14ac:dyDescent="0.25">
      <c r="A25" s="6">
        <v>38169</v>
      </c>
      <c r="B25" s="7">
        <v>111.47</v>
      </c>
      <c r="C25" s="7">
        <v>107.85</v>
      </c>
      <c r="D25" s="7">
        <v>108.390933089664</v>
      </c>
      <c r="E25" s="7">
        <v>108.390933089664</v>
      </c>
      <c r="F25" s="7">
        <v>108.390933089664</v>
      </c>
      <c r="G25" s="7">
        <v>107.848949164426</v>
      </c>
      <c r="H25" s="7">
        <v>107.848949164426</v>
      </c>
      <c r="I25" s="9"/>
      <c r="J25" s="9">
        <f t="shared" si="0"/>
        <v>5.0156058383310498E-3</v>
      </c>
      <c r="K25" s="9">
        <f t="shared" si="1"/>
        <v>-9.7434916457306286E-6</v>
      </c>
      <c r="L25" s="9"/>
    </row>
    <row r="26" spans="1:12" x14ac:dyDescent="0.25">
      <c r="A26" s="6">
        <v>38200</v>
      </c>
      <c r="B26" s="7">
        <v>110.65</v>
      </c>
      <c r="C26" s="7">
        <v>108.21</v>
      </c>
      <c r="D26" s="7">
        <v>107.001064260376</v>
      </c>
      <c r="E26" s="7">
        <v>107.001064260376</v>
      </c>
      <c r="F26" s="7">
        <v>107.001064260376</v>
      </c>
      <c r="G26" s="7">
        <v>108.210314589394</v>
      </c>
      <c r="H26" s="7">
        <v>108.210314589394</v>
      </c>
      <c r="I26" s="9"/>
      <c r="J26" s="9">
        <f t="shared" si="0"/>
        <v>-1.1172125862896176E-2</v>
      </c>
      <c r="K26" s="9">
        <f t="shared" si="1"/>
        <v>2.9072118474804398E-6</v>
      </c>
      <c r="L26" s="9"/>
    </row>
    <row r="27" spans="1:12" x14ac:dyDescent="0.25">
      <c r="A27" s="6">
        <v>38231</v>
      </c>
      <c r="B27" s="7">
        <v>109.21</v>
      </c>
      <c r="C27" s="7">
        <v>109.41</v>
      </c>
      <c r="D27" s="7">
        <v>109.009581020775</v>
      </c>
      <c r="E27" s="7">
        <v>109.009581020775</v>
      </c>
      <c r="F27" s="7">
        <v>109.009581020775</v>
      </c>
      <c r="G27" s="7">
        <v>109.40826553101699</v>
      </c>
      <c r="H27" s="7">
        <v>109.40826553101699</v>
      </c>
      <c r="I27" s="9"/>
      <c r="J27" s="9">
        <f t="shared" si="0"/>
        <v>-3.6598023875787922E-3</v>
      </c>
      <c r="K27" s="9">
        <f t="shared" si="1"/>
        <v>-1.5852929192927689E-5</v>
      </c>
      <c r="L27" s="9"/>
    </row>
    <row r="28" spans="1:12" x14ac:dyDescent="0.25">
      <c r="A28" s="6">
        <v>38261</v>
      </c>
      <c r="B28" s="7">
        <v>108.89</v>
      </c>
      <c r="C28" s="7">
        <v>108.67</v>
      </c>
      <c r="D28" s="7">
        <v>108.513997975777</v>
      </c>
      <c r="E28" s="7">
        <v>108.513997975777</v>
      </c>
      <c r="F28" s="7">
        <v>108.513997975777</v>
      </c>
      <c r="G28" s="7">
        <v>108.673211650547</v>
      </c>
      <c r="H28" s="7">
        <v>108.673211650547</v>
      </c>
      <c r="I28" s="9"/>
      <c r="J28" s="9">
        <f t="shared" si="0"/>
        <v>-1.4355574144013783E-3</v>
      </c>
      <c r="K28" s="9">
        <f t="shared" si="1"/>
        <v>2.9554159814093595E-5</v>
      </c>
      <c r="L28" s="9"/>
    </row>
    <row r="29" spans="1:12" x14ac:dyDescent="0.25">
      <c r="A29" s="6">
        <v>38292</v>
      </c>
      <c r="B29" s="7">
        <v>109.59</v>
      </c>
      <c r="C29" s="7">
        <v>109.62</v>
      </c>
      <c r="D29" s="7">
        <v>109.705109738991</v>
      </c>
      <c r="E29" s="7">
        <v>109.705109738991</v>
      </c>
      <c r="F29" s="7">
        <v>109.705109738991</v>
      </c>
      <c r="G29" s="7">
        <v>109.620805096678</v>
      </c>
      <c r="H29" s="7">
        <v>109.620805096678</v>
      </c>
      <c r="I29" s="9"/>
      <c r="J29" s="9">
        <f t="shared" si="0"/>
        <v>7.7640703330583705E-4</v>
      </c>
      <c r="K29" s="9">
        <f t="shared" si="1"/>
        <v>7.3444323844817916E-6</v>
      </c>
      <c r="L29" s="9"/>
    </row>
    <row r="30" spans="1:12" x14ac:dyDescent="0.25">
      <c r="A30" s="6">
        <v>38322</v>
      </c>
      <c r="B30" s="7">
        <v>107.56</v>
      </c>
      <c r="C30" s="7">
        <v>108.75</v>
      </c>
      <c r="D30" s="7">
        <v>110.028019007935</v>
      </c>
      <c r="E30" s="7">
        <v>110.028019007935</v>
      </c>
      <c r="F30" s="7">
        <v>110.028019007935</v>
      </c>
      <c r="G30" s="7">
        <v>108.750537824944</v>
      </c>
      <c r="H30" s="7">
        <v>108.750537824944</v>
      </c>
      <c r="I30" s="9"/>
      <c r="J30" s="9">
        <f t="shared" si="0"/>
        <v>1.1751898923540338E-2</v>
      </c>
      <c r="K30" s="9">
        <f t="shared" si="1"/>
        <v>4.9455167265843869E-6</v>
      </c>
      <c r="L30" s="9"/>
    </row>
    <row r="31" spans="1:12" x14ac:dyDescent="0.25">
      <c r="A31" s="6">
        <v>38353</v>
      </c>
      <c r="B31" s="7">
        <v>103.52</v>
      </c>
      <c r="C31" s="7">
        <v>109.65</v>
      </c>
      <c r="D31" s="7">
        <v>108.78570376115501</v>
      </c>
      <c r="E31" s="7">
        <v>108.78570376115501</v>
      </c>
      <c r="F31" s="7">
        <v>108.78570376115501</v>
      </c>
      <c r="G31" s="7">
        <v>109.646371061213</v>
      </c>
      <c r="H31" s="7">
        <v>109.646371061213</v>
      </c>
      <c r="I31" s="9"/>
      <c r="J31" s="9">
        <f t="shared" si="0"/>
        <v>-7.8823186397173339E-3</v>
      </c>
      <c r="K31" s="9">
        <f t="shared" si="1"/>
        <v>-3.3095656972181864E-5</v>
      </c>
      <c r="L31" s="9"/>
    </row>
    <row r="32" spans="1:12" x14ac:dyDescent="0.25">
      <c r="A32" s="6">
        <v>38384</v>
      </c>
      <c r="B32" s="7">
        <v>104</v>
      </c>
      <c r="C32" s="7">
        <v>110.13</v>
      </c>
      <c r="D32" s="7">
        <v>109.860204120536</v>
      </c>
      <c r="E32" s="7">
        <v>109.860204120536</v>
      </c>
      <c r="F32" s="7">
        <v>109.860204120536</v>
      </c>
      <c r="G32" s="7">
        <v>110.129534520596</v>
      </c>
      <c r="H32" s="7">
        <v>110.129534520596</v>
      </c>
      <c r="I32" s="9"/>
      <c r="J32" s="9">
        <f t="shared" si="0"/>
        <v>-2.4497946015072936E-3</v>
      </c>
      <c r="K32" s="9">
        <f t="shared" si="1"/>
        <v>-4.2266358303288953E-6</v>
      </c>
      <c r="L32" s="9"/>
    </row>
    <row r="33" spans="1:12" x14ac:dyDescent="0.25">
      <c r="A33" s="6">
        <v>38412</v>
      </c>
      <c r="B33" s="7">
        <v>115.42</v>
      </c>
      <c r="C33" s="7">
        <v>110.29</v>
      </c>
      <c r="D33" s="7">
        <v>110.139084436574</v>
      </c>
      <c r="E33" s="7">
        <v>110.139084436574</v>
      </c>
      <c r="F33" s="7">
        <v>110.139084436574</v>
      </c>
      <c r="G33" s="7">
        <v>110.293287353217</v>
      </c>
      <c r="H33" s="7">
        <v>110.293287353217</v>
      </c>
      <c r="I33" s="9"/>
      <c r="J33" s="9">
        <f t="shared" si="0"/>
        <v>-1.3683521935443643E-3</v>
      </c>
      <c r="K33" s="9">
        <f t="shared" si="1"/>
        <v>2.9806448608171721E-5</v>
      </c>
      <c r="L33" s="9"/>
    </row>
    <row r="34" spans="1:12" x14ac:dyDescent="0.25">
      <c r="A34" s="6">
        <v>38443</v>
      </c>
      <c r="B34" s="7">
        <v>112.35</v>
      </c>
      <c r="C34" s="7">
        <v>110.96</v>
      </c>
      <c r="D34" s="7">
        <v>111.449885996295</v>
      </c>
      <c r="E34" s="7">
        <v>111.449885996295</v>
      </c>
      <c r="F34" s="7">
        <v>111.449885996295</v>
      </c>
      <c r="G34" s="7">
        <v>110.957501659781</v>
      </c>
      <c r="H34" s="7">
        <v>110.957501659781</v>
      </c>
      <c r="I34" s="9"/>
      <c r="J34" s="9">
        <f t="shared" si="0"/>
        <v>4.4149783371936202E-3</v>
      </c>
      <c r="K34" s="9">
        <f t="shared" si="1"/>
        <v>-2.2515683300250444E-5</v>
      </c>
      <c r="L34" s="9"/>
    </row>
    <row r="35" spans="1:12" x14ac:dyDescent="0.25">
      <c r="A35" s="6">
        <v>38473</v>
      </c>
      <c r="B35" s="7">
        <v>110.86</v>
      </c>
      <c r="C35" s="7">
        <v>110.99</v>
      </c>
      <c r="D35" s="7">
        <v>110.52891321011001</v>
      </c>
      <c r="E35" s="7">
        <v>110.52891321011001</v>
      </c>
      <c r="F35" s="7">
        <v>110.52891321011001</v>
      </c>
      <c r="G35" s="7">
        <v>110.986940880105</v>
      </c>
      <c r="H35" s="7">
        <v>110.986940880105</v>
      </c>
      <c r="I35" s="9"/>
      <c r="J35" s="9">
        <f t="shared" si="0"/>
        <v>-4.1543093061535696E-3</v>
      </c>
      <c r="K35" s="9">
        <f t="shared" si="1"/>
        <v>-2.7562121767688019E-5</v>
      </c>
      <c r="L35" s="9"/>
    </row>
    <row r="36" spans="1:12" x14ac:dyDescent="0.25">
      <c r="A36" s="6">
        <v>38504</v>
      </c>
      <c r="B36" s="7">
        <v>111.5</v>
      </c>
      <c r="C36" s="7">
        <v>110.75</v>
      </c>
      <c r="D36" s="7">
        <v>111.90244516947899</v>
      </c>
      <c r="E36" s="7">
        <v>111.90244516947899</v>
      </c>
      <c r="F36" s="7">
        <v>111.90244516947899</v>
      </c>
      <c r="G36" s="7">
        <v>110.74862360116499</v>
      </c>
      <c r="H36" s="7">
        <v>110.74862360116499</v>
      </c>
      <c r="I36" s="9"/>
      <c r="J36" s="9">
        <f t="shared" si="0"/>
        <v>1.0405825458049689E-2</v>
      </c>
      <c r="K36" s="9">
        <f t="shared" si="1"/>
        <v>-1.2427980451534815E-5</v>
      </c>
      <c r="L36" s="9"/>
    </row>
    <row r="37" spans="1:12" x14ac:dyDescent="0.25">
      <c r="A37" s="6">
        <v>38534</v>
      </c>
      <c r="B37" s="7">
        <v>113.15</v>
      </c>
      <c r="C37" s="7">
        <v>110.64</v>
      </c>
      <c r="D37" s="7">
        <v>109.74799721238099</v>
      </c>
      <c r="E37" s="7">
        <v>109.74799721238099</v>
      </c>
      <c r="F37" s="7">
        <v>109.74799721238099</v>
      </c>
      <c r="G37" s="7">
        <v>110.636520905802</v>
      </c>
      <c r="H37" s="7">
        <v>110.636520905802</v>
      </c>
      <c r="I37" s="9"/>
      <c r="J37" s="9">
        <f t="shared" si="0"/>
        <v>-8.0622088541124626E-3</v>
      </c>
      <c r="K37" s="9">
        <f t="shared" si="1"/>
        <v>-3.1445175325384156E-5</v>
      </c>
      <c r="L37" s="9"/>
    </row>
    <row r="38" spans="1:12" x14ac:dyDescent="0.25">
      <c r="A38" s="6">
        <v>38565</v>
      </c>
      <c r="B38" s="7">
        <v>115.15</v>
      </c>
      <c r="C38" s="7">
        <v>111.27</v>
      </c>
      <c r="D38" s="7">
        <v>111.387152299261</v>
      </c>
      <c r="E38" s="7">
        <v>111.387152299261</v>
      </c>
      <c r="F38" s="7">
        <v>111.387152299261</v>
      </c>
      <c r="G38" s="7">
        <v>111.27259849370699</v>
      </c>
      <c r="H38" s="7">
        <v>111.27259849370699</v>
      </c>
      <c r="I38" s="9"/>
      <c r="J38" s="9">
        <f t="shared" si="0"/>
        <v>1.0528650962613462E-3</v>
      </c>
      <c r="K38" s="9">
        <f t="shared" si="1"/>
        <v>2.3353048503649276E-5</v>
      </c>
      <c r="L38" s="9"/>
    </row>
    <row r="39" spans="1:12" x14ac:dyDescent="0.25">
      <c r="A39" s="6">
        <v>38596</v>
      </c>
      <c r="B39" s="7">
        <v>110.95</v>
      </c>
      <c r="C39" s="7">
        <v>110.92</v>
      </c>
      <c r="D39" s="7">
        <v>110.865600429952</v>
      </c>
      <c r="E39" s="7">
        <v>110.865600429952</v>
      </c>
      <c r="F39" s="7">
        <v>110.865600429952</v>
      </c>
      <c r="G39" s="7">
        <v>110.91528812662401</v>
      </c>
      <c r="H39" s="7">
        <v>110.91528812662401</v>
      </c>
      <c r="I39" s="9"/>
      <c r="J39" s="9">
        <f t="shared" si="0"/>
        <v>-4.9043968669315596E-4</v>
      </c>
      <c r="K39" s="9">
        <f t="shared" si="1"/>
        <v>-4.2479925856486744E-5</v>
      </c>
      <c r="L39" s="9"/>
    </row>
    <row r="40" spans="1:12" x14ac:dyDescent="0.25">
      <c r="A40" s="6">
        <v>38626</v>
      </c>
      <c r="B40" s="7">
        <v>111.33</v>
      </c>
      <c r="C40" s="7">
        <v>111.06</v>
      </c>
      <c r="D40" s="7">
        <v>110.709597958562</v>
      </c>
      <c r="E40" s="7">
        <v>110.709597958562</v>
      </c>
      <c r="F40" s="7">
        <v>110.709597958562</v>
      </c>
      <c r="G40" s="7">
        <v>111.064722785999</v>
      </c>
      <c r="H40" s="7">
        <v>111.064722785999</v>
      </c>
      <c r="I40" s="9"/>
      <c r="J40" s="9">
        <f t="shared" si="0"/>
        <v>-3.1550697050063414E-3</v>
      </c>
      <c r="K40" s="9">
        <f t="shared" si="1"/>
        <v>4.2524635323282212E-5</v>
      </c>
      <c r="L40" s="9"/>
    </row>
    <row r="41" spans="1:12" x14ac:dyDescent="0.25">
      <c r="A41" s="6">
        <v>38657</v>
      </c>
      <c r="B41" s="7">
        <v>111.73</v>
      </c>
      <c r="C41" s="7">
        <v>111.8</v>
      </c>
      <c r="D41" s="7">
        <v>111.72967676090801</v>
      </c>
      <c r="E41" s="7">
        <v>111.72967676090801</v>
      </c>
      <c r="F41" s="7">
        <v>111.72967676090801</v>
      </c>
      <c r="G41" s="7">
        <v>111.799789279797</v>
      </c>
      <c r="H41" s="7">
        <v>111.799789279797</v>
      </c>
      <c r="I41" s="9"/>
      <c r="J41" s="9">
        <f t="shared" si="0"/>
        <v>-6.2900929420384166E-4</v>
      </c>
      <c r="K41" s="9">
        <f t="shared" si="1"/>
        <v>-1.8847960912005135E-6</v>
      </c>
      <c r="L41" s="9"/>
    </row>
    <row r="42" spans="1:12" x14ac:dyDescent="0.25">
      <c r="A42" s="6">
        <v>38687</v>
      </c>
      <c r="B42" s="7">
        <v>111.25</v>
      </c>
      <c r="C42" s="7">
        <v>112.34</v>
      </c>
      <c r="D42" s="7">
        <v>113.788719939068</v>
      </c>
      <c r="E42" s="7">
        <v>113.788719939068</v>
      </c>
      <c r="F42" s="7">
        <v>113.788719939068</v>
      </c>
      <c r="G42" s="7">
        <v>112.344243882328</v>
      </c>
      <c r="H42" s="7">
        <v>112.344243882328</v>
      </c>
      <c r="I42" s="9"/>
      <c r="J42" s="9">
        <f t="shared" si="0"/>
        <v>1.2895851335837705E-2</v>
      </c>
      <c r="K42" s="9">
        <f t="shared" si="1"/>
        <v>3.7777125938998068E-5</v>
      </c>
      <c r="L42" s="9"/>
    </row>
    <row r="43" spans="1:12" x14ac:dyDescent="0.25">
      <c r="A43" s="6">
        <v>38718</v>
      </c>
      <c r="B43" s="7">
        <v>108.55</v>
      </c>
      <c r="C43" s="7">
        <v>113.47</v>
      </c>
      <c r="D43" s="7">
        <v>113.875256447547</v>
      </c>
      <c r="E43" s="7">
        <v>113.875256447547</v>
      </c>
      <c r="F43" s="7">
        <v>113.875256447547</v>
      </c>
      <c r="G43" s="7">
        <v>113.469171570933</v>
      </c>
      <c r="H43" s="7">
        <v>113.469171570933</v>
      </c>
      <c r="I43" s="9"/>
      <c r="J43" s="9">
        <f t="shared" si="0"/>
        <v>3.5714853930290946E-3</v>
      </c>
      <c r="K43" s="9">
        <f t="shared" si="1"/>
        <v>-7.3008642548222369E-6</v>
      </c>
      <c r="L43" s="9"/>
    </row>
    <row r="44" spans="1:12" x14ac:dyDescent="0.25">
      <c r="A44" s="6">
        <v>38749</v>
      </c>
      <c r="B44" s="7">
        <v>107.8</v>
      </c>
      <c r="C44" s="7">
        <v>113.6</v>
      </c>
      <c r="D44" s="7">
        <v>113.87281448776599</v>
      </c>
      <c r="E44" s="7">
        <v>113.87281448776599</v>
      </c>
      <c r="F44" s="7">
        <v>113.87281448776599</v>
      </c>
      <c r="G44" s="7">
        <v>113.597215115655</v>
      </c>
      <c r="H44" s="7">
        <v>113.597215115655</v>
      </c>
      <c r="I44" s="9"/>
      <c r="J44" s="9">
        <f t="shared" si="0"/>
        <v>2.4015359838556183E-3</v>
      </c>
      <c r="K44" s="9">
        <f t="shared" si="1"/>
        <v>-2.4514826980515103E-5</v>
      </c>
      <c r="L44" s="9"/>
    </row>
    <row r="45" spans="1:12" x14ac:dyDescent="0.25">
      <c r="A45" s="6">
        <v>38777</v>
      </c>
      <c r="B45" s="7">
        <v>119.09</v>
      </c>
      <c r="C45" s="7">
        <v>113.43</v>
      </c>
      <c r="D45" s="7">
        <v>114.036597353697</v>
      </c>
      <c r="E45" s="7">
        <v>114.036597353697</v>
      </c>
      <c r="F45" s="7">
        <v>114.036597353697</v>
      </c>
      <c r="G45" s="7">
        <v>113.43190328745</v>
      </c>
      <c r="H45" s="7">
        <v>113.43190328745</v>
      </c>
      <c r="I45" s="9"/>
      <c r="J45" s="9">
        <f t="shared" si="0"/>
        <v>5.3477682596931864E-3</v>
      </c>
      <c r="K45" s="9">
        <f t="shared" si="1"/>
        <v>1.6779400952016132E-5</v>
      </c>
      <c r="L45" s="9"/>
    </row>
    <row r="46" spans="1:12" x14ac:dyDescent="0.25">
      <c r="A46" s="6">
        <v>38808</v>
      </c>
      <c r="B46" s="7">
        <v>112.61</v>
      </c>
      <c r="C46" s="7">
        <v>114.21</v>
      </c>
      <c r="D46" s="7">
        <v>112.108090862507</v>
      </c>
      <c r="E46" s="7">
        <v>112.108090862507</v>
      </c>
      <c r="F46" s="7">
        <v>112.108090862507</v>
      </c>
      <c r="G46" s="7">
        <v>114.209309600781</v>
      </c>
      <c r="H46" s="7">
        <v>114.209309600781</v>
      </c>
      <c r="I46" s="9"/>
      <c r="J46" s="9">
        <f t="shared" si="0"/>
        <v>-1.8403897535180791E-2</v>
      </c>
      <c r="K46" s="9">
        <f t="shared" si="1"/>
        <v>-6.0449979774057638E-6</v>
      </c>
      <c r="L46" s="9"/>
    </row>
    <row r="47" spans="1:12" x14ac:dyDescent="0.25">
      <c r="A47" s="6">
        <v>38838</v>
      </c>
      <c r="B47" s="7">
        <v>117.19</v>
      </c>
      <c r="C47" s="7">
        <v>115.69</v>
      </c>
      <c r="D47" s="7">
        <v>116.796747873252</v>
      </c>
      <c r="E47" s="7">
        <v>116.796747873252</v>
      </c>
      <c r="F47" s="7">
        <v>116.796747873252</v>
      </c>
      <c r="G47" s="7">
        <v>115.687529671349</v>
      </c>
      <c r="H47" s="7">
        <v>115.687529671349</v>
      </c>
      <c r="I47" s="9"/>
      <c r="J47" s="9">
        <f t="shared" si="0"/>
        <v>9.5664955765579762E-3</v>
      </c>
      <c r="K47" s="9">
        <f t="shared" si="1"/>
        <v>-2.1353000700163882E-5</v>
      </c>
      <c r="L47" s="9"/>
    </row>
    <row r="48" spans="1:12" x14ac:dyDescent="0.25">
      <c r="A48" s="6">
        <v>38869</v>
      </c>
      <c r="B48" s="7">
        <v>114.4</v>
      </c>
      <c r="C48" s="7">
        <v>114.81</v>
      </c>
      <c r="D48" s="7">
        <v>114.654906878166</v>
      </c>
      <c r="E48" s="7">
        <v>114.654906878166</v>
      </c>
      <c r="F48" s="7">
        <v>114.654906878166</v>
      </c>
      <c r="G48" s="7">
        <v>114.813663973567</v>
      </c>
      <c r="H48" s="7">
        <v>114.813663973567</v>
      </c>
      <c r="I48" s="9"/>
      <c r="J48" s="9">
        <f t="shared" si="0"/>
        <v>-1.3508677104259181E-3</v>
      </c>
      <c r="K48" s="9">
        <f t="shared" si="1"/>
        <v>3.1913366144165067E-5</v>
      </c>
      <c r="L48" s="9"/>
    </row>
    <row r="49" spans="1:12" x14ac:dyDescent="0.25">
      <c r="A49" s="6">
        <v>38899</v>
      </c>
      <c r="B49" s="7">
        <v>119.41</v>
      </c>
      <c r="C49" s="7">
        <v>116.95</v>
      </c>
      <c r="D49" s="7">
        <v>115.621437624438</v>
      </c>
      <c r="E49" s="7">
        <v>115.621437624438</v>
      </c>
      <c r="F49" s="7">
        <v>115.621437624438</v>
      </c>
      <c r="G49" s="7">
        <v>116.947738137172</v>
      </c>
      <c r="H49" s="7">
        <v>116.947738137172</v>
      </c>
      <c r="I49" s="9"/>
      <c r="J49" s="9">
        <f t="shared" si="0"/>
        <v>-1.1360088717930705E-2</v>
      </c>
      <c r="K49" s="9">
        <f t="shared" si="1"/>
        <v>-1.9340426062441907E-5</v>
      </c>
      <c r="L49" s="9"/>
    </row>
    <row r="50" spans="1:12" x14ac:dyDescent="0.25">
      <c r="A50" s="6">
        <v>38930</v>
      </c>
      <c r="B50" s="7">
        <v>121.06</v>
      </c>
      <c r="C50" s="7">
        <v>116.6</v>
      </c>
      <c r="D50" s="7">
        <v>117.18786896311499</v>
      </c>
      <c r="E50" s="7">
        <v>117.18786896311499</v>
      </c>
      <c r="F50" s="7">
        <v>117.18786896311499</v>
      </c>
      <c r="G50" s="7">
        <v>116.601432516701</v>
      </c>
      <c r="H50" s="7">
        <v>116.601432516701</v>
      </c>
      <c r="I50" s="9"/>
      <c r="J50" s="9">
        <f t="shared" si="0"/>
        <v>5.0417578311749978E-3</v>
      </c>
      <c r="K50" s="9">
        <f t="shared" si="1"/>
        <v>1.2285735000006071E-5</v>
      </c>
      <c r="L50" s="9"/>
    </row>
    <row r="51" spans="1:12" x14ac:dyDescent="0.25">
      <c r="A51" s="6">
        <v>38961</v>
      </c>
      <c r="B51" s="7">
        <v>116.21</v>
      </c>
      <c r="C51" s="7">
        <v>116.8</v>
      </c>
      <c r="D51" s="7">
        <v>116.12521247811701</v>
      </c>
      <c r="E51" s="7">
        <v>116.12521247811701</v>
      </c>
      <c r="F51" s="7">
        <v>116.12521247811701</v>
      </c>
      <c r="G51" s="7">
        <v>116.797996843357</v>
      </c>
      <c r="H51" s="7">
        <v>116.797996843357</v>
      </c>
      <c r="I51" s="9"/>
      <c r="J51" s="9">
        <f t="shared" si="0"/>
        <v>-5.7772904270804171E-3</v>
      </c>
      <c r="K51" s="9">
        <f t="shared" si="1"/>
        <v>-1.71503137242901E-5</v>
      </c>
      <c r="L51" s="9"/>
    </row>
    <row r="52" spans="1:12" x14ac:dyDescent="0.25">
      <c r="A52" s="6">
        <v>38991</v>
      </c>
      <c r="B52" s="7">
        <v>119.33</v>
      </c>
      <c r="C52" s="7">
        <v>118.07</v>
      </c>
      <c r="D52" s="7">
        <v>118.360590245404</v>
      </c>
      <c r="E52" s="7">
        <v>118.360590245404</v>
      </c>
      <c r="F52" s="7">
        <v>118.360590245404</v>
      </c>
      <c r="G52" s="7">
        <v>118.07270662266799</v>
      </c>
      <c r="H52" s="7">
        <v>118.07270662266799</v>
      </c>
      <c r="I52" s="9"/>
      <c r="J52" s="9">
        <f t="shared" si="0"/>
        <v>2.4611691827221005E-3</v>
      </c>
      <c r="K52" s="9">
        <f t="shared" si="1"/>
        <v>2.2923881324743434E-5</v>
      </c>
      <c r="L52" s="9"/>
    </row>
    <row r="53" spans="1:12" x14ac:dyDescent="0.25">
      <c r="A53" s="6">
        <v>39022</v>
      </c>
      <c r="B53" s="7">
        <v>118.67</v>
      </c>
      <c r="C53" s="7">
        <v>118.87</v>
      </c>
      <c r="D53" s="7">
        <v>118.695272473168</v>
      </c>
      <c r="E53" s="7">
        <v>118.695272473168</v>
      </c>
      <c r="F53" s="7">
        <v>118.695272473168</v>
      </c>
      <c r="G53" s="7">
        <v>118.866023115085</v>
      </c>
      <c r="H53" s="7">
        <v>118.866023115085</v>
      </c>
      <c r="I53" s="9"/>
      <c r="J53" s="9">
        <f t="shared" si="0"/>
        <v>-1.4699043226381603E-3</v>
      </c>
      <c r="K53" s="9">
        <f t="shared" si="1"/>
        <v>-3.3455749263944234E-5</v>
      </c>
      <c r="L53" s="9"/>
    </row>
    <row r="54" spans="1:12" x14ac:dyDescent="0.25">
      <c r="A54" s="6">
        <v>39052</v>
      </c>
      <c r="B54" s="7">
        <v>116.3</v>
      </c>
      <c r="C54" s="7">
        <v>119.87</v>
      </c>
      <c r="D54" s="7">
        <v>118.951419148398</v>
      </c>
      <c r="E54" s="7">
        <v>118.951419148398</v>
      </c>
      <c r="F54" s="7">
        <v>118.951419148398</v>
      </c>
      <c r="G54" s="7">
        <v>119.868640356285</v>
      </c>
      <c r="H54" s="7">
        <v>119.868640356285</v>
      </c>
      <c r="I54" s="9"/>
      <c r="J54" s="9">
        <f t="shared" si="0"/>
        <v>-7.6631421673646338E-3</v>
      </c>
      <c r="K54" s="9">
        <f t="shared" si="1"/>
        <v>-1.1342652164847422E-5</v>
      </c>
      <c r="L54" s="9"/>
    </row>
    <row r="55" spans="1:12" x14ac:dyDescent="0.25">
      <c r="A55" s="6">
        <v>39083</v>
      </c>
      <c r="B55" s="7">
        <v>114.79</v>
      </c>
      <c r="C55" s="7">
        <v>119.71</v>
      </c>
      <c r="D55" s="7">
        <v>120.290984053372</v>
      </c>
      <c r="E55" s="7">
        <v>120.290984053372</v>
      </c>
      <c r="F55" s="7">
        <v>120.290984053372</v>
      </c>
      <c r="G55" s="7">
        <v>119.709200807885</v>
      </c>
      <c r="H55" s="7">
        <v>119.709200807885</v>
      </c>
      <c r="I55" s="9"/>
      <c r="J55" s="9">
        <f t="shared" si="0"/>
        <v>4.8532624957982051E-3</v>
      </c>
      <c r="K55" s="9">
        <f t="shared" si="1"/>
        <v>-6.6760681229904861E-6</v>
      </c>
      <c r="L55" s="9"/>
    </row>
    <row r="56" spans="1:12" x14ac:dyDescent="0.25">
      <c r="A56" s="6">
        <v>39114</v>
      </c>
      <c r="B56" s="7">
        <v>113.33</v>
      </c>
      <c r="C56" s="7">
        <v>120.16</v>
      </c>
      <c r="D56" s="7">
        <v>119.582878059956</v>
      </c>
      <c r="E56" s="7">
        <v>119.582878059956</v>
      </c>
      <c r="F56" s="7">
        <v>119.582878059956</v>
      </c>
      <c r="G56" s="7">
        <v>120.163267372447</v>
      </c>
      <c r="H56" s="7">
        <v>120.163267372447</v>
      </c>
      <c r="I56" s="9"/>
      <c r="J56" s="9">
        <f t="shared" si="0"/>
        <v>-4.8029455729360349E-3</v>
      </c>
      <c r="K56" s="9">
        <f t="shared" si="1"/>
        <v>2.7191847927765522E-5</v>
      </c>
      <c r="L56" s="9"/>
    </row>
    <row r="57" spans="1:12" x14ac:dyDescent="0.25">
      <c r="A57" s="6">
        <v>39142</v>
      </c>
      <c r="B57" s="7">
        <v>125.11</v>
      </c>
      <c r="C57" s="7">
        <v>119.34</v>
      </c>
      <c r="D57" s="7">
        <v>120.253604345879</v>
      </c>
      <c r="E57" s="7">
        <v>120.253604345879</v>
      </c>
      <c r="F57" s="7">
        <v>120.253604345879</v>
      </c>
      <c r="G57" s="7">
        <v>119.34280677963601</v>
      </c>
      <c r="H57" s="7">
        <v>119.34280677963601</v>
      </c>
      <c r="I57" s="9"/>
      <c r="J57" s="9">
        <f t="shared" si="0"/>
        <v>7.6554746596195766E-3</v>
      </c>
      <c r="K57" s="9">
        <f t="shared" si="1"/>
        <v>2.3519185821996302E-5</v>
      </c>
      <c r="L57" s="9"/>
    </row>
    <row r="58" spans="1:12" x14ac:dyDescent="0.25">
      <c r="A58" s="6">
        <v>39173</v>
      </c>
      <c r="B58" s="7">
        <v>120.29</v>
      </c>
      <c r="C58" s="7">
        <v>121.14</v>
      </c>
      <c r="D58" s="7">
        <v>120.065921560097</v>
      </c>
      <c r="E58" s="7">
        <v>120.065921560097</v>
      </c>
      <c r="F58" s="7">
        <v>120.065921560097</v>
      </c>
      <c r="G58" s="7">
        <v>121.135931900979</v>
      </c>
      <c r="H58" s="7">
        <v>121.135931900979</v>
      </c>
      <c r="I58" s="9"/>
      <c r="J58" s="9">
        <f t="shared" si="0"/>
        <v>-8.8664226506769417E-3</v>
      </c>
      <c r="K58" s="9">
        <f t="shared" si="1"/>
        <v>-3.358179809309636E-5</v>
      </c>
      <c r="L58" s="9"/>
    </row>
    <row r="59" spans="1:12" x14ac:dyDescent="0.25">
      <c r="A59" s="6">
        <v>39203</v>
      </c>
      <c r="B59" s="7">
        <v>123.9</v>
      </c>
      <c r="C59" s="7">
        <v>122.39</v>
      </c>
      <c r="D59" s="7">
        <v>123.533113479086</v>
      </c>
      <c r="E59" s="7">
        <v>123.533113479086</v>
      </c>
      <c r="F59" s="7">
        <v>123.533113479086</v>
      </c>
      <c r="G59" s="7">
        <v>122.390623496016</v>
      </c>
      <c r="H59" s="7">
        <v>122.390623496016</v>
      </c>
      <c r="I59" s="9"/>
      <c r="J59" s="9">
        <f t="shared" si="0"/>
        <v>9.3399254766401985E-3</v>
      </c>
      <c r="K59" s="9">
        <f t="shared" si="1"/>
        <v>5.0943379035217617E-6</v>
      </c>
      <c r="L59" s="9"/>
    </row>
    <row r="60" spans="1:12" x14ac:dyDescent="0.25">
      <c r="A60" s="6">
        <v>39234</v>
      </c>
      <c r="B60" s="7">
        <v>122.38</v>
      </c>
      <c r="C60" s="7">
        <v>123.47</v>
      </c>
      <c r="D60" s="7">
        <v>122.56827810880399</v>
      </c>
      <c r="E60" s="7">
        <v>122.56827810880399</v>
      </c>
      <c r="F60" s="7">
        <v>122.56827810880399</v>
      </c>
      <c r="G60" s="7">
        <v>123.47017542367399</v>
      </c>
      <c r="H60" s="7">
        <v>123.47017542367399</v>
      </c>
      <c r="I60" s="9"/>
      <c r="J60" s="9">
        <f t="shared" si="0"/>
        <v>-7.3031658799385113E-3</v>
      </c>
      <c r="K60" s="9">
        <f t="shared" si="1"/>
        <v>1.4207797358611884E-6</v>
      </c>
      <c r="L60" s="9"/>
    </row>
    <row r="61" spans="1:12" x14ac:dyDescent="0.25">
      <c r="A61" s="6">
        <v>39264</v>
      </c>
      <c r="B61" s="7">
        <v>127.85</v>
      </c>
      <c r="C61" s="7">
        <v>124.29</v>
      </c>
      <c r="D61" s="7">
        <v>123.600977279475</v>
      </c>
      <c r="E61" s="7">
        <v>123.600977279475</v>
      </c>
      <c r="F61" s="7">
        <v>123.600977279475</v>
      </c>
      <c r="G61" s="7">
        <v>124.28845365242699</v>
      </c>
      <c r="H61" s="7">
        <v>124.28845365242699</v>
      </c>
      <c r="I61" s="9"/>
      <c r="J61" s="9">
        <f t="shared" si="0"/>
        <v>-5.5436698087135694E-3</v>
      </c>
      <c r="K61" s="9">
        <f t="shared" si="1"/>
        <v>-1.2441448008826406E-5</v>
      </c>
      <c r="L61" s="9"/>
    </row>
    <row r="62" spans="1:12" x14ac:dyDescent="0.25">
      <c r="A62" s="6">
        <v>39295</v>
      </c>
      <c r="B62" s="7">
        <v>129.05000000000001</v>
      </c>
      <c r="C62" s="7">
        <v>124.25</v>
      </c>
      <c r="D62" s="7">
        <v>125.1614444618</v>
      </c>
      <c r="E62" s="7">
        <v>125.1614444618</v>
      </c>
      <c r="F62" s="7">
        <v>125.1614444618</v>
      </c>
      <c r="G62" s="7">
        <v>124.251457605472</v>
      </c>
      <c r="H62" s="7">
        <v>124.251457605472</v>
      </c>
      <c r="I62" s="9"/>
      <c r="J62" s="9">
        <f t="shared" si="0"/>
        <v>7.3355691090544184E-3</v>
      </c>
      <c r="K62" s="9">
        <f t="shared" si="1"/>
        <v>1.173123116293695E-5</v>
      </c>
      <c r="L62" s="9"/>
    </row>
    <row r="63" spans="1:12" x14ac:dyDescent="0.25">
      <c r="A63" s="6">
        <v>39326</v>
      </c>
      <c r="B63" s="7">
        <v>123.24</v>
      </c>
      <c r="C63" s="7">
        <v>125.29</v>
      </c>
      <c r="D63" s="7">
        <v>122.995419928052</v>
      </c>
      <c r="E63" s="7">
        <v>122.995419928052</v>
      </c>
      <c r="F63" s="7">
        <v>122.995419928052</v>
      </c>
      <c r="G63" s="7">
        <v>125.28513263087601</v>
      </c>
      <c r="H63" s="7">
        <v>125.28513263087601</v>
      </c>
      <c r="I63" s="9"/>
      <c r="J63" s="9">
        <f t="shared" si="0"/>
        <v>-1.8314151743539009E-2</v>
      </c>
      <c r="K63" s="9">
        <f t="shared" si="1"/>
        <v>-3.8848823720960546E-5</v>
      </c>
      <c r="L63" s="9"/>
    </row>
    <row r="64" spans="1:12" x14ac:dyDescent="0.25">
      <c r="A64" s="6">
        <v>39356</v>
      </c>
      <c r="B64" s="7">
        <v>129.16999999999999</v>
      </c>
      <c r="C64" s="7">
        <v>126.29</v>
      </c>
      <c r="D64" s="7">
        <v>127.865383687858</v>
      </c>
      <c r="E64" s="7">
        <v>127.865383687858</v>
      </c>
      <c r="F64" s="7">
        <v>127.865383687858</v>
      </c>
      <c r="G64" s="7">
        <v>126.293279078268</v>
      </c>
      <c r="H64" s="7">
        <v>126.293279078268</v>
      </c>
      <c r="I64" s="9"/>
      <c r="J64" s="9">
        <f t="shared" si="0"/>
        <v>1.2474334372143403E-2</v>
      </c>
      <c r="K64" s="9">
        <f t="shared" si="1"/>
        <v>2.5964670741895901E-5</v>
      </c>
      <c r="L64" s="9"/>
    </row>
    <row r="65" spans="1:12" x14ac:dyDescent="0.25">
      <c r="A65" s="6">
        <v>39387</v>
      </c>
      <c r="B65" s="7">
        <v>125.88</v>
      </c>
      <c r="C65" s="7">
        <v>126.22</v>
      </c>
      <c r="D65" s="7">
        <v>125.89888578852</v>
      </c>
      <c r="E65" s="7">
        <v>125.89888578852</v>
      </c>
      <c r="F65" s="7">
        <v>125.89888578852</v>
      </c>
      <c r="G65" s="7">
        <v>126.22120534469001</v>
      </c>
      <c r="H65" s="7">
        <v>126.22120534469001</v>
      </c>
      <c r="I65" s="9"/>
      <c r="J65" s="9">
        <f t="shared" si="0"/>
        <v>-2.544083437490019E-3</v>
      </c>
      <c r="K65" s="9">
        <f t="shared" si="1"/>
        <v>9.5495538743328723E-6</v>
      </c>
      <c r="L65" s="9"/>
    </row>
    <row r="66" spans="1:12" x14ac:dyDescent="0.25">
      <c r="A66" s="6">
        <v>39417</v>
      </c>
      <c r="B66" s="7">
        <v>122.43</v>
      </c>
      <c r="C66" s="7">
        <v>126.9</v>
      </c>
      <c r="D66" s="7">
        <v>125.210475109507</v>
      </c>
      <c r="E66" s="7">
        <v>125.210475109507</v>
      </c>
      <c r="F66" s="7">
        <v>125.210475109507</v>
      </c>
      <c r="G66" s="7">
        <v>126.90051219800399</v>
      </c>
      <c r="H66" s="7">
        <v>126.90051219800399</v>
      </c>
      <c r="I66" s="9"/>
      <c r="J66" s="9">
        <f t="shared" si="0"/>
        <v>-1.3313828924294779E-2</v>
      </c>
      <c r="K66" s="9">
        <f t="shared" si="1"/>
        <v>4.0362332860421901E-6</v>
      </c>
      <c r="L66" s="9"/>
    </row>
    <row r="67" spans="1:12" x14ac:dyDescent="0.25">
      <c r="A67" s="6">
        <v>39448</v>
      </c>
      <c r="B67" s="7">
        <v>121.86</v>
      </c>
      <c r="C67" s="7">
        <v>127.22</v>
      </c>
      <c r="D67" s="7">
        <v>127.71693097823599</v>
      </c>
      <c r="E67" s="7">
        <v>127.71693097823599</v>
      </c>
      <c r="F67" s="7">
        <v>127.71693097823599</v>
      </c>
      <c r="G67" s="7">
        <v>127.22351323624601</v>
      </c>
      <c r="H67" s="7">
        <v>127.22351323624601</v>
      </c>
      <c r="I67" s="9"/>
      <c r="J67" s="9">
        <f t="shared" si="0"/>
        <v>3.9060759175915116E-3</v>
      </c>
      <c r="K67" s="9">
        <f t="shared" si="1"/>
        <v>2.7615439758044147E-5</v>
      </c>
      <c r="L67" s="9"/>
    </row>
    <row r="68" spans="1:12" x14ac:dyDescent="0.25">
      <c r="A68" s="6">
        <v>39479</v>
      </c>
      <c r="B68" s="7">
        <v>121.91</v>
      </c>
      <c r="C68" s="7">
        <v>126.84</v>
      </c>
      <c r="D68" s="7">
        <v>128.21436632171</v>
      </c>
      <c r="E68" s="7">
        <v>128.21436632171</v>
      </c>
      <c r="F68" s="7">
        <v>128.21436632171</v>
      </c>
      <c r="G68" s="7">
        <v>126.83586051399099</v>
      </c>
      <c r="H68" s="7">
        <v>126.83586051399099</v>
      </c>
      <c r="I68" s="9"/>
      <c r="J68" s="9">
        <f t="shared" si="0"/>
        <v>1.083543299992118E-2</v>
      </c>
      <c r="K68" s="9">
        <f t="shared" si="1"/>
        <v>-3.2635493606214538E-5</v>
      </c>
      <c r="L68" s="9"/>
    </row>
    <row r="69" spans="1:12" x14ac:dyDescent="0.25">
      <c r="A69" s="6">
        <v>39508</v>
      </c>
      <c r="B69" s="7">
        <v>128.99</v>
      </c>
      <c r="C69" s="7">
        <v>126.35</v>
      </c>
      <c r="D69" s="7">
        <v>124.34544382939001</v>
      </c>
      <c r="E69" s="7">
        <v>124.34544382939001</v>
      </c>
      <c r="F69" s="7">
        <v>124.34544382939001</v>
      </c>
      <c r="G69" s="7">
        <v>126.349338918198</v>
      </c>
      <c r="H69" s="7">
        <v>126.349338918198</v>
      </c>
      <c r="I69" s="9"/>
      <c r="J69" s="9">
        <f t="shared" si="0"/>
        <v>-1.5865106217728409E-2</v>
      </c>
      <c r="K69" s="9">
        <f t="shared" si="1"/>
        <v>-5.2321472259198032E-6</v>
      </c>
      <c r="L69" s="9"/>
    </row>
    <row r="70" spans="1:12" x14ac:dyDescent="0.25">
      <c r="A70" s="6">
        <v>39539</v>
      </c>
      <c r="B70" s="7">
        <v>129.47999999999999</v>
      </c>
      <c r="C70" s="7">
        <v>127.73</v>
      </c>
      <c r="D70" s="7">
        <v>129.532494192325</v>
      </c>
      <c r="E70" s="7">
        <v>129.532494192325</v>
      </c>
      <c r="F70" s="7">
        <v>129.532494192325</v>
      </c>
      <c r="G70" s="7">
        <v>127.72569199262701</v>
      </c>
      <c r="H70" s="7">
        <v>127.72569199262701</v>
      </c>
      <c r="I70" s="9"/>
      <c r="J70" s="9">
        <f t="shared" si="0"/>
        <v>1.4111752856220239E-2</v>
      </c>
      <c r="K70" s="9">
        <f t="shared" si="1"/>
        <v>-3.3727451444476308E-5</v>
      </c>
      <c r="L70" s="9"/>
    </row>
    <row r="71" spans="1:12" x14ac:dyDescent="0.25">
      <c r="A71" s="6">
        <v>39569</v>
      </c>
      <c r="B71" s="7">
        <v>128.91999999999999</v>
      </c>
      <c r="C71" s="7">
        <v>129.41999999999999</v>
      </c>
      <c r="D71" s="7">
        <v>128.45569858272199</v>
      </c>
      <c r="E71" s="7">
        <v>128.45569858272199</v>
      </c>
      <c r="F71" s="7">
        <v>128.45569858272199</v>
      </c>
      <c r="G71" s="7">
        <v>129.41832033864</v>
      </c>
      <c r="H71" s="7">
        <v>129.41832033864</v>
      </c>
      <c r="I71" s="9"/>
      <c r="J71" s="9">
        <f t="shared" ref="J71:J134" si="2">E71/$C71-1</f>
        <v>-7.4509458915005267E-3</v>
      </c>
      <c r="K71" s="9">
        <f t="shared" ref="K71:K134" si="3">G71/$C71-1</f>
        <v>-1.2978375521499608E-5</v>
      </c>
      <c r="L71" s="9"/>
    </row>
    <row r="72" spans="1:12" x14ac:dyDescent="0.25">
      <c r="A72" s="6">
        <v>39600</v>
      </c>
      <c r="B72" s="7">
        <v>130.59</v>
      </c>
      <c r="C72" s="7">
        <v>131.19999999999999</v>
      </c>
      <c r="D72" s="7">
        <v>130.75225993833499</v>
      </c>
      <c r="E72" s="7">
        <v>130.75225993833499</v>
      </c>
      <c r="F72" s="7">
        <v>130.75225993833499</v>
      </c>
      <c r="G72" s="7">
        <v>131.20342560078799</v>
      </c>
      <c r="H72" s="7">
        <v>131.20342560078799</v>
      </c>
      <c r="I72" s="9"/>
      <c r="J72" s="9">
        <f t="shared" si="2"/>
        <v>-3.4126529090320323E-3</v>
      </c>
      <c r="K72" s="9">
        <f t="shared" si="3"/>
        <v>2.6109762103709855E-5</v>
      </c>
      <c r="L72" s="9"/>
    </row>
    <row r="73" spans="1:12" x14ac:dyDescent="0.25">
      <c r="A73" s="6">
        <v>39630</v>
      </c>
      <c r="B73" s="7">
        <v>136.53</v>
      </c>
      <c r="C73" s="7">
        <v>130.96</v>
      </c>
      <c r="D73" s="7">
        <v>132.028401506184</v>
      </c>
      <c r="E73" s="7">
        <v>132.028401506184</v>
      </c>
      <c r="F73" s="7">
        <v>132.028401506184</v>
      </c>
      <c r="G73" s="7">
        <v>130.96313614634701</v>
      </c>
      <c r="H73" s="7">
        <v>130.96313614634701</v>
      </c>
      <c r="I73" s="9"/>
      <c r="J73" s="9">
        <f t="shared" si="2"/>
        <v>8.1582277503358114E-3</v>
      </c>
      <c r="K73" s="9">
        <f t="shared" si="3"/>
        <v>2.394736062161229E-5</v>
      </c>
      <c r="L73" s="9"/>
    </row>
    <row r="74" spans="1:12" x14ac:dyDescent="0.25">
      <c r="A74" s="6">
        <v>39661</v>
      </c>
      <c r="B74" s="7">
        <v>133.87</v>
      </c>
      <c r="C74" s="7">
        <v>130.94999999999999</v>
      </c>
      <c r="D74" s="7">
        <v>129.83765664175601</v>
      </c>
      <c r="E74" s="7">
        <v>129.83765664175601</v>
      </c>
      <c r="F74" s="7">
        <v>129.83765664175601</v>
      </c>
      <c r="G74" s="7">
        <v>130.94507589333</v>
      </c>
      <c r="H74" s="7">
        <v>130.94507589333</v>
      </c>
      <c r="I74" s="9"/>
      <c r="J74" s="9">
        <f t="shared" si="2"/>
        <v>-8.4944128159143428E-3</v>
      </c>
      <c r="K74" s="9">
        <f t="shared" si="3"/>
        <v>-3.7602952806303769E-5</v>
      </c>
      <c r="L74" s="9"/>
    </row>
    <row r="75" spans="1:12" x14ac:dyDescent="0.25">
      <c r="A75" s="6">
        <v>39692</v>
      </c>
      <c r="B75" s="7">
        <v>132.6</v>
      </c>
      <c r="C75" s="7">
        <v>130.94</v>
      </c>
      <c r="D75" s="7">
        <v>132.08159474467101</v>
      </c>
      <c r="E75" s="7">
        <v>132.08159474467101</v>
      </c>
      <c r="F75" s="7">
        <v>132.08159474467101</v>
      </c>
      <c r="G75" s="7">
        <v>130.93818790177201</v>
      </c>
      <c r="H75" s="7">
        <v>130.93818790177201</v>
      </c>
      <c r="I75" s="9"/>
      <c r="J75" s="9">
        <f t="shared" si="2"/>
        <v>8.7184568861387035E-3</v>
      </c>
      <c r="K75" s="9">
        <f t="shared" si="3"/>
        <v>-1.3839149442418375E-5</v>
      </c>
      <c r="L75" s="9"/>
    </row>
    <row r="76" spans="1:12" x14ac:dyDescent="0.25">
      <c r="A76" s="6">
        <v>39722</v>
      </c>
      <c r="B76" s="7">
        <v>132.80000000000001</v>
      </c>
      <c r="C76" s="7">
        <v>128.13</v>
      </c>
      <c r="D76" s="7">
        <v>131.296425771625</v>
      </c>
      <c r="E76" s="7">
        <v>131.296425771625</v>
      </c>
      <c r="F76" s="7">
        <v>131.296425771625</v>
      </c>
      <c r="G76" s="7">
        <v>128.13046690950699</v>
      </c>
      <c r="H76" s="7">
        <v>128.13046690950699</v>
      </c>
      <c r="I76" s="9"/>
      <c r="J76" s="9">
        <f t="shared" si="2"/>
        <v>2.4712602603800926E-2</v>
      </c>
      <c r="K76" s="9">
        <f t="shared" si="3"/>
        <v>3.6440295558826108E-6</v>
      </c>
      <c r="L76" s="9"/>
    </row>
    <row r="77" spans="1:12" x14ac:dyDescent="0.25">
      <c r="A77" s="6">
        <v>39753</v>
      </c>
      <c r="B77" s="7">
        <v>124.58</v>
      </c>
      <c r="C77" s="7">
        <v>125.06</v>
      </c>
      <c r="D77" s="7">
        <v>124.62919867740101</v>
      </c>
      <c r="E77" s="7">
        <v>124.62919867740101</v>
      </c>
      <c r="F77" s="7">
        <v>124.62919867740101</v>
      </c>
      <c r="G77" s="7">
        <v>125.063975179057</v>
      </c>
      <c r="H77" s="7">
        <v>125.063975179057</v>
      </c>
      <c r="I77" s="9"/>
      <c r="J77" s="9">
        <f t="shared" si="2"/>
        <v>-3.4447570973852315E-3</v>
      </c>
      <c r="K77" s="9">
        <f t="shared" si="3"/>
        <v>3.1786175091808033E-5</v>
      </c>
      <c r="L77" s="9"/>
    </row>
    <row r="78" spans="1:12" x14ac:dyDescent="0.25">
      <c r="A78" s="6">
        <v>39783</v>
      </c>
      <c r="B78" s="7">
        <v>118.9</v>
      </c>
      <c r="C78" s="7">
        <v>120.95</v>
      </c>
      <c r="D78" s="7">
        <v>121.80493666242999</v>
      </c>
      <c r="E78" s="7">
        <v>121.80493666242999</v>
      </c>
      <c r="F78" s="7">
        <v>121.80493666242999</v>
      </c>
      <c r="G78" s="7">
        <v>120.94629257877</v>
      </c>
      <c r="H78" s="7">
        <v>120.94629257877</v>
      </c>
      <c r="I78" s="9"/>
      <c r="J78" s="9">
        <f t="shared" si="2"/>
        <v>7.0685131246794874E-3</v>
      </c>
      <c r="K78" s="9">
        <f t="shared" si="3"/>
        <v>-3.0652511203044241E-5</v>
      </c>
      <c r="L78" s="9"/>
    </row>
    <row r="79" spans="1:12" x14ac:dyDescent="0.25">
      <c r="A79" s="6">
        <v>39814</v>
      </c>
      <c r="B79" s="7">
        <v>115.2</v>
      </c>
      <c r="C79" s="7">
        <v>120.85</v>
      </c>
      <c r="D79" s="7">
        <v>121.536611195654</v>
      </c>
      <c r="E79" s="7">
        <v>121.536611195654</v>
      </c>
      <c r="F79" s="7">
        <v>121.536611195654</v>
      </c>
      <c r="G79" s="7">
        <v>120.850700865896</v>
      </c>
      <c r="H79" s="7">
        <v>120.850700865896</v>
      </c>
      <c r="I79" s="9"/>
      <c r="J79" s="9">
        <f t="shared" si="2"/>
        <v>5.6815158928755771E-3</v>
      </c>
      <c r="K79" s="9">
        <f t="shared" si="3"/>
        <v>5.7994695572549659E-6</v>
      </c>
      <c r="L79" s="9"/>
    </row>
    <row r="80" spans="1:12" x14ac:dyDescent="0.25">
      <c r="A80" s="6">
        <v>39845</v>
      </c>
      <c r="B80" s="7">
        <v>115.26</v>
      </c>
      <c r="C80" s="7">
        <v>122.19</v>
      </c>
      <c r="D80" s="7">
        <v>121.456594681585</v>
      </c>
      <c r="E80" s="7">
        <v>121.456594681585</v>
      </c>
      <c r="F80" s="7">
        <v>121.456594681585</v>
      </c>
      <c r="G80" s="7">
        <v>122.18762654451299</v>
      </c>
      <c r="H80" s="7">
        <v>122.18762654451299</v>
      </c>
      <c r="I80" s="9"/>
      <c r="J80" s="9">
        <f t="shared" si="2"/>
        <v>-6.0021713594811121E-3</v>
      </c>
      <c r="K80" s="9">
        <f t="shared" si="3"/>
        <v>-1.9424302209691824E-5</v>
      </c>
      <c r="L80" s="9"/>
    </row>
    <row r="81" spans="1:12" x14ac:dyDescent="0.25">
      <c r="A81" s="6">
        <v>39873</v>
      </c>
      <c r="B81" s="7">
        <v>127.81</v>
      </c>
      <c r="C81" s="7">
        <v>122.96</v>
      </c>
      <c r="D81" s="7">
        <v>123.25572625188801</v>
      </c>
      <c r="E81" s="7">
        <v>123.25572625188801</v>
      </c>
      <c r="F81" s="7">
        <v>123.25572625188801</v>
      </c>
      <c r="G81" s="7">
        <v>122.963596948842</v>
      </c>
      <c r="H81" s="7">
        <v>122.963596948842</v>
      </c>
      <c r="I81" s="9"/>
      <c r="J81" s="9">
        <f t="shared" si="2"/>
        <v>2.405060604164122E-3</v>
      </c>
      <c r="K81" s="9">
        <f t="shared" si="3"/>
        <v>2.9252999691031789E-5</v>
      </c>
      <c r="L81" s="9"/>
    </row>
    <row r="82" spans="1:12" x14ac:dyDescent="0.25">
      <c r="A82" s="6">
        <v>39904</v>
      </c>
      <c r="B82" s="7">
        <v>123.09</v>
      </c>
      <c r="C82" s="7">
        <v>123.53</v>
      </c>
      <c r="D82" s="7">
        <v>123.35583515712599</v>
      </c>
      <c r="E82" s="7">
        <v>123.35583515712599</v>
      </c>
      <c r="F82" s="7">
        <v>123.35583515712599</v>
      </c>
      <c r="G82" s="7">
        <v>123.53450073120899</v>
      </c>
      <c r="H82" s="7">
        <v>123.53450073120899</v>
      </c>
      <c r="I82" s="9"/>
      <c r="J82" s="9">
        <f t="shared" si="2"/>
        <v>-1.4098991570793418E-3</v>
      </c>
      <c r="K82" s="9">
        <f t="shared" si="3"/>
        <v>3.6434317242761693E-5</v>
      </c>
      <c r="L82" s="9"/>
    </row>
    <row r="83" spans="1:12" x14ac:dyDescent="0.25">
      <c r="A83" s="6">
        <v>39934</v>
      </c>
      <c r="B83" s="7">
        <v>124.41</v>
      </c>
      <c r="C83" s="7">
        <v>124.88</v>
      </c>
      <c r="D83" s="7">
        <v>123.880509476556</v>
      </c>
      <c r="E83" s="7">
        <v>123.880509476556</v>
      </c>
      <c r="F83" s="7">
        <v>123.880509476556</v>
      </c>
      <c r="G83" s="7">
        <v>124.87942034163299</v>
      </c>
      <c r="H83" s="7">
        <v>124.87942034163299</v>
      </c>
      <c r="I83" s="9"/>
      <c r="J83" s="9">
        <f t="shared" si="2"/>
        <v>-8.0036076508968046E-3</v>
      </c>
      <c r="K83" s="9">
        <f t="shared" si="3"/>
        <v>-4.6417229900841406E-6</v>
      </c>
      <c r="L83" s="9"/>
    </row>
    <row r="84" spans="1:12" x14ac:dyDescent="0.25">
      <c r="A84" s="6">
        <v>39965</v>
      </c>
      <c r="B84" s="7">
        <v>125.61</v>
      </c>
      <c r="C84" s="7">
        <v>125.96</v>
      </c>
      <c r="D84" s="7">
        <v>125.808263814011</v>
      </c>
      <c r="E84" s="7">
        <v>125.808263814011</v>
      </c>
      <c r="F84" s="7">
        <v>125.808263814011</v>
      </c>
      <c r="G84" s="7">
        <v>125.956917137692</v>
      </c>
      <c r="H84" s="7">
        <v>125.956917137692</v>
      </c>
      <c r="I84" s="9"/>
      <c r="J84" s="9">
        <f t="shared" si="2"/>
        <v>-1.2046378690774295E-3</v>
      </c>
      <c r="K84" s="9">
        <f t="shared" si="3"/>
        <v>-2.4474930993889643E-5</v>
      </c>
      <c r="L84" s="9"/>
    </row>
    <row r="85" spans="1:12" x14ac:dyDescent="0.25">
      <c r="A85" s="6">
        <v>39995</v>
      </c>
      <c r="B85" s="7">
        <v>131.44</v>
      </c>
      <c r="C85" s="7">
        <v>126.25</v>
      </c>
      <c r="D85" s="7">
        <v>126.82173594654699</v>
      </c>
      <c r="E85" s="7">
        <v>126.82173594654699</v>
      </c>
      <c r="F85" s="7">
        <v>126.82173594654699</v>
      </c>
      <c r="G85" s="7">
        <v>126.25151819206199</v>
      </c>
      <c r="H85" s="7">
        <v>126.25151819206199</v>
      </c>
      <c r="I85" s="9"/>
      <c r="J85" s="9">
        <f t="shared" si="2"/>
        <v>4.5286015568077875E-3</v>
      </c>
      <c r="K85" s="9">
        <f t="shared" si="3"/>
        <v>1.2025283659289343E-5</v>
      </c>
      <c r="L85" s="9"/>
    </row>
    <row r="86" spans="1:12" x14ac:dyDescent="0.25">
      <c r="A86" s="6">
        <v>40026</v>
      </c>
      <c r="B86" s="7">
        <v>130.69999999999999</v>
      </c>
      <c r="C86" s="7">
        <v>128.06</v>
      </c>
      <c r="D86" s="7">
        <v>126.53357491684601</v>
      </c>
      <c r="E86" s="7">
        <v>126.53357491684601</v>
      </c>
      <c r="F86" s="7">
        <v>126.53357491684601</v>
      </c>
      <c r="G86" s="7">
        <v>128.058464552852</v>
      </c>
      <c r="H86" s="7">
        <v>128.058464552852</v>
      </c>
      <c r="I86" s="9"/>
      <c r="J86" s="9">
        <f t="shared" si="2"/>
        <v>-1.1919608645587942E-2</v>
      </c>
      <c r="K86" s="9">
        <f t="shared" si="3"/>
        <v>-1.1990060502897748E-5</v>
      </c>
      <c r="L86" s="9"/>
    </row>
    <row r="87" spans="1:12" x14ac:dyDescent="0.25">
      <c r="A87" s="6">
        <v>40057</v>
      </c>
      <c r="B87" s="7">
        <v>129.81</v>
      </c>
      <c r="C87" s="7">
        <v>129.07</v>
      </c>
      <c r="D87" s="7">
        <v>129.00966216130399</v>
      </c>
      <c r="E87" s="7">
        <v>129.00966216130399</v>
      </c>
      <c r="F87" s="7">
        <v>129.00966216130399</v>
      </c>
      <c r="G87" s="7">
        <v>129.066404350954</v>
      </c>
      <c r="H87" s="7">
        <v>129.066404350954</v>
      </c>
      <c r="I87" s="9"/>
      <c r="J87" s="9">
        <f t="shared" si="2"/>
        <v>-4.6748151155184825E-4</v>
      </c>
      <c r="K87" s="9">
        <f t="shared" si="3"/>
        <v>-2.7858131602886971E-5</v>
      </c>
      <c r="L87" s="9"/>
    </row>
    <row r="88" spans="1:12" x14ac:dyDescent="0.25">
      <c r="A88" s="6">
        <v>40087</v>
      </c>
      <c r="B88" s="7">
        <v>132.47999999999999</v>
      </c>
      <c r="C88" s="7">
        <v>129.77000000000001</v>
      </c>
      <c r="D88" s="7">
        <v>130.84946981733199</v>
      </c>
      <c r="E88" s="7">
        <v>130.84946981733199</v>
      </c>
      <c r="F88" s="7">
        <v>130.84946981733199</v>
      </c>
      <c r="G88" s="7">
        <v>129.765520148055</v>
      </c>
      <c r="H88" s="7">
        <v>129.765520148055</v>
      </c>
      <c r="I88" s="9"/>
      <c r="J88" s="9">
        <f t="shared" si="2"/>
        <v>8.3183310266778943E-3</v>
      </c>
      <c r="K88" s="9">
        <f t="shared" si="3"/>
        <v>-3.4521476034554688E-5</v>
      </c>
      <c r="L88" s="9"/>
    </row>
    <row r="89" spans="1:12" x14ac:dyDescent="0.25">
      <c r="A89" s="6">
        <v>40118</v>
      </c>
      <c r="B89" s="7">
        <v>129.62</v>
      </c>
      <c r="C89" s="7">
        <v>130.19</v>
      </c>
      <c r="D89" s="7">
        <v>129.62084374235599</v>
      </c>
      <c r="E89" s="7">
        <v>129.62084374235599</v>
      </c>
      <c r="F89" s="7">
        <v>129.62084374235599</v>
      </c>
      <c r="G89" s="7">
        <v>130.18522864930301</v>
      </c>
      <c r="H89" s="7">
        <v>130.18522864930301</v>
      </c>
      <c r="I89" s="9"/>
      <c r="J89" s="9">
        <f t="shared" si="2"/>
        <v>-4.3717355990783302E-3</v>
      </c>
      <c r="K89" s="9">
        <f t="shared" si="3"/>
        <v>-3.6649133550836765E-5</v>
      </c>
      <c r="L89" s="9"/>
    </row>
    <row r="90" spans="1:12" x14ac:dyDescent="0.25">
      <c r="A90" s="6">
        <v>40148</v>
      </c>
      <c r="B90" s="7">
        <v>129.22999999999999</v>
      </c>
      <c r="C90" s="7">
        <v>131.34</v>
      </c>
      <c r="D90" s="7">
        <v>132.21465278134201</v>
      </c>
      <c r="E90" s="7">
        <v>132.21465278134201</v>
      </c>
      <c r="F90" s="7">
        <v>132.21465278134201</v>
      </c>
      <c r="G90" s="7">
        <v>131.33544383082599</v>
      </c>
      <c r="H90" s="7">
        <v>131.33544383082599</v>
      </c>
      <c r="I90" s="9"/>
      <c r="J90" s="9">
        <f t="shared" si="2"/>
        <v>6.6594547079488198E-3</v>
      </c>
      <c r="K90" s="9">
        <f t="shared" si="3"/>
        <v>-3.4689882549177042E-5</v>
      </c>
      <c r="L90" s="9"/>
    </row>
    <row r="91" spans="1:12" x14ac:dyDescent="0.25">
      <c r="A91" s="6">
        <v>40179</v>
      </c>
      <c r="B91" s="7">
        <v>125.81</v>
      </c>
      <c r="C91" s="7">
        <v>133.47</v>
      </c>
      <c r="D91" s="7">
        <v>132.53786285006899</v>
      </c>
      <c r="E91" s="7">
        <v>132.53786285006899</v>
      </c>
      <c r="F91" s="7">
        <v>132.53786285006899</v>
      </c>
      <c r="G91" s="7">
        <v>133.47461313406799</v>
      </c>
      <c r="H91" s="7">
        <v>133.47461313406799</v>
      </c>
      <c r="I91" s="9"/>
      <c r="J91" s="9">
        <f t="shared" si="2"/>
        <v>-6.9838701575710704E-3</v>
      </c>
      <c r="K91" s="9">
        <f t="shared" si="3"/>
        <v>3.4563078354699073E-5</v>
      </c>
      <c r="L91" s="9"/>
    </row>
    <row r="92" spans="1:12" x14ac:dyDescent="0.25">
      <c r="A92" s="6">
        <v>40210</v>
      </c>
      <c r="B92" s="7">
        <v>127.61</v>
      </c>
      <c r="C92" s="7">
        <v>135.16999999999999</v>
      </c>
      <c r="D92" s="7">
        <v>133.68718059266999</v>
      </c>
      <c r="E92" s="7">
        <v>133.68718059266999</v>
      </c>
      <c r="F92" s="7">
        <v>133.68718059266999</v>
      </c>
      <c r="G92" s="7">
        <v>135.173923976331</v>
      </c>
      <c r="H92" s="7">
        <v>135.173923976331</v>
      </c>
      <c r="I92" s="9"/>
      <c r="J92" s="9">
        <f t="shared" si="2"/>
        <v>-1.0970033345638841E-2</v>
      </c>
      <c r="K92" s="9">
        <f t="shared" si="3"/>
        <v>2.9029935126212436E-5</v>
      </c>
      <c r="L92" s="9"/>
    </row>
    <row r="93" spans="1:12" x14ac:dyDescent="0.25">
      <c r="A93" s="6">
        <v>40238</v>
      </c>
      <c r="B93" s="7">
        <v>143.44</v>
      </c>
      <c r="C93" s="7">
        <v>136.57</v>
      </c>
      <c r="D93" s="7">
        <v>139.02730102816301</v>
      </c>
      <c r="E93" s="7">
        <v>139.02730102816301</v>
      </c>
      <c r="F93" s="7">
        <v>139.02730102816301</v>
      </c>
      <c r="G93" s="7">
        <v>136.57158113931999</v>
      </c>
      <c r="H93" s="7">
        <v>136.57158113931999</v>
      </c>
      <c r="I93" s="9"/>
      <c r="J93" s="9">
        <f t="shared" si="2"/>
        <v>1.7992978166237128E-2</v>
      </c>
      <c r="K93" s="9">
        <f t="shared" si="3"/>
        <v>1.1577501061621476E-5</v>
      </c>
      <c r="L93" s="9"/>
    </row>
    <row r="94" spans="1:12" x14ac:dyDescent="0.25">
      <c r="A94" s="6">
        <v>40269</v>
      </c>
      <c r="B94" s="7">
        <v>136.87</v>
      </c>
      <c r="C94" s="7">
        <v>137.09</v>
      </c>
      <c r="D94" s="7">
        <v>137.307205852821</v>
      </c>
      <c r="E94" s="7">
        <v>137.307205852821</v>
      </c>
      <c r="F94" s="7">
        <v>137.307205852821</v>
      </c>
      <c r="G94" s="7">
        <v>137.094222563546</v>
      </c>
      <c r="H94" s="7">
        <v>137.094222563546</v>
      </c>
      <c r="I94" s="9"/>
      <c r="J94" s="9">
        <f t="shared" si="2"/>
        <v>1.5844033322707229E-3</v>
      </c>
      <c r="K94" s="9">
        <f t="shared" si="3"/>
        <v>3.0801397228108485E-5</v>
      </c>
      <c r="L94" s="9"/>
    </row>
    <row r="95" spans="1:12" x14ac:dyDescent="0.25">
      <c r="A95" s="6">
        <v>40299</v>
      </c>
      <c r="B95" s="7">
        <v>136.52000000000001</v>
      </c>
      <c r="C95" s="7">
        <v>136.47</v>
      </c>
      <c r="D95" s="7">
        <v>135.80911230436399</v>
      </c>
      <c r="E95" s="7">
        <v>135.80911230436399</v>
      </c>
      <c r="F95" s="7">
        <v>135.80911230436399</v>
      </c>
      <c r="G95" s="7">
        <v>136.465966906939</v>
      </c>
      <c r="H95" s="7">
        <v>136.465966906939</v>
      </c>
      <c r="I95" s="9"/>
      <c r="J95" s="9">
        <f t="shared" si="2"/>
        <v>-4.8427324366967506E-3</v>
      </c>
      <c r="K95" s="9">
        <f t="shared" si="3"/>
        <v>-2.9552964468382292E-5</v>
      </c>
      <c r="L95" s="9"/>
    </row>
    <row r="96" spans="1:12" x14ac:dyDescent="0.25">
      <c r="A96" s="6">
        <v>40330</v>
      </c>
      <c r="B96" s="7">
        <v>136.09</v>
      </c>
      <c r="C96" s="7">
        <v>136.18</v>
      </c>
      <c r="D96" s="7">
        <v>136.37709917866201</v>
      </c>
      <c r="E96" s="7">
        <v>136.37709917866201</v>
      </c>
      <c r="F96" s="7">
        <v>136.37709917866201</v>
      </c>
      <c r="G96" s="7">
        <v>136.180842221191</v>
      </c>
      <c r="H96" s="7">
        <v>136.180842221191</v>
      </c>
      <c r="I96" s="9"/>
      <c r="J96" s="9">
        <f t="shared" si="2"/>
        <v>1.4473430655161934E-3</v>
      </c>
      <c r="K96" s="9">
        <f t="shared" si="3"/>
        <v>6.1846173520230252E-6</v>
      </c>
      <c r="L96" s="9"/>
    </row>
    <row r="97" spans="1:12" x14ac:dyDescent="0.25">
      <c r="A97" s="6">
        <v>40360</v>
      </c>
      <c r="B97" s="7">
        <v>141.63999999999999</v>
      </c>
      <c r="C97" s="7">
        <v>136.94</v>
      </c>
      <c r="D97" s="7">
        <v>137.12266759990399</v>
      </c>
      <c r="E97" s="7">
        <v>137.12266759990399</v>
      </c>
      <c r="F97" s="7">
        <v>137.12266759990399</v>
      </c>
      <c r="G97" s="7">
        <v>136.93870646308301</v>
      </c>
      <c r="H97" s="7">
        <v>136.93870646308301</v>
      </c>
      <c r="I97" s="9"/>
      <c r="J97" s="9">
        <f t="shared" si="2"/>
        <v>1.3339243457279881E-3</v>
      </c>
      <c r="K97" s="9">
        <f t="shared" si="3"/>
        <v>-9.4460122461725859E-6</v>
      </c>
      <c r="L97" s="9"/>
    </row>
    <row r="98" spans="1:12" x14ac:dyDescent="0.25">
      <c r="A98" s="6">
        <v>40391</v>
      </c>
      <c r="B98" s="7">
        <v>141.55000000000001</v>
      </c>
      <c r="C98" s="7">
        <v>137.71</v>
      </c>
      <c r="D98" s="7">
        <v>137.15874886953699</v>
      </c>
      <c r="E98" s="7">
        <v>137.15874886953699</v>
      </c>
      <c r="F98" s="7">
        <v>137.15874886953699</v>
      </c>
      <c r="G98" s="7">
        <v>137.70905093278799</v>
      </c>
      <c r="H98" s="7">
        <v>137.70905093278799</v>
      </c>
      <c r="I98" s="9"/>
      <c r="J98" s="9">
        <f t="shared" si="2"/>
        <v>-4.0029854800887055E-3</v>
      </c>
      <c r="K98" s="9">
        <f t="shared" si="3"/>
        <v>-6.8917813668134542E-6</v>
      </c>
      <c r="L98" s="9"/>
    </row>
    <row r="99" spans="1:12" x14ac:dyDescent="0.25">
      <c r="A99" s="6">
        <v>40422</v>
      </c>
      <c r="B99" s="7">
        <v>139.46</v>
      </c>
      <c r="C99" s="7">
        <v>139.24</v>
      </c>
      <c r="D99" s="7">
        <v>138.63009651847599</v>
      </c>
      <c r="E99" s="7">
        <v>138.63009651847599</v>
      </c>
      <c r="F99" s="7">
        <v>138.63009651847599</v>
      </c>
      <c r="G99" s="7">
        <v>139.23756315451001</v>
      </c>
      <c r="H99" s="7">
        <v>139.23756315451001</v>
      </c>
      <c r="I99" s="9"/>
      <c r="J99" s="9">
        <f t="shared" si="2"/>
        <v>-4.3802318408792118E-3</v>
      </c>
      <c r="K99" s="9">
        <f t="shared" si="3"/>
        <v>-1.7501044886514272E-5</v>
      </c>
      <c r="L99" s="9"/>
    </row>
    <row r="100" spans="1:12" x14ac:dyDescent="0.25">
      <c r="A100" s="6">
        <v>40452</v>
      </c>
      <c r="B100" s="7">
        <v>139.33000000000001</v>
      </c>
      <c r="C100" s="7">
        <v>138.61000000000001</v>
      </c>
      <c r="D100" s="7">
        <v>137.493368983403</v>
      </c>
      <c r="E100" s="7">
        <v>137.493368983403</v>
      </c>
      <c r="F100" s="7">
        <v>137.493368983403</v>
      </c>
      <c r="G100" s="7">
        <v>138.61427440307</v>
      </c>
      <c r="H100" s="7">
        <v>138.61427440307</v>
      </c>
      <c r="I100" s="9"/>
      <c r="J100" s="9">
        <f t="shared" si="2"/>
        <v>-8.055919606067441E-3</v>
      </c>
      <c r="K100" s="9">
        <f t="shared" si="3"/>
        <v>3.0837624052981738E-5</v>
      </c>
      <c r="L100" s="9"/>
    </row>
    <row r="101" spans="1:12" x14ac:dyDescent="0.25">
      <c r="A101" s="6">
        <v>40483</v>
      </c>
      <c r="B101" s="7">
        <v>139.68</v>
      </c>
      <c r="C101" s="7">
        <v>140.29</v>
      </c>
      <c r="D101" s="7">
        <v>139.74245977051001</v>
      </c>
      <c r="E101" s="7">
        <v>139.74245977051001</v>
      </c>
      <c r="F101" s="7">
        <v>139.74245977051001</v>
      </c>
      <c r="G101" s="7">
        <v>140.28566005862999</v>
      </c>
      <c r="H101" s="7">
        <v>140.28566005862999</v>
      </c>
      <c r="I101" s="9"/>
      <c r="J101" s="9">
        <f t="shared" si="2"/>
        <v>-3.9029170253759293E-3</v>
      </c>
      <c r="K101" s="9">
        <f t="shared" si="3"/>
        <v>-3.0935500534678972E-5</v>
      </c>
      <c r="L101" s="9"/>
    </row>
    <row r="102" spans="1:12" x14ac:dyDescent="0.25">
      <c r="A102" s="6">
        <v>40513</v>
      </c>
      <c r="B102" s="7">
        <v>136.69</v>
      </c>
      <c r="C102" s="7">
        <v>138.24</v>
      </c>
      <c r="D102" s="7">
        <v>139.62661137812901</v>
      </c>
      <c r="E102" s="7">
        <v>139.62661137812901</v>
      </c>
      <c r="F102" s="7">
        <v>139.62661137812901</v>
      </c>
      <c r="G102" s="7">
        <v>138.23992663044899</v>
      </c>
      <c r="H102" s="7">
        <v>138.23992663044899</v>
      </c>
      <c r="I102" s="9"/>
      <c r="J102" s="9">
        <f t="shared" si="2"/>
        <v>1.0030464251511884E-2</v>
      </c>
      <c r="K102" s="9">
        <f t="shared" si="3"/>
        <v>-5.307403864174276E-7</v>
      </c>
      <c r="L102" s="9"/>
    </row>
    <row r="103" spans="1:12" x14ac:dyDescent="0.25">
      <c r="A103" s="6">
        <v>40544</v>
      </c>
      <c r="B103" s="7">
        <v>132.66</v>
      </c>
      <c r="C103" s="7">
        <v>140.12</v>
      </c>
      <c r="D103" s="7">
        <v>139.51252484457601</v>
      </c>
      <c r="E103" s="7">
        <v>139.51252484457601</v>
      </c>
      <c r="F103" s="7">
        <v>139.51252484457601</v>
      </c>
      <c r="G103" s="7">
        <v>140.118540526022</v>
      </c>
      <c r="H103" s="7">
        <v>140.118540526022</v>
      </c>
      <c r="I103" s="9"/>
      <c r="J103" s="9">
        <f t="shared" si="2"/>
        <v>-4.3353922025691771E-3</v>
      </c>
      <c r="K103" s="9">
        <f t="shared" si="3"/>
        <v>-1.0415886226078364E-5</v>
      </c>
      <c r="L103" s="9"/>
    </row>
    <row r="104" spans="1:12" x14ac:dyDescent="0.25">
      <c r="A104" s="6">
        <v>40575</v>
      </c>
      <c r="B104" s="7">
        <v>136.18</v>
      </c>
      <c r="C104" s="7">
        <v>140.81</v>
      </c>
      <c r="D104" s="7">
        <v>142.07360459191599</v>
      </c>
      <c r="E104" s="7">
        <v>142.07360459191599</v>
      </c>
      <c r="F104" s="7">
        <v>142.07360459191599</v>
      </c>
      <c r="G104" s="7">
        <v>140.80680390150701</v>
      </c>
      <c r="H104" s="7">
        <v>140.80680390150701</v>
      </c>
      <c r="I104" s="9"/>
      <c r="J104" s="9">
        <f t="shared" si="2"/>
        <v>8.9738270855479474E-3</v>
      </c>
      <c r="K104" s="9">
        <f t="shared" si="3"/>
        <v>-2.2697951090111523E-5</v>
      </c>
      <c r="L104" s="9"/>
    </row>
    <row r="105" spans="1:12" x14ac:dyDescent="0.25">
      <c r="A105" s="6">
        <v>40603</v>
      </c>
      <c r="B105" s="7">
        <v>144.93</v>
      </c>
      <c r="C105" s="7">
        <v>141.04</v>
      </c>
      <c r="D105" s="7">
        <v>140.71644577897399</v>
      </c>
      <c r="E105" s="7">
        <v>140.71644577897399</v>
      </c>
      <c r="F105" s="7">
        <v>140.71644577897399</v>
      </c>
      <c r="G105" s="7">
        <v>141.035978430413</v>
      </c>
      <c r="H105" s="7">
        <v>141.035978430413</v>
      </c>
      <c r="I105" s="9"/>
      <c r="J105" s="9">
        <f t="shared" si="2"/>
        <v>-2.2940599902581127E-3</v>
      </c>
      <c r="K105" s="9">
        <f t="shared" si="3"/>
        <v>-2.8513681132991131E-5</v>
      </c>
      <c r="L105" s="9"/>
    </row>
    <row r="106" spans="1:12" x14ac:dyDescent="0.25">
      <c r="A106" s="6">
        <v>40634</v>
      </c>
      <c r="B106" s="7">
        <v>139.88999999999999</v>
      </c>
      <c r="C106" s="7">
        <v>140.81</v>
      </c>
      <c r="D106" s="7">
        <v>140.33366494212601</v>
      </c>
      <c r="E106" s="7">
        <v>140.33366494212601</v>
      </c>
      <c r="F106" s="7">
        <v>140.33366494212601</v>
      </c>
      <c r="G106" s="7">
        <v>140.80633607843899</v>
      </c>
      <c r="H106" s="7">
        <v>140.80633607843899</v>
      </c>
      <c r="I106" s="9"/>
      <c r="J106" s="9">
        <f t="shared" si="2"/>
        <v>-3.3828212333925078E-3</v>
      </c>
      <c r="K106" s="9">
        <f t="shared" si="3"/>
        <v>-2.6020322143383012E-5</v>
      </c>
      <c r="L106" s="9"/>
    </row>
    <row r="107" spans="1:12" x14ac:dyDescent="0.25">
      <c r="A107" s="6">
        <v>40664</v>
      </c>
      <c r="B107" s="7">
        <v>143.22999999999999</v>
      </c>
      <c r="C107" s="7">
        <v>141.33000000000001</v>
      </c>
      <c r="D107" s="7">
        <v>142.36696708922599</v>
      </c>
      <c r="E107" s="7">
        <v>142.36696708922599</v>
      </c>
      <c r="F107" s="7">
        <v>142.36696708922599</v>
      </c>
      <c r="G107" s="7">
        <v>141.326419377642</v>
      </c>
      <c r="H107" s="7">
        <v>141.326419377642</v>
      </c>
      <c r="I107" s="9"/>
      <c r="J107" s="9">
        <f t="shared" si="2"/>
        <v>7.3372043389654529E-3</v>
      </c>
      <c r="K107" s="9">
        <f t="shared" si="3"/>
        <v>-2.533518968383941E-5</v>
      </c>
      <c r="L107" s="9"/>
    </row>
    <row r="108" spans="1:12" x14ac:dyDescent="0.25">
      <c r="A108" s="6">
        <v>40695</v>
      </c>
      <c r="B108" s="7">
        <v>141.75</v>
      </c>
      <c r="C108" s="7">
        <v>142.13</v>
      </c>
      <c r="D108" s="7">
        <v>142.32356720527801</v>
      </c>
      <c r="E108" s="7">
        <v>142.32356720527801</v>
      </c>
      <c r="F108" s="7">
        <v>142.32356720527801</v>
      </c>
      <c r="G108" s="7">
        <v>142.13403828654299</v>
      </c>
      <c r="H108" s="7">
        <v>142.13403828654299</v>
      </c>
      <c r="I108" s="9"/>
      <c r="J108" s="9">
        <f t="shared" si="2"/>
        <v>1.3619025207769475E-3</v>
      </c>
      <c r="K108" s="9">
        <f t="shared" si="3"/>
        <v>2.8412626067675362E-5</v>
      </c>
      <c r="L108" s="9"/>
    </row>
    <row r="109" spans="1:12" x14ac:dyDescent="0.25">
      <c r="A109" s="6">
        <v>40725</v>
      </c>
      <c r="B109" s="7">
        <v>145.19</v>
      </c>
      <c r="C109" s="7">
        <v>142.16999999999999</v>
      </c>
      <c r="D109" s="7">
        <v>140.882175394689</v>
      </c>
      <c r="E109" s="7">
        <v>140.882175394689</v>
      </c>
      <c r="F109" s="7">
        <v>140.882175394689</v>
      </c>
      <c r="G109" s="7">
        <v>142.17193379948</v>
      </c>
      <c r="H109" s="7">
        <v>142.17193379948</v>
      </c>
      <c r="I109" s="9"/>
      <c r="J109" s="9">
        <f t="shared" si="2"/>
        <v>-9.0583428663640886E-3</v>
      </c>
      <c r="K109" s="9">
        <f t="shared" si="3"/>
        <v>1.3602022086223187E-5</v>
      </c>
      <c r="L109" s="9"/>
    </row>
    <row r="110" spans="1:12" x14ac:dyDescent="0.25">
      <c r="A110" s="6">
        <v>40756</v>
      </c>
      <c r="B110" s="7">
        <v>147.51</v>
      </c>
      <c r="C110" s="7">
        <v>141.97999999999999</v>
      </c>
      <c r="D110" s="7">
        <v>143.06750535047499</v>
      </c>
      <c r="E110" s="7">
        <v>143.06750535047499</v>
      </c>
      <c r="F110" s="7">
        <v>143.06750535047499</v>
      </c>
      <c r="G110" s="7">
        <v>141.97666638342801</v>
      </c>
      <c r="H110" s="7">
        <v>141.97666638342801</v>
      </c>
      <c r="I110" s="9"/>
      <c r="J110" s="9">
        <f t="shared" si="2"/>
        <v>7.6595671959078793E-3</v>
      </c>
      <c r="K110" s="9">
        <f t="shared" si="3"/>
        <v>-2.3479480011134868E-5</v>
      </c>
      <c r="L110" s="9"/>
    </row>
    <row r="111" spans="1:12" x14ac:dyDescent="0.25">
      <c r="A111" s="6">
        <v>40787</v>
      </c>
      <c r="B111" s="7">
        <v>142.30000000000001</v>
      </c>
      <c r="C111" s="7">
        <v>141.79</v>
      </c>
      <c r="D111" s="7">
        <v>141.51838604845699</v>
      </c>
      <c r="E111" s="7">
        <v>141.51838604845699</v>
      </c>
      <c r="F111" s="7">
        <v>141.51838604845699</v>
      </c>
      <c r="G111" s="7">
        <v>141.79242761119301</v>
      </c>
      <c r="H111" s="7">
        <v>141.79242761119301</v>
      </c>
      <c r="I111" s="9"/>
      <c r="J111" s="9">
        <f t="shared" si="2"/>
        <v>-1.9156072469356245E-3</v>
      </c>
      <c r="K111" s="9">
        <f t="shared" si="3"/>
        <v>1.7121173517375965E-5</v>
      </c>
      <c r="L111" s="9"/>
    </row>
    <row r="112" spans="1:12" x14ac:dyDescent="0.25">
      <c r="A112" s="6">
        <v>40817</v>
      </c>
      <c r="B112" s="7">
        <v>142.02000000000001</v>
      </c>
      <c r="C112" s="7">
        <v>141.6</v>
      </c>
      <c r="D112" s="7">
        <v>139.882812382369</v>
      </c>
      <c r="E112" s="7">
        <v>139.882812382369</v>
      </c>
      <c r="F112" s="7">
        <v>139.882812382369</v>
      </c>
      <c r="G112" s="7">
        <v>141.60150192640299</v>
      </c>
      <c r="H112" s="7">
        <v>141.60150192640299</v>
      </c>
      <c r="I112" s="9"/>
      <c r="J112" s="9">
        <f t="shared" si="2"/>
        <v>-1.2127031197958993E-2</v>
      </c>
      <c r="K112" s="9">
        <f t="shared" si="3"/>
        <v>1.0606824879966226E-5</v>
      </c>
      <c r="L112" s="9"/>
    </row>
    <row r="113" spans="1:12" x14ac:dyDescent="0.25">
      <c r="A113" s="6">
        <v>40848</v>
      </c>
      <c r="B113" s="7">
        <v>141.87</v>
      </c>
      <c r="C113" s="7">
        <v>142.44</v>
      </c>
      <c r="D113" s="7">
        <v>142.00863711969799</v>
      </c>
      <c r="E113" s="7">
        <v>142.00863711969799</v>
      </c>
      <c r="F113" s="7">
        <v>142.00863711969799</v>
      </c>
      <c r="G113" s="7">
        <v>142.440664731449</v>
      </c>
      <c r="H113" s="7">
        <v>142.440664731449</v>
      </c>
      <c r="I113" s="9"/>
      <c r="J113" s="9">
        <f t="shared" si="2"/>
        <v>-3.0283830405926082E-3</v>
      </c>
      <c r="K113" s="9">
        <f t="shared" si="3"/>
        <v>4.6667470443573222E-6</v>
      </c>
      <c r="L113" s="9"/>
    </row>
    <row r="114" spans="1:12" x14ac:dyDescent="0.25">
      <c r="A114" s="6">
        <v>40878</v>
      </c>
      <c r="B114" s="7">
        <v>139.22999999999999</v>
      </c>
      <c r="C114" s="7">
        <v>140.47</v>
      </c>
      <c r="D114" s="7">
        <v>141.98778901533501</v>
      </c>
      <c r="E114" s="7">
        <v>141.98778901533501</v>
      </c>
      <c r="F114" s="7">
        <v>141.98778901533501</v>
      </c>
      <c r="G114" s="7">
        <v>140.468304958993</v>
      </c>
      <c r="H114" s="7">
        <v>140.468304958993</v>
      </c>
      <c r="I114" s="9"/>
      <c r="J114" s="9">
        <f t="shared" si="2"/>
        <v>1.0805075926069607E-2</v>
      </c>
      <c r="K114" s="9">
        <f t="shared" si="3"/>
        <v>-1.2066925371922999E-5</v>
      </c>
      <c r="L114" s="9"/>
    </row>
    <row r="115" spans="1:12" x14ac:dyDescent="0.25">
      <c r="A115" s="6">
        <v>40909</v>
      </c>
      <c r="B115" s="7">
        <v>133.34</v>
      </c>
      <c r="C115" s="7">
        <v>138.91999999999999</v>
      </c>
      <c r="D115" s="7">
        <v>140.016655845027</v>
      </c>
      <c r="E115" s="7">
        <v>140.016655845027</v>
      </c>
      <c r="F115" s="7">
        <v>140.016655845027</v>
      </c>
      <c r="G115" s="7">
        <v>138.92487776385599</v>
      </c>
      <c r="H115" s="7">
        <v>138.92487776385599</v>
      </c>
      <c r="I115" s="9"/>
      <c r="J115" s="9">
        <f t="shared" si="2"/>
        <v>7.8941537937446959E-3</v>
      </c>
      <c r="K115" s="9">
        <f t="shared" si="3"/>
        <v>3.5112034667550418E-5</v>
      </c>
      <c r="L115" s="9"/>
    </row>
    <row r="116" spans="1:12" x14ac:dyDescent="0.25">
      <c r="A116" s="6">
        <v>40940</v>
      </c>
      <c r="B116" s="7">
        <v>135.35</v>
      </c>
      <c r="C116" s="7">
        <v>140.46</v>
      </c>
      <c r="D116" s="7">
        <v>141.16189283976499</v>
      </c>
      <c r="E116" s="7">
        <v>141.16189283976499</v>
      </c>
      <c r="F116" s="7">
        <v>141.16189283976499</v>
      </c>
      <c r="G116" s="7">
        <v>140.455333551249</v>
      </c>
      <c r="H116" s="7">
        <v>140.455333551249</v>
      </c>
      <c r="I116" s="9"/>
      <c r="J116" s="9">
        <f t="shared" si="2"/>
        <v>4.9971012371137213E-3</v>
      </c>
      <c r="K116" s="9">
        <f t="shared" si="3"/>
        <v>-3.3222616766415136E-5</v>
      </c>
      <c r="L116" s="9"/>
    </row>
    <row r="117" spans="1:12" x14ac:dyDescent="0.25">
      <c r="A117" s="6">
        <v>40969</v>
      </c>
      <c r="B117" s="7">
        <v>146.35</v>
      </c>
      <c r="C117" s="7">
        <v>140.07</v>
      </c>
      <c r="D117" s="7">
        <v>142.277378721768</v>
      </c>
      <c r="E117" s="7">
        <v>142.277378721768</v>
      </c>
      <c r="F117" s="7">
        <v>142.277378721768</v>
      </c>
      <c r="G117" s="7">
        <v>140.06884096024999</v>
      </c>
      <c r="H117" s="7">
        <v>140.06884096024999</v>
      </c>
      <c r="I117" s="9"/>
      <c r="J117" s="9">
        <f t="shared" si="2"/>
        <v>1.5759111314114449E-2</v>
      </c>
      <c r="K117" s="9">
        <f t="shared" si="3"/>
        <v>-8.27471799824675E-6</v>
      </c>
      <c r="L117" s="9"/>
    </row>
    <row r="118" spans="1:12" x14ac:dyDescent="0.25">
      <c r="A118" s="6">
        <v>41000</v>
      </c>
      <c r="B118" s="7">
        <v>139.85</v>
      </c>
      <c r="C118" s="7">
        <v>141</v>
      </c>
      <c r="D118" s="7">
        <v>140.28314439819999</v>
      </c>
      <c r="E118" s="7">
        <v>140.28314439819999</v>
      </c>
      <c r="F118" s="7">
        <v>140.28314439819999</v>
      </c>
      <c r="G118" s="7">
        <v>140.99629946079401</v>
      </c>
      <c r="H118" s="7">
        <v>140.99629946079401</v>
      </c>
      <c r="I118" s="9"/>
      <c r="J118" s="9">
        <f t="shared" si="2"/>
        <v>-5.0840822822695309E-3</v>
      </c>
      <c r="K118" s="9">
        <f t="shared" si="3"/>
        <v>-2.6244958907795102E-5</v>
      </c>
      <c r="L118" s="9"/>
    </row>
    <row r="119" spans="1:12" x14ac:dyDescent="0.25">
      <c r="A119" s="6">
        <v>41030</v>
      </c>
      <c r="B119" s="7">
        <v>144.56</v>
      </c>
      <c r="C119" s="7">
        <v>142.62</v>
      </c>
      <c r="D119" s="7">
        <v>143.634748871477</v>
      </c>
      <c r="E119" s="7">
        <v>143.634748871477</v>
      </c>
      <c r="F119" s="7">
        <v>143.634748871477</v>
      </c>
      <c r="G119" s="7">
        <v>142.61863968457499</v>
      </c>
      <c r="H119" s="7">
        <v>142.61863968457499</v>
      </c>
      <c r="I119" s="9"/>
      <c r="J119" s="9">
        <f t="shared" si="2"/>
        <v>7.1150530884658281E-3</v>
      </c>
      <c r="K119" s="9">
        <f t="shared" si="3"/>
        <v>-9.5380411233580986E-6</v>
      </c>
      <c r="L119" s="9"/>
    </row>
    <row r="120" spans="1:12" x14ac:dyDescent="0.25">
      <c r="A120" s="6">
        <v>41061</v>
      </c>
      <c r="B120" s="7">
        <v>142.28</v>
      </c>
      <c r="C120" s="7">
        <v>143.55000000000001</v>
      </c>
      <c r="D120" s="7">
        <v>143.15667780661801</v>
      </c>
      <c r="E120" s="7">
        <v>143.15667780661801</v>
      </c>
      <c r="F120" s="7">
        <v>143.15667780661801</v>
      </c>
      <c r="G120" s="7">
        <v>143.546078962389</v>
      </c>
      <c r="H120" s="7">
        <v>143.546078962389</v>
      </c>
      <c r="I120" s="9"/>
      <c r="J120" s="9">
        <f t="shared" si="2"/>
        <v>-2.7399665160711129E-3</v>
      </c>
      <c r="K120" s="9">
        <f t="shared" si="3"/>
        <v>-2.7314786562260274E-5</v>
      </c>
      <c r="L120" s="9"/>
    </row>
    <row r="121" spans="1:12" x14ac:dyDescent="0.25">
      <c r="A121" s="6">
        <v>41091</v>
      </c>
      <c r="B121" s="7">
        <v>147.46</v>
      </c>
      <c r="C121" s="7">
        <v>143.94999999999999</v>
      </c>
      <c r="D121" s="7">
        <v>143.35087310817201</v>
      </c>
      <c r="E121" s="7">
        <v>143.35087310817201</v>
      </c>
      <c r="F121" s="7">
        <v>143.35087310817201</v>
      </c>
      <c r="G121" s="7">
        <v>143.95418565182601</v>
      </c>
      <c r="H121" s="7">
        <v>143.95418565182601</v>
      </c>
      <c r="I121" s="9"/>
      <c r="J121" s="9">
        <f t="shared" si="2"/>
        <v>-4.1620485712259292E-3</v>
      </c>
      <c r="K121" s="9">
        <f t="shared" si="3"/>
        <v>2.9077122792875443E-5</v>
      </c>
      <c r="L121" s="9"/>
    </row>
    <row r="122" spans="1:12" x14ac:dyDescent="0.25">
      <c r="A122" s="6">
        <v>41122</v>
      </c>
      <c r="B122" s="7">
        <v>149.91</v>
      </c>
      <c r="C122" s="7">
        <v>144.31</v>
      </c>
      <c r="D122" s="7">
        <v>145.57563049500499</v>
      </c>
      <c r="E122" s="7">
        <v>145.57563049500499</v>
      </c>
      <c r="F122" s="7">
        <v>145.57563049500499</v>
      </c>
      <c r="G122" s="7">
        <v>144.314867373596</v>
      </c>
      <c r="H122" s="7">
        <v>144.314867373596</v>
      </c>
      <c r="I122" s="9"/>
      <c r="J122" s="9">
        <f t="shared" si="2"/>
        <v>8.7702203243364973E-3</v>
      </c>
      <c r="K122" s="9">
        <f t="shared" si="3"/>
        <v>3.3728595357107594E-5</v>
      </c>
      <c r="L122" s="9"/>
    </row>
    <row r="123" spans="1:12" x14ac:dyDescent="0.25">
      <c r="A123" s="6">
        <v>41153</v>
      </c>
      <c r="B123" s="7">
        <v>141.6</v>
      </c>
      <c r="C123" s="7">
        <v>143.66999999999999</v>
      </c>
      <c r="D123" s="7">
        <v>140.996235465165</v>
      </c>
      <c r="E123" s="7">
        <v>140.996235465165</v>
      </c>
      <c r="F123" s="7">
        <v>140.996235465165</v>
      </c>
      <c r="G123" s="7">
        <v>143.665352386498</v>
      </c>
      <c r="H123" s="7">
        <v>143.665352386498</v>
      </c>
      <c r="I123" s="9"/>
      <c r="J123" s="9">
        <f t="shared" si="2"/>
        <v>-1.8610458236479333E-2</v>
      </c>
      <c r="K123" s="9">
        <f t="shared" si="3"/>
        <v>-3.2349227409911308E-5</v>
      </c>
      <c r="L123" s="9"/>
    </row>
    <row r="124" spans="1:12" x14ac:dyDescent="0.25">
      <c r="A124" s="6">
        <v>41183</v>
      </c>
      <c r="B124" s="7">
        <v>147.71</v>
      </c>
      <c r="C124" s="7">
        <v>144.88999999999999</v>
      </c>
      <c r="D124" s="7">
        <v>145.259790088747</v>
      </c>
      <c r="E124" s="7">
        <v>145.259790088747</v>
      </c>
      <c r="F124" s="7">
        <v>145.259790088747</v>
      </c>
      <c r="G124" s="7">
        <v>144.88703319062299</v>
      </c>
      <c r="H124" s="7">
        <v>144.88703319062299</v>
      </c>
      <c r="I124" s="9"/>
      <c r="J124" s="9">
        <f t="shared" si="2"/>
        <v>2.5522126354269314E-3</v>
      </c>
      <c r="K124" s="9">
        <f t="shared" si="3"/>
        <v>-2.047628805990076E-5</v>
      </c>
      <c r="L124" s="9"/>
    </row>
    <row r="125" spans="1:12" x14ac:dyDescent="0.25">
      <c r="A125" s="6">
        <v>41214</v>
      </c>
      <c r="B125" s="7">
        <v>144.15</v>
      </c>
      <c r="C125" s="7">
        <v>144.72999999999999</v>
      </c>
      <c r="D125" s="7">
        <v>144.43349227231701</v>
      </c>
      <c r="E125" s="7">
        <v>144.43349227231701</v>
      </c>
      <c r="F125" s="7">
        <v>144.43349227231701</v>
      </c>
      <c r="G125" s="7">
        <v>144.730406025896</v>
      </c>
      <c r="H125" s="7">
        <v>144.730406025896</v>
      </c>
      <c r="I125" s="9"/>
      <c r="J125" s="9">
        <f t="shared" si="2"/>
        <v>-2.0486956932423972E-3</v>
      </c>
      <c r="K125" s="9">
        <f t="shared" si="3"/>
        <v>2.8054024461265925E-6</v>
      </c>
      <c r="L125" s="9"/>
    </row>
    <row r="126" spans="1:12" x14ac:dyDescent="0.25">
      <c r="A126" s="6">
        <v>41244</v>
      </c>
      <c r="B126" s="7">
        <v>139.52000000000001</v>
      </c>
      <c r="C126" s="7">
        <v>144.06</v>
      </c>
      <c r="D126" s="7">
        <v>141.88586108294601</v>
      </c>
      <c r="E126" s="7">
        <v>141.88586108294601</v>
      </c>
      <c r="F126" s="7">
        <v>141.88586108294601</v>
      </c>
      <c r="G126" s="7">
        <v>144.05786335753501</v>
      </c>
      <c r="H126" s="7">
        <v>144.05786335753501</v>
      </c>
      <c r="I126" s="9"/>
      <c r="J126" s="9">
        <f t="shared" si="2"/>
        <v>-1.5091898632889067E-2</v>
      </c>
      <c r="K126" s="9">
        <f t="shared" si="3"/>
        <v>-1.4831615056110081E-5</v>
      </c>
      <c r="L126" s="9"/>
    </row>
    <row r="127" spans="1:12" x14ac:dyDescent="0.25">
      <c r="A127" s="6">
        <v>41275</v>
      </c>
      <c r="B127" s="7">
        <v>139.32</v>
      </c>
      <c r="C127" s="7">
        <v>144.91999999999999</v>
      </c>
      <c r="D127" s="7">
        <v>145.83248574086801</v>
      </c>
      <c r="E127" s="7">
        <v>145.83248574086801</v>
      </c>
      <c r="F127" s="7">
        <v>145.83248574086801</v>
      </c>
      <c r="G127" s="7">
        <v>144.92204060328299</v>
      </c>
      <c r="H127" s="7">
        <v>144.92204060328299</v>
      </c>
      <c r="I127" s="9"/>
      <c r="J127" s="9">
        <f t="shared" si="2"/>
        <v>6.2964790288988493E-3</v>
      </c>
      <c r="K127" s="9">
        <f t="shared" si="3"/>
        <v>1.4080894859214155E-5</v>
      </c>
      <c r="L127" s="9"/>
    </row>
    <row r="128" spans="1:12" x14ac:dyDescent="0.25">
      <c r="A128" s="6">
        <v>41306</v>
      </c>
      <c r="B128" s="7">
        <v>136.13999999999999</v>
      </c>
      <c r="C128" s="7">
        <v>143.78</v>
      </c>
      <c r="D128" s="7">
        <v>141.86059571541099</v>
      </c>
      <c r="E128" s="7">
        <v>141.86059571541099</v>
      </c>
      <c r="F128" s="7">
        <v>141.86059571541099</v>
      </c>
      <c r="G128" s="7">
        <v>143.78222055554201</v>
      </c>
      <c r="H128" s="7">
        <v>143.78222055554201</v>
      </c>
      <c r="I128" s="9"/>
      <c r="J128" s="9">
        <f t="shared" si="2"/>
        <v>-1.3349591630192004E-2</v>
      </c>
      <c r="K128" s="9">
        <f t="shared" si="3"/>
        <v>1.5444119780383403E-5</v>
      </c>
      <c r="L128" s="9"/>
    </row>
    <row r="129" spans="1:12" x14ac:dyDescent="0.25">
      <c r="A129" s="6">
        <v>41334</v>
      </c>
      <c r="B129" s="7">
        <v>148.01</v>
      </c>
      <c r="C129" s="7">
        <v>144.91999999999999</v>
      </c>
      <c r="D129" s="7">
        <v>143.90053092680199</v>
      </c>
      <c r="E129" s="7">
        <v>143.90053092680199</v>
      </c>
      <c r="F129" s="7">
        <v>143.90053092680199</v>
      </c>
      <c r="G129" s="7">
        <v>144.91706663965601</v>
      </c>
      <c r="H129" s="7">
        <v>144.91706663965601</v>
      </c>
      <c r="I129" s="9"/>
      <c r="J129" s="9">
        <f t="shared" si="2"/>
        <v>-7.0347024095914756E-3</v>
      </c>
      <c r="K129" s="9">
        <f t="shared" si="3"/>
        <v>-2.0241238917861892E-5</v>
      </c>
      <c r="L129" s="9"/>
    </row>
    <row r="130" spans="1:12" x14ac:dyDescent="0.25">
      <c r="A130" s="6">
        <v>41365</v>
      </c>
      <c r="B130" s="7">
        <v>149.79</v>
      </c>
      <c r="C130" s="7">
        <v>146.35</v>
      </c>
      <c r="D130" s="7">
        <v>150.04860864488001</v>
      </c>
      <c r="E130" s="7">
        <v>150.04860864488001</v>
      </c>
      <c r="F130" s="7">
        <v>150.04860864488001</v>
      </c>
      <c r="G130" s="7">
        <v>146.35328276427299</v>
      </c>
      <c r="H130" s="7">
        <v>146.35328276427299</v>
      </c>
      <c r="I130" s="9"/>
      <c r="J130" s="9">
        <f t="shared" si="2"/>
        <v>2.5272351519508129E-2</v>
      </c>
      <c r="K130" s="9">
        <f t="shared" si="3"/>
        <v>2.243091406217701E-5</v>
      </c>
      <c r="L130" s="9"/>
    </row>
    <row r="131" spans="1:12" x14ac:dyDescent="0.25">
      <c r="A131" s="6">
        <v>41395</v>
      </c>
      <c r="B131" s="7">
        <v>147.03</v>
      </c>
      <c r="C131" s="7">
        <v>146.81</v>
      </c>
      <c r="D131" s="7">
        <v>146.356906430962</v>
      </c>
      <c r="E131" s="7">
        <v>146.356906430962</v>
      </c>
      <c r="F131" s="7">
        <v>146.356906430962</v>
      </c>
      <c r="G131" s="7">
        <v>146.81386259561799</v>
      </c>
      <c r="H131" s="7">
        <v>146.81386259561799</v>
      </c>
      <c r="I131" s="9"/>
      <c r="J131" s="9">
        <f t="shared" si="2"/>
        <v>-3.0862582183639464E-3</v>
      </c>
      <c r="K131" s="9">
        <f t="shared" si="3"/>
        <v>2.6310167004828244E-5</v>
      </c>
      <c r="L131" s="9"/>
    </row>
    <row r="132" spans="1:12" x14ac:dyDescent="0.25">
      <c r="A132" s="6">
        <v>41426</v>
      </c>
      <c r="B132" s="7">
        <v>144.87</v>
      </c>
      <c r="C132" s="7">
        <v>146.35</v>
      </c>
      <c r="D132" s="7">
        <v>145.86704206864599</v>
      </c>
      <c r="E132" s="7">
        <v>145.86704206864599</v>
      </c>
      <c r="F132" s="7">
        <v>145.86704206864599</v>
      </c>
      <c r="G132" s="7">
        <v>146.348230373831</v>
      </c>
      <c r="H132" s="7">
        <v>146.348230373831</v>
      </c>
      <c r="I132" s="9"/>
      <c r="J132" s="9">
        <f t="shared" si="2"/>
        <v>-3.3000200297506055E-3</v>
      </c>
      <c r="K132" s="9">
        <f t="shared" si="3"/>
        <v>-1.2091740136610518E-5</v>
      </c>
      <c r="L132" s="9"/>
    </row>
    <row r="133" spans="1:12" x14ac:dyDescent="0.25">
      <c r="A133" s="6">
        <v>41456</v>
      </c>
      <c r="B133" s="7">
        <v>152.13</v>
      </c>
      <c r="C133" s="7">
        <v>147.06</v>
      </c>
      <c r="D133" s="7">
        <v>148.24242961152399</v>
      </c>
      <c r="E133" s="7">
        <v>148.24242961152399</v>
      </c>
      <c r="F133" s="7">
        <v>148.24242961152399</v>
      </c>
      <c r="G133" s="7">
        <v>147.05623610102199</v>
      </c>
      <c r="H133" s="7">
        <v>147.05623610102199</v>
      </c>
      <c r="I133" s="9"/>
      <c r="J133" s="9">
        <f t="shared" si="2"/>
        <v>8.0404570347067938E-3</v>
      </c>
      <c r="K133" s="9">
        <f t="shared" si="3"/>
        <v>-2.5594308295961987E-5</v>
      </c>
      <c r="L133" s="9"/>
    </row>
    <row r="134" spans="1:12" x14ac:dyDescent="0.25">
      <c r="A134" s="6">
        <v>41487</v>
      </c>
      <c r="B134" s="7">
        <v>151.81</v>
      </c>
      <c r="C134" s="7">
        <v>147.16999999999999</v>
      </c>
      <c r="D134" s="7">
        <v>147.80257083264999</v>
      </c>
      <c r="E134" s="7">
        <v>147.80257083264999</v>
      </c>
      <c r="F134" s="7">
        <v>147.80257083264999</v>
      </c>
      <c r="G134" s="7">
        <v>147.16775271157101</v>
      </c>
      <c r="H134" s="7">
        <v>147.16775271157101</v>
      </c>
      <c r="I134" s="9"/>
      <c r="J134" s="9">
        <f t="shared" si="2"/>
        <v>4.2982321984779137E-3</v>
      </c>
      <c r="K134" s="9">
        <f t="shared" si="3"/>
        <v>-1.5270017184043638E-5</v>
      </c>
      <c r="L134" s="9"/>
    </row>
    <row r="135" spans="1:12" x14ac:dyDescent="0.25">
      <c r="A135" s="6">
        <v>41518</v>
      </c>
      <c r="B135" s="7">
        <v>147.27000000000001</v>
      </c>
      <c r="C135" s="7">
        <v>148.09</v>
      </c>
      <c r="D135" s="7">
        <v>146.761905349475</v>
      </c>
      <c r="E135" s="7">
        <v>146.761905349475</v>
      </c>
      <c r="F135" s="7">
        <v>146.761905349475</v>
      </c>
      <c r="G135" s="7">
        <v>148.09382750129899</v>
      </c>
      <c r="H135" s="7">
        <v>148.09382750129899</v>
      </c>
      <c r="I135" s="9"/>
      <c r="J135" s="9">
        <f t="shared" ref="J135:J198" si="4">E135/$C135-1</f>
        <v>-8.9681588934094059E-3</v>
      </c>
      <c r="K135" s="9">
        <f t="shared" ref="K135:K198" si="5">G135/$C135-1</f>
        <v>2.5845778236055494E-5</v>
      </c>
      <c r="L135" s="9"/>
    </row>
    <row r="136" spans="1:12" x14ac:dyDescent="0.25">
      <c r="A136" s="6">
        <v>41548</v>
      </c>
      <c r="B136" s="7">
        <v>151.9</v>
      </c>
      <c r="C136" s="7">
        <v>148.05000000000001</v>
      </c>
      <c r="D136" s="7">
        <v>149.23599464868201</v>
      </c>
      <c r="E136" s="7">
        <v>149.23599464868201</v>
      </c>
      <c r="F136" s="7">
        <v>149.23599464868201</v>
      </c>
      <c r="G136" s="7">
        <v>148.05306304499601</v>
      </c>
      <c r="H136" s="7">
        <v>148.05306304499601</v>
      </c>
      <c r="I136" s="9"/>
      <c r="J136" s="9">
        <f t="shared" si="4"/>
        <v>8.0107710144006194E-3</v>
      </c>
      <c r="K136" s="9">
        <f t="shared" si="5"/>
        <v>2.0689260358031092E-5</v>
      </c>
      <c r="L136" s="9"/>
    </row>
    <row r="137" spans="1:12" x14ac:dyDescent="0.25">
      <c r="A137" s="6">
        <v>41579</v>
      </c>
      <c r="B137" s="7">
        <v>147.79</v>
      </c>
      <c r="C137" s="7">
        <v>148.44</v>
      </c>
      <c r="D137" s="7">
        <v>148.31299279361201</v>
      </c>
      <c r="E137" s="7">
        <v>148.31299279361201</v>
      </c>
      <c r="F137" s="7">
        <v>148.31299279361201</v>
      </c>
      <c r="G137" s="7">
        <v>148.440903060609</v>
      </c>
      <c r="H137" s="7">
        <v>148.440903060609</v>
      </c>
      <c r="I137" s="9"/>
      <c r="J137" s="9">
        <f t="shared" si="4"/>
        <v>-8.556130853407673E-4</v>
      </c>
      <c r="K137" s="9">
        <f t="shared" si="5"/>
        <v>6.0836742725722814E-6</v>
      </c>
      <c r="L137" s="9"/>
    </row>
    <row r="138" spans="1:12" x14ac:dyDescent="0.25">
      <c r="A138" s="6">
        <v>41609</v>
      </c>
      <c r="B138" s="7">
        <v>145.77000000000001</v>
      </c>
      <c r="C138" s="7">
        <v>148.62</v>
      </c>
      <c r="D138" s="7">
        <v>147.67884150179901</v>
      </c>
      <c r="E138" s="7">
        <v>147.67884150179901</v>
      </c>
      <c r="F138" s="7">
        <v>147.67884150179901</v>
      </c>
      <c r="G138" s="7">
        <v>148.61618388307599</v>
      </c>
      <c r="H138" s="7">
        <v>148.61618388307599</v>
      </c>
      <c r="I138" s="9"/>
      <c r="J138" s="9">
        <f t="shared" si="4"/>
        <v>-6.3326503714237203E-3</v>
      </c>
      <c r="K138" s="9">
        <f t="shared" si="5"/>
        <v>-2.5677007966740106E-5</v>
      </c>
      <c r="L138" s="9"/>
    </row>
    <row r="139" spans="1:12" x14ac:dyDescent="0.25">
      <c r="A139" s="6">
        <v>41640</v>
      </c>
      <c r="B139" s="7">
        <v>142.72</v>
      </c>
      <c r="C139" s="7">
        <v>148.25</v>
      </c>
      <c r="D139" s="7">
        <v>149.01469235682001</v>
      </c>
      <c r="E139" s="7">
        <v>149.01469235682001</v>
      </c>
      <c r="F139" s="7">
        <v>149.01469235682001</v>
      </c>
      <c r="G139" s="7">
        <v>148.24834129421501</v>
      </c>
      <c r="H139" s="7">
        <v>148.24834129421501</v>
      </c>
      <c r="I139" s="9"/>
      <c r="J139" s="9">
        <f t="shared" si="4"/>
        <v>5.1581271960876585E-3</v>
      </c>
      <c r="K139" s="9">
        <f t="shared" si="5"/>
        <v>-1.1188571905518252E-5</v>
      </c>
      <c r="L139" s="9"/>
    </row>
    <row r="140" spans="1:12" x14ac:dyDescent="0.25">
      <c r="A140" s="6">
        <v>41671</v>
      </c>
      <c r="B140" s="7">
        <v>143.53</v>
      </c>
      <c r="C140" s="7">
        <v>147.94999999999999</v>
      </c>
      <c r="D140" s="7">
        <v>149.284161382348</v>
      </c>
      <c r="E140" s="7">
        <v>149.284161382348</v>
      </c>
      <c r="F140" s="7">
        <v>149.284161382348</v>
      </c>
      <c r="G140" s="7">
        <v>147.95118591749301</v>
      </c>
      <c r="H140" s="7">
        <v>147.95118591749301</v>
      </c>
      <c r="I140" s="9"/>
      <c r="J140" s="9">
        <f t="shared" si="4"/>
        <v>9.0176504383103762E-3</v>
      </c>
      <c r="K140" s="9">
        <f t="shared" si="5"/>
        <v>8.0156640285267144E-6</v>
      </c>
      <c r="L140" s="9"/>
    </row>
    <row r="141" spans="1:12" x14ac:dyDescent="0.25">
      <c r="A141" s="6">
        <v>41699</v>
      </c>
      <c r="B141" s="7">
        <v>149.03</v>
      </c>
      <c r="C141" s="7">
        <v>147.78</v>
      </c>
      <c r="D141" s="7">
        <v>144.67238921511</v>
      </c>
      <c r="E141" s="7">
        <v>144.67238921511</v>
      </c>
      <c r="F141" s="7">
        <v>144.67238921511</v>
      </c>
      <c r="G141" s="7">
        <v>147.77926260065601</v>
      </c>
      <c r="H141" s="7">
        <v>147.77926260065601</v>
      </c>
      <c r="I141" s="9"/>
      <c r="J141" s="9">
        <f t="shared" si="4"/>
        <v>-2.102862894092572E-2</v>
      </c>
      <c r="K141" s="9">
        <f t="shared" si="5"/>
        <v>-4.9898453375885055E-6</v>
      </c>
      <c r="L141" s="9"/>
    </row>
    <row r="142" spans="1:12" x14ac:dyDescent="0.25">
      <c r="A142" s="6">
        <v>41730</v>
      </c>
      <c r="B142" s="7">
        <v>147.69</v>
      </c>
      <c r="C142" s="7">
        <v>146.96</v>
      </c>
      <c r="D142" s="7">
        <v>147.667552538612</v>
      </c>
      <c r="E142" s="7">
        <v>147.667552538612</v>
      </c>
      <c r="F142" s="7">
        <v>147.667552538612</v>
      </c>
      <c r="G142" s="7">
        <v>146.959271280173</v>
      </c>
      <c r="H142" s="7">
        <v>146.959271280173</v>
      </c>
      <c r="I142" s="9"/>
      <c r="J142" s="9">
        <f t="shared" si="4"/>
        <v>4.8145926688349938E-3</v>
      </c>
      <c r="K142" s="9">
        <f t="shared" si="5"/>
        <v>-4.9586270209900363E-6</v>
      </c>
      <c r="L142" s="9"/>
    </row>
    <row r="143" spans="1:12" x14ac:dyDescent="0.25">
      <c r="A143" s="6">
        <v>41760</v>
      </c>
      <c r="B143" s="7">
        <v>147.13999999999999</v>
      </c>
      <c r="C143" s="7">
        <v>146.33000000000001</v>
      </c>
      <c r="D143" s="7">
        <v>146.83309790244201</v>
      </c>
      <c r="E143" s="7">
        <v>146.83309790244201</v>
      </c>
      <c r="F143" s="7">
        <v>146.83309790244201</v>
      </c>
      <c r="G143" s="7">
        <v>146.33484512429499</v>
      </c>
      <c r="H143" s="7">
        <v>146.33484512429499</v>
      </c>
      <c r="I143" s="9"/>
      <c r="J143" s="9">
        <f t="shared" si="4"/>
        <v>3.438104984910817E-3</v>
      </c>
      <c r="K143" s="9">
        <f t="shared" si="5"/>
        <v>3.3110943039593721E-5</v>
      </c>
      <c r="L143" s="9"/>
    </row>
    <row r="144" spans="1:12" x14ac:dyDescent="0.25">
      <c r="A144" s="6">
        <v>41791</v>
      </c>
      <c r="B144" s="7">
        <v>140.88</v>
      </c>
      <c r="C144" s="7">
        <v>143.57</v>
      </c>
      <c r="D144" s="7">
        <v>141.85377056767899</v>
      </c>
      <c r="E144" s="7">
        <v>141.85377056767899</v>
      </c>
      <c r="F144" s="7">
        <v>141.85377056767899</v>
      </c>
      <c r="G144" s="7">
        <v>143.57327462457499</v>
      </c>
      <c r="H144" s="7">
        <v>143.57327462457499</v>
      </c>
      <c r="I144" s="9"/>
      <c r="J144" s="9">
        <f t="shared" si="4"/>
        <v>-1.1953955786870529E-2</v>
      </c>
      <c r="K144" s="9">
        <f t="shared" si="5"/>
        <v>2.2808557323950041E-5</v>
      </c>
      <c r="L144" s="9"/>
    </row>
    <row r="145" spans="1:12" x14ac:dyDescent="0.25">
      <c r="A145" s="6">
        <v>41821</v>
      </c>
      <c r="B145" s="7">
        <v>149.85</v>
      </c>
      <c r="C145" s="7">
        <v>144.72</v>
      </c>
      <c r="D145" s="7">
        <v>146.14392767303499</v>
      </c>
      <c r="E145" s="7">
        <v>146.14392767303499</v>
      </c>
      <c r="F145" s="7">
        <v>146.14392767303499</v>
      </c>
      <c r="G145" s="7">
        <v>144.72423512008399</v>
      </c>
      <c r="H145" s="7">
        <v>144.72423512008399</v>
      </c>
      <c r="I145" s="9"/>
      <c r="J145" s="9">
        <f t="shared" si="4"/>
        <v>9.8391906649737404E-3</v>
      </c>
      <c r="K145" s="9">
        <f t="shared" si="5"/>
        <v>2.9264234963966018E-5</v>
      </c>
      <c r="L145" s="9"/>
    </row>
    <row r="146" spans="1:12" x14ac:dyDescent="0.25">
      <c r="A146" s="6">
        <v>41852</v>
      </c>
      <c r="B146" s="7">
        <v>148.27000000000001</v>
      </c>
      <c r="C146" s="7">
        <v>145.63</v>
      </c>
      <c r="D146" s="7">
        <v>144.59045139667501</v>
      </c>
      <c r="E146" s="7">
        <v>144.59045139667501</v>
      </c>
      <c r="F146" s="7">
        <v>144.59045139667501</v>
      </c>
      <c r="G146" s="7">
        <v>145.62629741178901</v>
      </c>
      <c r="H146" s="7">
        <v>145.62629741178901</v>
      </c>
      <c r="I146" s="9"/>
      <c r="J146" s="9">
        <f t="shared" si="4"/>
        <v>-7.138286090262902E-3</v>
      </c>
      <c r="K146" s="9">
        <f t="shared" si="5"/>
        <v>-2.5424625496039965E-5</v>
      </c>
      <c r="L146" s="9"/>
    </row>
    <row r="147" spans="1:12" x14ac:dyDescent="0.25">
      <c r="A147" s="6">
        <v>41883</v>
      </c>
      <c r="B147" s="7">
        <v>148.12</v>
      </c>
      <c r="C147" s="7">
        <v>146.29</v>
      </c>
      <c r="D147" s="7">
        <v>147.80928972580699</v>
      </c>
      <c r="E147" s="7">
        <v>147.80928972580699</v>
      </c>
      <c r="F147" s="7">
        <v>147.80928972580699</v>
      </c>
      <c r="G147" s="7">
        <v>146.294489821756</v>
      </c>
      <c r="H147" s="7">
        <v>146.294489821756</v>
      </c>
      <c r="I147" s="9"/>
      <c r="J147" s="9">
        <f t="shared" si="4"/>
        <v>1.0385465348328626E-2</v>
      </c>
      <c r="K147" s="9">
        <f t="shared" si="5"/>
        <v>3.0691241752700549E-5</v>
      </c>
      <c r="L147" s="9"/>
    </row>
    <row r="148" spans="1:12" x14ac:dyDescent="0.25">
      <c r="A148" s="6">
        <v>41913</v>
      </c>
      <c r="B148" s="7">
        <v>149.69999999999999</v>
      </c>
      <c r="C148" s="7">
        <v>145.46</v>
      </c>
      <c r="D148" s="7">
        <v>147.05597812288801</v>
      </c>
      <c r="E148" s="7">
        <v>147.05597812288801</v>
      </c>
      <c r="F148" s="7">
        <v>147.05597812288801</v>
      </c>
      <c r="G148" s="7">
        <v>145.459526829987</v>
      </c>
      <c r="H148" s="7">
        <v>145.459526829987</v>
      </c>
      <c r="I148" s="9"/>
      <c r="J148" s="9">
        <f t="shared" si="4"/>
        <v>1.0971938147174454E-2</v>
      </c>
      <c r="K148" s="9">
        <f t="shared" si="5"/>
        <v>-3.2529218548793537E-6</v>
      </c>
      <c r="L148" s="9"/>
    </row>
    <row r="149" spans="1:12" x14ac:dyDescent="0.25">
      <c r="A149" s="6">
        <v>41944</v>
      </c>
      <c r="B149" s="7">
        <v>144.91999999999999</v>
      </c>
      <c r="C149" s="7">
        <v>145.61000000000001</v>
      </c>
      <c r="D149" s="7">
        <v>145.72766513649901</v>
      </c>
      <c r="E149" s="7">
        <v>145.72766513649901</v>
      </c>
      <c r="F149" s="7">
        <v>145.72766513649901</v>
      </c>
      <c r="G149" s="7">
        <v>145.60542432145499</v>
      </c>
      <c r="H149" s="7">
        <v>145.60542432145499</v>
      </c>
      <c r="I149" s="9"/>
      <c r="J149" s="9">
        <f t="shared" si="4"/>
        <v>8.0808417347011385E-4</v>
      </c>
      <c r="K149" s="9">
        <f t="shared" si="5"/>
        <v>-3.1424205377494907E-5</v>
      </c>
      <c r="L149" s="9"/>
    </row>
    <row r="150" spans="1:12" x14ac:dyDescent="0.25">
      <c r="A150" s="6">
        <v>41974</v>
      </c>
      <c r="B150" s="7">
        <v>145.47999999999999</v>
      </c>
      <c r="C150" s="7">
        <v>146.04</v>
      </c>
      <c r="D150" s="7">
        <v>146.85196659028099</v>
      </c>
      <c r="E150" s="7">
        <v>146.85196659028099</v>
      </c>
      <c r="F150" s="7">
        <v>146.85196659028099</v>
      </c>
      <c r="G150" s="7">
        <v>146.039475113175</v>
      </c>
      <c r="H150" s="7">
        <v>146.039475113175</v>
      </c>
      <c r="I150" s="9"/>
      <c r="J150" s="9">
        <f t="shared" si="4"/>
        <v>5.5598917439125817E-3</v>
      </c>
      <c r="K150" s="9">
        <f t="shared" si="5"/>
        <v>-3.594130546402674E-6</v>
      </c>
      <c r="L150" s="9"/>
    </row>
    <row r="151" spans="1:12" x14ac:dyDescent="0.25">
      <c r="A151" s="6">
        <v>42005</v>
      </c>
      <c r="B151" s="7">
        <v>138.97999999999999</v>
      </c>
      <c r="C151" s="7">
        <v>145.07</v>
      </c>
      <c r="D151" s="7">
        <v>145.09568427976001</v>
      </c>
      <c r="E151" s="7">
        <v>145.09568427976001</v>
      </c>
      <c r="F151" s="7">
        <v>145.09568427976001</v>
      </c>
      <c r="G151" s="7">
        <v>145.07333348177499</v>
      </c>
      <c r="H151" s="7">
        <v>145.07333348177499</v>
      </c>
      <c r="I151" s="9"/>
      <c r="J151" s="9">
        <f t="shared" si="4"/>
        <v>1.7704749265878839E-4</v>
      </c>
      <c r="K151" s="9">
        <f t="shared" si="5"/>
        <v>2.2978436444498485E-5</v>
      </c>
      <c r="L151" s="9"/>
    </row>
    <row r="152" spans="1:12" x14ac:dyDescent="0.25">
      <c r="A152" s="6">
        <v>42036</v>
      </c>
      <c r="B152" s="7">
        <v>136.69</v>
      </c>
      <c r="C152" s="7">
        <v>144.03</v>
      </c>
      <c r="D152" s="7">
        <v>142.450646347082</v>
      </c>
      <c r="E152" s="7">
        <v>142.450646347082</v>
      </c>
      <c r="F152" s="7">
        <v>142.450646347082</v>
      </c>
      <c r="G152" s="7">
        <v>144.02865530776199</v>
      </c>
      <c r="H152" s="7">
        <v>144.02865530776199</v>
      </c>
      <c r="I152" s="9"/>
      <c r="J152" s="9">
        <f t="shared" si="4"/>
        <v>-1.0965449232229418E-2</v>
      </c>
      <c r="K152" s="9">
        <f t="shared" si="5"/>
        <v>-9.3361955010307085E-6</v>
      </c>
      <c r="L152" s="9"/>
    </row>
    <row r="153" spans="1:12" x14ac:dyDescent="0.25">
      <c r="A153" s="6">
        <v>42064</v>
      </c>
      <c r="B153" s="7">
        <v>149.75</v>
      </c>
      <c r="C153" s="7">
        <v>143.93</v>
      </c>
      <c r="D153" s="7">
        <v>145.11443619899501</v>
      </c>
      <c r="E153" s="7">
        <v>145.11443619899501</v>
      </c>
      <c r="F153" s="7">
        <v>145.11443619899501</v>
      </c>
      <c r="G153" s="7">
        <v>143.931731225394</v>
      </c>
      <c r="H153" s="7">
        <v>143.931731225394</v>
      </c>
      <c r="I153" s="9"/>
      <c r="J153" s="9">
        <f t="shared" si="4"/>
        <v>8.2292517126034692E-3</v>
      </c>
      <c r="K153" s="9">
        <f t="shared" si="5"/>
        <v>1.2028245633288748E-5</v>
      </c>
      <c r="L153" s="9"/>
    </row>
    <row r="154" spans="1:12" x14ac:dyDescent="0.25">
      <c r="A154" s="6">
        <v>42095</v>
      </c>
      <c r="B154" s="7">
        <v>142.47999999999999</v>
      </c>
      <c r="C154" s="7">
        <v>142.36000000000001</v>
      </c>
      <c r="D154" s="7">
        <v>142.03587662981801</v>
      </c>
      <c r="E154" s="7">
        <v>142.03587662981801</v>
      </c>
      <c r="F154" s="7">
        <v>142.03587662981801</v>
      </c>
      <c r="G154" s="7">
        <v>142.36389982095099</v>
      </c>
      <c r="H154" s="7">
        <v>142.36389982095099</v>
      </c>
      <c r="I154" s="9"/>
      <c r="J154" s="9">
        <f t="shared" si="4"/>
        <v>-2.2767868093707122E-3</v>
      </c>
      <c r="K154" s="9">
        <f t="shared" si="5"/>
        <v>2.7394078048414983E-5</v>
      </c>
      <c r="L154" s="9"/>
    </row>
    <row r="155" spans="1:12" x14ac:dyDescent="0.25">
      <c r="A155" s="6">
        <v>42125</v>
      </c>
      <c r="B155" s="7">
        <v>139.94999999999999</v>
      </c>
      <c r="C155" s="7">
        <v>141.15</v>
      </c>
      <c r="D155" s="7">
        <v>140.017248018873</v>
      </c>
      <c r="E155" s="7">
        <v>140.017248018873</v>
      </c>
      <c r="F155" s="7">
        <v>140.017248018873</v>
      </c>
      <c r="G155" s="7">
        <v>141.14527650667</v>
      </c>
      <c r="H155" s="7">
        <v>141.14527650667</v>
      </c>
      <c r="I155" s="9"/>
      <c r="J155" s="9">
        <f t="shared" si="4"/>
        <v>-8.0251645846758368E-3</v>
      </c>
      <c r="K155" s="9">
        <f t="shared" si="5"/>
        <v>-3.346435232021161E-5</v>
      </c>
      <c r="L155" s="9"/>
    </row>
    <row r="156" spans="1:12" x14ac:dyDescent="0.25">
      <c r="A156" s="6">
        <v>42156</v>
      </c>
      <c r="B156" s="7">
        <v>138.75</v>
      </c>
      <c r="C156" s="7">
        <v>139.75</v>
      </c>
      <c r="D156" s="7">
        <v>139.60634906279401</v>
      </c>
      <c r="E156" s="7">
        <v>139.60634906279401</v>
      </c>
      <c r="F156" s="7">
        <v>139.60634906279401</v>
      </c>
      <c r="G156" s="7">
        <v>139.74536976405099</v>
      </c>
      <c r="H156" s="7">
        <v>139.74536976405099</v>
      </c>
      <c r="I156" s="9"/>
      <c r="J156" s="9">
        <f t="shared" si="4"/>
        <v>-1.0279136830482205E-3</v>
      </c>
      <c r="K156" s="9">
        <f t="shared" si="5"/>
        <v>-3.3132278704939289E-5</v>
      </c>
      <c r="L156" s="9"/>
    </row>
    <row r="157" spans="1:12" x14ac:dyDescent="0.25">
      <c r="A157" s="6">
        <v>42186</v>
      </c>
      <c r="B157" s="7">
        <v>143.32</v>
      </c>
      <c r="C157" s="7">
        <v>138.63</v>
      </c>
      <c r="D157" s="7">
        <v>139.90714734514901</v>
      </c>
      <c r="E157" s="7">
        <v>139.90714734514901</v>
      </c>
      <c r="F157" s="7">
        <v>139.90714734514901</v>
      </c>
      <c r="G157" s="7">
        <v>138.63201501690801</v>
      </c>
      <c r="H157" s="7">
        <v>138.63201501690801</v>
      </c>
      <c r="I157" s="9"/>
      <c r="J157" s="9">
        <f t="shared" si="4"/>
        <v>9.2126332334199201E-3</v>
      </c>
      <c r="K157" s="9">
        <f t="shared" si="5"/>
        <v>1.4535215379307687E-5</v>
      </c>
      <c r="L157" s="9"/>
    </row>
    <row r="158" spans="1:12" x14ac:dyDescent="0.25">
      <c r="A158" s="6">
        <v>42217</v>
      </c>
      <c r="B158" s="7">
        <v>140.93</v>
      </c>
      <c r="C158" s="7">
        <v>138.88999999999999</v>
      </c>
      <c r="D158" s="7">
        <v>137.43343900206099</v>
      </c>
      <c r="E158" s="7">
        <v>137.43343900206099</v>
      </c>
      <c r="F158" s="7">
        <v>137.43343900206099</v>
      </c>
      <c r="G158" s="7">
        <v>138.89489267906299</v>
      </c>
      <c r="H158" s="7">
        <v>138.89489267906299</v>
      </c>
      <c r="I158" s="9"/>
      <c r="J158" s="9">
        <f t="shared" si="4"/>
        <v>-1.0487155287918437E-2</v>
      </c>
      <c r="K158" s="9">
        <f t="shared" si="5"/>
        <v>3.5227007437521607E-5</v>
      </c>
      <c r="L158" s="9"/>
    </row>
    <row r="159" spans="1:12" x14ac:dyDescent="0.25">
      <c r="A159" s="6">
        <v>42248</v>
      </c>
      <c r="B159" s="7">
        <v>138.30000000000001</v>
      </c>
      <c r="C159" s="7">
        <v>137.68</v>
      </c>
      <c r="D159" s="7">
        <v>138.21338607301999</v>
      </c>
      <c r="E159" s="7">
        <v>138.21338607301999</v>
      </c>
      <c r="F159" s="7">
        <v>138.21338607301999</v>
      </c>
      <c r="G159" s="7">
        <v>137.67878104444699</v>
      </c>
      <c r="H159" s="7">
        <v>137.67878104444699</v>
      </c>
      <c r="I159" s="9"/>
      <c r="J159" s="9">
        <f t="shared" si="4"/>
        <v>3.8740998911968028E-3</v>
      </c>
      <c r="K159" s="9">
        <f t="shared" si="5"/>
        <v>-8.8535412043899697E-6</v>
      </c>
      <c r="L159" s="9"/>
    </row>
    <row r="160" spans="1:12" x14ac:dyDescent="0.25">
      <c r="A160" s="6">
        <v>42278</v>
      </c>
      <c r="B160" s="7">
        <v>140.22</v>
      </c>
      <c r="C160" s="7">
        <v>138.52000000000001</v>
      </c>
      <c r="D160" s="7">
        <v>137.84864404908899</v>
      </c>
      <c r="E160" s="7">
        <v>137.84864404908899</v>
      </c>
      <c r="F160" s="7">
        <v>137.84864404908899</v>
      </c>
      <c r="G160" s="7">
        <v>138.520861727024</v>
      </c>
      <c r="H160" s="7">
        <v>138.520861727024</v>
      </c>
      <c r="I160" s="9"/>
      <c r="J160" s="9">
        <f t="shared" si="4"/>
        <v>-4.8466355104751502E-3</v>
      </c>
      <c r="K160" s="9">
        <f t="shared" si="5"/>
        <v>6.2209574356320019E-6</v>
      </c>
      <c r="L160" s="9"/>
    </row>
    <row r="161" spans="1:12" x14ac:dyDescent="0.25">
      <c r="A161" s="6">
        <v>42309</v>
      </c>
      <c r="B161" s="7">
        <v>136.06</v>
      </c>
      <c r="C161" s="7">
        <v>136.69999999999999</v>
      </c>
      <c r="D161" s="7">
        <v>137.0307529147</v>
      </c>
      <c r="E161" s="7">
        <v>137.0307529147</v>
      </c>
      <c r="F161" s="7">
        <v>137.0307529147</v>
      </c>
      <c r="G161" s="7">
        <v>136.696105713462</v>
      </c>
      <c r="H161" s="7">
        <v>136.696105713462</v>
      </c>
      <c r="I161" s="9"/>
      <c r="J161" s="9">
        <f t="shared" si="4"/>
        <v>2.4195531433797157E-3</v>
      </c>
      <c r="K161" s="9">
        <f t="shared" si="5"/>
        <v>-2.8487831294721211E-5</v>
      </c>
      <c r="L161" s="9"/>
    </row>
    <row r="162" spans="1:12" x14ac:dyDescent="0.25">
      <c r="A162" s="6">
        <v>42339</v>
      </c>
      <c r="B162" s="7">
        <v>136.47999999999999</v>
      </c>
      <c r="C162" s="7">
        <v>136.21</v>
      </c>
      <c r="D162" s="7">
        <v>137.43953269774701</v>
      </c>
      <c r="E162" s="7">
        <v>137.43953269774701</v>
      </c>
      <c r="F162" s="7">
        <v>137.43953269774701</v>
      </c>
      <c r="G162" s="7">
        <v>136.208805090053</v>
      </c>
      <c r="H162" s="7">
        <v>136.208805090053</v>
      </c>
      <c r="I162" s="9"/>
      <c r="J162" s="9">
        <f t="shared" si="4"/>
        <v>9.0267432475368281E-3</v>
      </c>
      <c r="K162" s="9">
        <f t="shared" si="5"/>
        <v>-8.772556691849509E-6</v>
      </c>
      <c r="L162" s="9"/>
    </row>
    <row r="163" spans="1:12" x14ac:dyDescent="0.25">
      <c r="A163" s="6">
        <v>42370</v>
      </c>
      <c r="B163" s="7">
        <v>128.47999999999999</v>
      </c>
      <c r="C163" s="7">
        <v>135.61000000000001</v>
      </c>
      <c r="D163" s="7">
        <v>134.345810773621</v>
      </c>
      <c r="E163" s="7">
        <v>134.345810773621</v>
      </c>
      <c r="F163" s="7">
        <v>134.345810773621</v>
      </c>
      <c r="G163" s="7">
        <v>135.60555298438999</v>
      </c>
      <c r="H163" s="7">
        <v>135.60555298438999</v>
      </c>
      <c r="I163" s="9"/>
      <c r="J163" s="9">
        <f t="shared" si="4"/>
        <v>-9.322241917107954E-3</v>
      </c>
      <c r="K163" s="9">
        <f t="shared" si="5"/>
        <v>-3.2792682029492148E-5</v>
      </c>
      <c r="L163" s="9"/>
    </row>
    <row r="164" spans="1:12" x14ac:dyDescent="0.25">
      <c r="A164" s="6">
        <v>42401</v>
      </c>
      <c r="B164" s="7">
        <v>130.91999999999999</v>
      </c>
      <c r="C164" s="7">
        <v>135.53</v>
      </c>
      <c r="D164" s="7">
        <v>136.66159184313599</v>
      </c>
      <c r="E164" s="7">
        <v>136.66159184313599</v>
      </c>
      <c r="F164" s="7">
        <v>136.66159184313599</v>
      </c>
      <c r="G164" s="7">
        <v>135.52502169444199</v>
      </c>
      <c r="H164" s="7">
        <v>135.52502169444199</v>
      </c>
      <c r="I164" s="9"/>
      <c r="J164" s="9">
        <f t="shared" si="4"/>
        <v>8.3493827428318124E-3</v>
      </c>
      <c r="K164" s="9">
        <f t="shared" si="5"/>
        <v>-3.6732129845895578E-5</v>
      </c>
      <c r="L164" s="9"/>
    </row>
    <row r="165" spans="1:12" x14ac:dyDescent="0.25">
      <c r="A165" s="6">
        <v>42430</v>
      </c>
      <c r="B165" s="7">
        <v>140.54</v>
      </c>
      <c r="C165" s="7">
        <v>134.80000000000001</v>
      </c>
      <c r="D165" s="7">
        <v>135.62286844749099</v>
      </c>
      <c r="E165" s="7">
        <v>135.62286844749099</v>
      </c>
      <c r="F165" s="7">
        <v>135.62286844749099</v>
      </c>
      <c r="G165" s="7">
        <v>134.802041606659</v>
      </c>
      <c r="H165" s="7">
        <v>134.802041606659</v>
      </c>
      <c r="I165" s="9"/>
      <c r="J165" s="9">
        <f t="shared" si="4"/>
        <v>6.1043653374701634E-3</v>
      </c>
      <c r="K165" s="9">
        <f t="shared" si="5"/>
        <v>1.514544999259293E-5</v>
      </c>
      <c r="L165" s="9"/>
    </row>
    <row r="166" spans="1:12" x14ac:dyDescent="0.25">
      <c r="A166" s="6">
        <v>42461</v>
      </c>
      <c r="B166" s="7">
        <v>136.08000000000001</v>
      </c>
      <c r="C166" s="7">
        <v>134.97</v>
      </c>
      <c r="D166" s="7">
        <v>135.34129878753501</v>
      </c>
      <c r="E166" s="7">
        <v>135.34129878753501</v>
      </c>
      <c r="F166" s="7">
        <v>135.34129878753501</v>
      </c>
      <c r="G166" s="7">
        <v>134.967024765258</v>
      </c>
      <c r="H166" s="7">
        <v>134.967024765258</v>
      </c>
      <c r="I166" s="9"/>
      <c r="J166" s="9">
        <f t="shared" si="4"/>
        <v>2.7509727164185538E-3</v>
      </c>
      <c r="K166" s="9">
        <f t="shared" si="5"/>
        <v>-2.2043674461014184E-5</v>
      </c>
      <c r="L166" s="9"/>
    </row>
    <row r="167" spans="1:12" x14ac:dyDescent="0.25">
      <c r="A167" s="6">
        <v>42491</v>
      </c>
      <c r="B167" s="7">
        <v>133.72999999999999</v>
      </c>
      <c r="C167" s="7">
        <v>134.53</v>
      </c>
      <c r="D167" s="7">
        <v>133.97375779208801</v>
      </c>
      <c r="E167" s="7">
        <v>133.97375779208801</v>
      </c>
      <c r="F167" s="7">
        <v>133.97375779208801</v>
      </c>
      <c r="G167" s="7">
        <v>134.53299960783599</v>
      </c>
      <c r="H167" s="7">
        <v>134.53299960783599</v>
      </c>
      <c r="I167" s="9"/>
      <c r="J167" s="9">
        <f t="shared" si="4"/>
        <v>-4.1347075589979188E-3</v>
      </c>
      <c r="K167" s="9">
        <f t="shared" si="5"/>
        <v>2.2296943700261806E-5</v>
      </c>
      <c r="L167" s="9"/>
    </row>
    <row r="168" spans="1:12" x14ac:dyDescent="0.25">
      <c r="A168" s="6">
        <v>42522</v>
      </c>
      <c r="B168" s="7">
        <v>135.46</v>
      </c>
      <c r="C168" s="7">
        <v>134.96</v>
      </c>
      <c r="D168" s="7">
        <v>136.407454379413</v>
      </c>
      <c r="E168" s="7">
        <v>136.407454379413</v>
      </c>
      <c r="F168" s="7">
        <v>136.407454379413</v>
      </c>
      <c r="G168" s="7">
        <v>134.95619683527099</v>
      </c>
      <c r="H168" s="7">
        <v>134.95619683527099</v>
      </c>
      <c r="I168" s="9"/>
      <c r="J168" s="9">
        <f t="shared" si="4"/>
        <v>1.0725062088122295E-2</v>
      </c>
      <c r="K168" s="9">
        <f t="shared" si="5"/>
        <v>-2.8179940197214925E-5</v>
      </c>
      <c r="L168" s="9"/>
    </row>
    <row r="169" spans="1:12" x14ac:dyDescent="0.25">
      <c r="A169" s="6">
        <v>42552</v>
      </c>
      <c r="B169" s="7">
        <v>136.72999999999999</v>
      </c>
      <c r="C169" s="7">
        <v>134.54</v>
      </c>
      <c r="D169" s="7">
        <v>133.506258891892</v>
      </c>
      <c r="E169" s="7">
        <v>133.506258891892</v>
      </c>
      <c r="F169" s="7">
        <v>133.506258891892</v>
      </c>
      <c r="G169" s="7">
        <v>134.542437444065</v>
      </c>
      <c r="H169" s="7">
        <v>134.542437444065</v>
      </c>
      <c r="I169" s="9"/>
      <c r="J169" s="9">
        <f t="shared" si="4"/>
        <v>-7.6835224327931329E-3</v>
      </c>
      <c r="K169" s="9">
        <f t="shared" si="5"/>
        <v>1.8116872788853655E-5</v>
      </c>
      <c r="L169" s="9"/>
    </row>
    <row r="170" spans="1:12" x14ac:dyDescent="0.25">
      <c r="A170" s="6">
        <v>42583</v>
      </c>
      <c r="B170" s="7">
        <v>138.22</v>
      </c>
      <c r="C170" s="7">
        <v>133.84</v>
      </c>
      <c r="D170" s="7">
        <v>134.73785563993101</v>
      </c>
      <c r="E170" s="7">
        <v>134.73785563993101</v>
      </c>
      <c r="F170" s="7">
        <v>134.73785563993101</v>
      </c>
      <c r="G170" s="7">
        <v>133.837117138846</v>
      </c>
      <c r="H170" s="7">
        <v>133.837117138846</v>
      </c>
      <c r="I170" s="9"/>
      <c r="J170" s="9">
        <f t="shared" si="4"/>
        <v>6.7084252834055391E-3</v>
      </c>
      <c r="K170" s="9">
        <f t="shared" si="5"/>
        <v>-2.1539608144105493E-5</v>
      </c>
      <c r="L170" s="9"/>
    </row>
    <row r="171" spans="1:12" x14ac:dyDescent="0.25">
      <c r="A171" s="6">
        <v>42614</v>
      </c>
      <c r="B171" s="7">
        <v>134.09</v>
      </c>
      <c r="C171" s="7">
        <v>133.84</v>
      </c>
      <c r="D171" s="7">
        <v>134.352881866518</v>
      </c>
      <c r="E171" s="7">
        <v>134.352881866518</v>
      </c>
      <c r="F171" s="7">
        <v>134.352881866518</v>
      </c>
      <c r="G171" s="7">
        <v>133.83877541284099</v>
      </c>
      <c r="H171" s="7">
        <v>133.83877541284099</v>
      </c>
      <c r="I171" s="9"/>
      <c r="J171" s="9">
        <f t="shared" si="4"/>
        <v>3.8320522005230728E-3</v>
      </c>
      <c r="K171" s="9">
        <f t="shared" si="5"/>
        <v>-9.1496350793640602E-6</v>
      </c>
      <c r="L171" s="9"/>
    </row>
    <row r="172" spans="1:12" x14ac:dyDescent="0.25">
      <c r="A172" s="6">
        <v>42644</v>
      </c>
      <c r="B172" s="7">
        <v>132.83000000000001</v>
      </c>
      <c r="C172" s="7">
        <v>133.31</v>
      </c>
      <c r="D172" s="7">
        <v>130.75524111718599</v>
      </c>
      <c r="E172" s="7">
        <v>130.75524111718599</v>
      </c>
      <c r="F172" s="7">
        <v>130.75524111718599</v>
      </c>
      <c r="G172" s="7">
        <v>133.31463045849799</v>
      </c>
      <c r="H172" s="7">
        <v>133.31463045849799</v>
      </c>
      <c r="I172" s="9"/>
      <c r="J172" s="9">
        <f t="shared" si="4"/>
        <v>-1.9164045329037704E-2</v>
      </c>
      <c r="K172" s="9">
        <f t="shared" si="5"/>
        <v>3.4734517275314403E-5</v>
      </c>
      <c r="L172" s="9"/>
    </row>
    <row r="173" spans="1:12" x14ac:dyDescent="0.25">
      <c r="A173" s="6">
        <v>42675</v>
      </c>
      <c r="B173" s="7">
        <v>132.55000000000001</v>
      </c>
      <c r="C173" s="7">
        <v>133.05000000000001</v>
      </c>
      <c r="D173" s="7">
        <v>133.45915436229899</v>
      </c>
      <c r="E173" s="7">
        <v>133.45915436229899</v>
      </c>
      <c r="F173" s="7">
        <v>133.45915436229899</v>
      </c>
      <c r="G173" s="7">
        <v>133.04891484236501</v>
      </c>
      <c r="H173" s="7">
        <v>133.04891484236501</v>
      </c>
      <c r="I173" s="9"/>
      <c r="J173" s="9">
        <f t="shared" si="4"/>
        <v>3.0751925013074999E-3</v>
      </c>
      <c r="K173" s="9">
        <f t="shared" si="5"/>
        <v>-8.1560137917824349E-6</v>
      </c>
      <c r="L173" s="9"/>
    </row>
    <row r="174" spans="1:12" x14ac:dyDescent="0.25">
      <c r="A174" s="6">
        <v>42705</v>
      </c>
      <c r="B174" s="7">
        <v>133.56</v>
      </c>
      <c r="C174" s="7">
        <v>132.18</v>
      </c>
      <c r="D174" s="7">
        <v>134.25121803345101</v>
      </c>
      <c r="E174" s="7">
        <v>134.25121803345101</v>
      </c>
      <c r="F174" s="7">
        <v>134.25121803345101</v>
      </c>
      <c r="G174" s="7">
        <v>132.18489168592299</v>
      </c>
      <c r="H174" s="7">
        <v>132.18489168592299</v>
      </c>
      <c r="I174" s="9"/>
      <c r="J174" s="9">
        <f t="shared" si="4"/>
        <v>1.5669677965282292E-2</v>
      </c>
      <c r="K174" s="9">
        <f t="shared" si="5"/>
        <v>3.700776155990404E-5</v>
      </c>
      <c r="L174" s="9"/>
    </row>
    <row r="175" spans="1:12" x14ac:dyDescent="0.25">
      <c r="A175" s="6">
        <v>42736</v>
      </c>
      <c r="B175" s="7">
        <v>128.62</v>
      </c>
      <c r="C175" s="7">
        <v>133.47999999999999</v>
      </c>
      <c r="D175" s="7">
        <v>134.286042768242</v>
      </c>
      <c r="E175" s="7">
        <v>134.286042768242</v>
      </c>
      <c r="F175" s="7">
        <v>134.286042768242</v>
      </c>
      <c r="G175" s="7">
        <v>133.476374592334</v>
      </c>
      <c r="H175" s="7">
        <v>133.476374592334</v>
      </c>
      <c r="I175" s="9"/>
      <c r="J175" s="9">
        <f t="shared" si="4"/>
        <v>6.0386782157777485E-3</v>
      </c>
      <c r="K175" s="9">
        <f t="shared" si="5"/>
        <v>-2.7160680746152188E-5</v>
      </c>
      <c r="L175" s="9"/>
    </row>
    <row r="176" spans="1:12" x14ac:dyDescent="0.25">
      <c r="A176" s="6">
        <v>42767</v>
      </c>
      <c r="B176" s="7">
        <v>129.54</v>
      </c>
      <c r="C176" s="7">
        <v>135.43</v>
      </c>
      <c r="D176" s="7">
        <v>135.048294958154</v>
      </c>
      <c r="E176" s="7">
        <v>135.048294958154</v>
      </c>
      <c r="F176" s="7">
        <v>135.048294958154</v>
      </c>
      <c r="G176" s="7">
        <v>135.433053108698</v>
      </c>
      <c r="H176" s="7">
        <v>135.433053108698</v>
      </c>
      <c r="I176" s="9"/>
      <c r="J176" s="9">
        <f t="shared" si="4"/>
        <v>-2.8184674137635701E-3</v>
      </c>
      <c r="K176" s="9">
        <f t="shared" si="5"/>
        <v>2.2543813763542531E-5</v>
      </c>
      <c r="L176" s="9"/>
    </row>
    <row r="177" spans="1:12" x14ac:dyDescent="0.25">
      <c r="A177" s="6">
        <v>42795</v>
      </c>
      <c r="B177" s="7">
        <v>142.03</v>
      </c>
      <c r="C177" s="7">
        <v>135.74</v>
      </c>
      <c r="D177" s="7">
        <v>137.025500966864</v>
      </c>
      <c r="E177" s="7">
        <v>137.025500966864</v>
      </c>
      <c r="F177" s="7">
        <v>137.025500966864</v>
      </c>
      <c r="G177" s="7">
        <v>135.74411073898801</v>
      </c>
      <c r="H177" s="7">
        <v>135.74411073898801</v>
      </c>
      <c r="I177" s="9"/>
      <c r="J177" s="9">
        <f t="shared" si="4"/>
        <v>9.4703180113746566E-3</v>
      </c>
      <c r="K177" s="9">
        <f t="shared" si="5"/>
        <v>3.02839176955505E-5</v>
      </c>
      <c r="L177" s="9"/>
    </row>
    <row r="178" spans="1:12" x14ac:dyDescent="0.25">
      <c r="A178" s="6">
        <v>42826</v>
      </c>
      <c r="B178" s="7">
        <v>133.74</v>
      </c>
      <c r="C178" s="7">
        <v>136.07</v>
      </c>
      <c r="D178" s="7">
        <v>132.92331516343401</v>
      </c>
      <c r="E178" s="7">
        <v>132.92331516343401</v>
      </c>
      <c r="F178" s="7">
        <v>132.92331516343401</v>
      </c>
      <c r="G178" s="7">
        <v>136.067085465004</v>
      </c>
      <c r="H178" s="7">
        <v>136.067085465004</v>
      </c>
      <c r="I178" s="9"/>
      <c r="J178" s="9">
        <f t="shared" si="4"/>
        <v>-2.3125485680649538E-2</v>
      </c>
      <c r="K178" s="9">
        <f t="shared" si="5"/>
        <v>-2.1419379701570485E-5</v>
      </c>
      <c r="L178" s="9"/>
    </row>
    <row r="179" spans="1:12" x14ac:dyDescent="0.25">
      <c r="A179" s="6">
        <v>42856</v>
      </c>
      <c r="B179" s="7">
        <v>135.97999999999999</v>
      </c>
      <c r="C179" s="7">
        <v>135.30000000000001</v>
      </c>
      <c r="D179" s="7">
        <v>136.23315922408199</v>
      </c>
      <c r="E179" s="7">
        <v>136.23315922408199</v>
      </c>
      <c r="F179" s="7">
        <v>136.23315922408199</v>
      </c>
      <c r="G179" s="7">
        <v>135.29870890638699</v>
      </c>
      <c r="H179" s="7">
        <v>135.29870890638699</v>
      </c>
      <c r="I179" s="9"/>
      <c r="J179" s="9">
        <f t="shared" si="4"/>
        <v>6.8969639621727641E-3</v>
      </c>
      <c r="K179" s="9">
        <f t="shared" si="5"/>
        <v>-9.542450946198322E-6</v>
      </c>
      <c r="L179" s="9"/>
    </row>
    <row r="180" spans="1:12" x14ac:dyDescent="0.25">
      <c r="A180" s="6">
        <v>42887</v>
      </c>
      <c r="B180" s="7">
        <v>135.03</v>
      </c>
      <c r="C180" s="7">
        <v>136.16</v>
      </c>
      <c r="D180" s="7">
        <v>136.247580610244</v>
      </c>
      <c r="E180" s="7">
        <v>136.247580610244</v>
      </c>
      <c r="F180" s="7">
        <v>136.247580610244</v>
      </c>
      <c r="G180" s="7">
        <v>136.16009506778099</v>
      </c>
      <c r="H180" s="7">
        <v>136.16009506778099</v>
      </c>
      <c r="I180" s="9"/>
      <c r="J180" s="9">
        <f t="shared" si="4"/>
        <v>6.4321834785552312E-4</v>
      </c>
      <c r="K180" s="9">
        <f t="shared" si="5"/>
        <v>6.9820638204376451E-7</v>
      </c>
      <c r="L180" s="9"/>
    </row>
    <row r="181" spans="1:12" x14ac:dyDescent="0.25">
      <c r="A181" s="6">
        <v>42917</v>
      </c>
      <c r="B181" s="7">
        <v>138.35</v>
      </c>
      <c r="C181" s="7">
        <v>136.44999999999999</v>
      </c>
      <c r="D181" s="7">
        <v>135.31819563712301</v>
      </c>
      <c r="E181" s="7">
        <v>135.31819563712301</v>
      </c>
      <c r="F181" s="7">
        <v>135.31819563712301</v>
      </c>
      <c r="G181" s="7">
        <v>136.445111196997</v>
      </c>
      <c r="H181" s="7">
        <v>136.445111196997</v>
      </c>
      <c r="I181" s="9"/>
      <c r="J181" s="9">
        <f t="shared" si="4"/>
        <v>-8.2946453856869162E-3</v>
      </c>
      <c r="K181" s="9">
        <f t="shared" si="5"/>
        <v>-3.5828530619119725E-5</v>
      </c>
      <c r="L181" s="9"/>
    </row>
    <row r="182" spans="1:12" x14ac:dyDescent="0.25">
      <c r="A182" s="6">
        <v>42948</v>
      </c>
      <c r="B182" s="7">
        <v>140.12</v>
      </c>
      <c r="C182" s="7">
        <v>135.38999999999999</v>
      </c>
      <c r="D182" s="7">
        <v>136.607598876042</v>
      </c>
      <c r="E182" s="7">
        <v>136.607598876042</v>
      </c>
      <c r="F182" s="7">
        <v>136.607598876042</v>
      </c>
      <c r="G182" s="7">
        <v>135.386792044879</v>
      </c>
      <c r="H182" s="7">
        <v>135.386792044879</v>
      </c>
      <c r="I182" s="9"/>
      <c r="J182" s="9">
        <f t="shared" si="4"/>
        <v>8.9932703747841458E-3</v>
      </c>
      <c r="K182" s="9">
        <f t="shared" si="5"/>
        <v>-2.3694180670497111E-5</v>
      </c>
      <c r="L182" s="9"/>
    </row>
    <row r="183" spans="1:12" x14ac:dyDescent="0.25">
      <c r="A183" s="6">
        <v>42979</v>
      </c>
      <c r="B183" s="7">
        <v>134.99</v>
      </c>
      <c r="C183" s="7">
        <v>135.37</v>
      </c>
      <c r="D183" s="7">
        <v>135.579933689657</v>
      </c>
      <c r="E183" s="7">
        <v>135.579933689657</v>
      </c>
      <c r="F183" s="7">
        <v>135.579933689657</v>
      </c>
      <c r="G183" s="7">
        <v>135.36768354482899</v>
      </c>
      <c r="H183" s="7">
        <v>135.36768354482899</v>
      </c>
      <c r="I183" s="9"/>
      <c r="J183" s="9">
        <f t="shared" si="4"/>
        <v>1.5508139887492334E-3</v>
      </c>
      <c r="K183" s="9">
        <f t="shared" si="5"/>
        <v>-1.7112027561605458E-5</v>
      </c>
      <c r="L183" s="9"/>
    </row>
    <row r="184" spans="1:12" x14ac:dyDescent="0.25">
      <c r="A184" s="6">
        <v>43009</v>
      </c>
      <c r="B184" s="7">
        <v>135.94</v>
      </c>
      <c r="C184" s="7">
        <v>135.33000000000001</v>
      </c>
      <c r="D184" s="7">
        <v>133.90955016321601</v>
      </c>
      <c r="E184" s="7">
        <v>133.90955016321601</v>
      </c>
      <c r="F184" s="7">
        <v>133.90955016321601</v>
      </c>
      <c r="G184" s="7">
        <v>135.32524422870199</v>
      </c>
      <c r="H184" s="7">
        <v>135.32524422870199</v>
      </c>
      <c r="I184" s="9"/>
      <c r="J184" s="9">
        <f t="shared" si="4"/>
        <v>-1.0496193281489652E-2</v>
      </c>
      <c r="K184" s="9">
        <f t="shared" si="5"/>
        <v>-3.5142032794088784E-5</v>
      </c>
      <c r="L184" s="9"/>
    </row>
    <row r="185" spans="1:12" x14ac:dyDescent="0.25">
      <c r="A185" s="6">
        <v>43040</v>
      </c>
      <c r="B185" s="7">
        <v>135.11000000000001</v>
      </c>
      <c r="C185" s="7">
        <v>135.38</v>
      </c>
      <c r="D185" s="7">
        <v>135.784654696811</v>
      </c>
      <c r="E185" s="7">
        <v>135.784654696811</v>
      </c>
      <c r="F185" s="7">
        <v>135.784654696811</v>
      </c>
      <c r="G185" s="7">
        <v>135.38165882789201</v>
      </c>
      <c r="H185" s="7">
        <v>135.38165882789201</v>
      </c>
      <c r="I185" s="9"/>
      <c r="J185" s="9">
        <f t="shared" si="4"/>
        <v>2.989028636512181E-3</v>
      </c>
      <c r="K185" s="9">
        <f t="shared" si="5"/>
        <v>1.2253123740757488E-5</v>
      </c>
      <c r="L185" s="9"/>
    </row>
    <row r="186" spans="1:12" x14ac:dyDescent="0.25">
      <c r="A186" s="6">
        <v>43070</v>
      </c>
      <c r="B186" s="7">
        <v>135.88</v>
      </c>
      <c r="C186" s="7">
        <v>137.04</v>
      </c>
      <c r="D186" s="7">
        <v>136.45707925284199</v>
      </c>
      <c r="E186" s="7">
        <v>136.45707925284199</v>
      </c>
      <c r="F186" s="7">
        <v>136.45707925284199</v>
      </c>
      <c r="G186" s="7">
        <v>137.03906697707299</v>
      </c>
      <c r="H186" s="7">
        <v>137.03906697707299</v>
      </c>
      <c r="I186" s="9"/>
      <c r="J186" s="9">
        <f t="shared" si="4"/>
        <v>-4.2536540218768293E-3</v>
      </c>
      <c r="K186" s="9">
        <f t="shared" si="5"/>
        <v>-6.8083984748890103E-6</v>
      </c>
      <c r="L186" s="9"/>
    </row>
    <row r="187" spans="1:12" x14ac:dyDescent="0.25">
      <c r="A187" s="6">
        <v>43101</v>
      </c>
      <c r="B187" s="7">
        <v>132.03</v>
      </c>
      <c r="C187" s="7">
        <v>136.65</v>
      </c>
      <c r="D187" s="7">
        <v>137.464674645879</v>
      </c>
      <c r="E187" s="7">
        <v>137.464674645879</v>
      </c>
      <c r="F187" s="7">
        <v>137.464674645879</v>
      </c>
      <c r="G187" s="7">
        <v>136.646233150347</v>
      </c>
      <c r="H187" s="7">
        <v>136.646233150347</v>
      </c>
      <c r="I187" s="9"/>
      <c r="J187" s="9">
        <f t="shared" si="4"/>
        <v>5.9617610382656228E-3</v>
      </c>
      <c r="K187" s="9">
        <f t="shared" si="5"/>
        <v>-2.7565676201990463E-5</v>
      </c>
      <c r="L187" s="9"/>
    </row>
    <row r="188" spans="1:12" x14ac:dyDescent="0.25">
      <c r="A188" s="6">
        <v>43132</v>
      </c>
      <c r="B188" s="7">
        <v>129.85</v>
      </c>
      <c r="C188" s="7">
        <v>136.4</v>
      </c>
      <c r="D188" s="7">
        <v>135.04980702994399</v>
      </c>
      <c r="E188" s="7">
        <v>135.04980702994399</v>
      </c>
      <c r="F188" s="7">
        <v>135.04980702994399</v>
      </c>
      <c r="G188" s="7">
        <v>136.40179766518699</v>
      </c>
      <c r="H188" s="7">
        <v>136.40179766518699</v>
      </c>
      <c r="I188" s="9"/>
      <c r="J188" s="9">
        <f t="shared" si="4"/>
        <v>-9.8987754402933836E-3</v>
      </c>
      <c r="K188" s="9">
        <f t="shared" si="5"/>
        <v>1.3179363540949396E-5</v>
      </c>
      <c r="L188" s="9"/>
    </row>
    <row r="189" spans="1:12" x14ac:dyDescent="0.25">
      <c r="A189" s="6">
        <v>43160</v>
      </c>
      <c r="B189" s="7">
        <v>141.63</v>
      </c>
      <c r="C189" s="7">
        <v>137.38</v>
      </c>
      <c r="D189" s="7">
        <v>136.68610306711099</v>
      </c>
      <c r="E189" s="7">
        <v>136.68610306711099</v>
      </c>
      <c r="F189" s="7">
        <v>136.68610306711099</v>
      </c>
      <c r="G189" s="7">
        <v>137.382405372276</v>
      </c>
      <c r="H189" s="7">
        <v>137.382405372276</v>
      </c>
      <c r="I189" s="9"/>
      <c r="J189" s="9">
        <f t="shared" si="4"/>
        <v>-5.0509312337240209E-3</v>
      </c>
      <c r="K189" s="9">
        <f t="shared" si="5"/>
        <v>1.7508897044660188E-5</v>
      </c>
      <c r="L189" s="9"/>
    </row>
    <row r="190" spans="1:12" x14ac:dyDescent="0.25">
      <c r="A190" s="6">
        <v>43191</v>
      </c>
      <c r="B190" s="7">
        <v>139.02000000000001</v>
      </c>
      <c r="C190" s="7">
        <v>138.82</v>
      </c>
      <c r="D190" s="7">
        <v>138.380741865619</v>
      </c>
      <c r="E190" s="7">
        <v>138.380741865619</v>
      </c>
      <c r="F190" s="7">
        <v>138.380741865619</v>
      </c>
      <c r="G190" s="7">
        <v>138.81930989179301</v>
      </c>
      <c r="H190" s="7">
        <v>138.81930989179301</v>
      </c>
      <c r="I190" s="9"/>
      <c r="J190" s="9">
        <f t="shared" si="4"/>
        <v>-3.1642280246433341E-3</v>
      </c>
      <c r="K190" s="9">
        <f t="shared" si="5"/>
        <v>-4.9712448276784116E-6</v>
      </c>
      <c r="L190" s="9"/>
    </row>
    <row r="191" spans="1:12" x14ac:dyDescent="0.25">
      <c r="A191" s="6">
        <v>43221</v>
      </c>
      <c r="B191" s="7">
        <v>132.29</v>
      </c>
      <c r="C191" s="7">
        <v>133.59</v>
      </c>
      <c r="D191" s="7">
        <v>132.39223228997</v>
      </c>
      <c r="E191" s="7">
        <v>132.39223228997</v>
      </c>
      <c r="F191" s="7">
        <v>132.39223228997</v>
      </c>
      <c r="G191" s="7">
        <v>133.59212874570301</v>
      </c>
      <c r="H191" s="7">
        <v>133.59212874570301</v>
      </c>
      <c r="I191" s="9"/>
      <c r="J191" s="9">
        <f t="shared" si="4"/>
        <v>-8.9659982785388337E-3</v>
      </c>
      <c r="K191" s="9">
        <f t="shared" si="5"/>
        <v>1.5934918055293679E-5</v>
      </c>
      <c r="L191" s="9"/>
    </row>
    <row r="192" spans="1:12" x14ac:dyDescent="0.25">
      <c r="A192" s="6">
        <v>43252</v>
      </c>
      <c r="B192" s="7">
        <v>137.06</v>
      </c>
      <c r="C192" s="7">
        <v>137.71</v>
      </c>
      <c r="D192" s="7">
        <v>138.869014535806</v>
      </c>
      <c r="E192" s="7">
        <v>138.869014535806</v>
      </c>
      <c r="F192" s="7">
        <v>138.869014535806</v>
      </c>
      <c r="G192" s="7">
        <v>137.709438533134</v>
      </c>
      <c r="H192" s="7">
        <v>137.709438533134</v>
      </c>
      <c r="I192" s="9"/>
      <c r="J192" s="9">
        <f t="shared" si="4"/>
        <v>8.4163425735674924E-3</v>
      </c>
      <c r="K192" s="9">
        <f t="shared" si="5"/>
        <v>-4.0771684409746101E-6</v>
      </c>
      <c r="L192" s="9"/>
    </row>
    <row r="193" spans="1:12" x14ac:dyDescent="0.25">
      <c r="A193" s="6">
        <v>43282</v>
      </c>
      <c r="B193" s="7">
        <v>140.97</v>
      </c>
      <c r="C193" s="7">
        <v>138.06</v>
      </c>
      <c r="D193" s="7">
        <v>137.974527797489</v>
      </c>
      <c r="E193" s="7">
        <v>137.974527797489</v>
      </c>
      <c r="F193" s="7">
        <v>137.974527797489</v>
      </c>
      <c r="G193" s="7">
        <v>138.06433406425799</v>
      </c>
      <c r="H193" s="7">
        <v>138.06433406425799</v>
      </c>
      <c r="I193" s="9"/>
      <c r="J193" s="9">
        <f t="shared" si="4"/>
        <v>-6.1909461473996785E-4</v>
      </c>
      <c r="K193" s="9">
        <f t="shared" si="5"/>
        <v>3.139261377649305E-5</v>
      </c>
      <c r="L193" s="9"/>
    </row>
    <row r="194" spans="1:12" x14ac:dyDescent="0.25">
      <c r="A194" s="6">
        <v>43313</v>
      </c>
      <c r="B194" s="7">
        <v>143.33000000000001</v>
      </c>
      <c r="C194" s="7">
        <v>138.54</v>
      </c>
      <c r="D194" s="7">
        <v>139.897280049915</v>
      </c>
      <c r="E194" s="7">
        <v>139.897280049915</v>
      </c>
      <c r="F194" s="7">
        <v>139.897280049915</v>
      </c>
      <c r="G194" s="7">
        <v>138.542143455191</v>
      </c>
      <c r="H194" s="7">
        <v>138.542143455191</v>
      </c>
      <c r="I194" s="9"/>
      <c r="J194" s="9">
        <f t="shared" si="4"/>
        <v>9.7970264899307491E-3</v>
      </c>
      <c r="K194" s="9">
        <f t="shared" si="5"/>
        <v>1.5471742392136889E-5</v>
      </c>
      <c r="L194" s="9"/>
    </row>
    <row r="195" spans="1:12" x14ac:dyDescent="0.25">
      <c r="A195" s="6">
        <v>43344</v>
      </c>
      <c r="B195" s="7">
        <v>135.87</v>
      </c>
      <c r="C195" s="7">
        <v>137.59</v>
      </c>
      <c r="D195" s="7">
        <v>136.63778574257901</v>
      </c>
      <c r="E195" s="7">
        <v>136.63778574257901</v>
      </c>
      <c r="F195" s="7">
        <v>136.63778574257901</v>
      </c>
      <c r="G195" s="7">
        <v>137.59317088048999</v>
      </c>
      <c r="H195" s="7">
        <v>137.59317088048999</v>
      </c>
      <c r="I195" s="9"/>
      <c r="J195" s="9">
        <f t="shared" si="4"/>
        <v>-6.9206647097971308E-3</v>
      </c>
      <c r="K195" s="9">
        <f t="shared" si="5"/>
        <v>2.3045864452342357E-5</v>
      </c>
      <c r="L195" s="9"/>
    </row>
    <row r="196" spans="1:12" x14ac:dyDescent="0.25">
      <c r="A196" s="6">
        <v>43374</v>
      </c>
      <c r="B196" s="7">
        <v>139.75</v>
      </c>
      <c r="C196" s="7">
        <v>137.22</v>
      </c>
      <c r="D196" s="7">
        <v>137.55942386026399</v>
      </c>
      <c r="E196" s="7">
        <v>137.55942386026399</v>
      </c>
      <c r="F196" s="7">
        <v>137.55942386026399</v>
      </c>
      <c r="G196" s="7">
        <v>137.221230660499</v>
      </c>
      <c r="H196" s="7">
        <v>137.221230660499</v>
      </c>
      <c r="I196" s="9"/>
      <c r="J196" s="9">
        <f t="shared" si="4"/>
        <v>2.4735742622357115E-3</v>
      </c>
      <c r="K196" s="9">
        <f t="shared" si="5"/>
        <v>8.9685213453538637E-6</v>
      </c>
      <c r="L196" s="9"/>
    </row>
    <row r="197" spans="1:12" x14ac:dyDescent="0.25">
      <c r="A197" s="6">
        <v>43405</v>
      </c>
      <c r="B197" s="7">
        <v>137.62</v>
      </c>
      <c r="C197" s="7">
        <v>137.55000000000001</v>
      </c>
      <c r="D197" s="7">
        <v>137.91711003262299</v>
      </c>
      <c r="E197" s="7">
        <v>137.91711003262299</v>
      </c>
      <c r="F197" s="7">
        <v>137.91711003262299</v>
      </c>
      <c r="G197" s="7">
        <v>137.548349655447</v>
      </c>
      <c r="H197" s="7">
        <v>137.548349655447</v>
      </c>
      <c r="I197" s="9"/>
      <c r="J197" s="9">
        <f t="shared" si="4"/>
        <v>2.6689206297563217E-3</v>
      </c>
      <c r="K197" s="9">
        <f t="shared" si="5"/>
        <v>-1.1998142878999474E-5</v>
      </c>
      <c r="L197" s="9"/>
    </row>
    <row r="198" spans="1:12" x14ac:dyDescent="0.25">
      <c r="A198" s="6">
        <v>43435</v>
      </c>
      <c r="B198" s="7">
        <v>136.33000000000001</v>
      </c>
      <c r="C198" s="7">
        <v>138.08000000000001</v>
      </c>
      <c r="D198" s="7">
        <v>136.809931034843</v>
      </c>
      <c r="E198" s="7">
        <v>136.809931034843</v>
      </c>
      <c r="F198" s="7">
        <v>136.809931034843</v>
      </c>
      <c r="G198" s="7">
        <v>138.07615759886701</v>
      </c>
      <c r="H198" s="7">
        <v>138.07615759886701</v>
      </c>
      <c r="I198" s="9"/>
      <c r="J198" s="9">
        <f t="shared" si="4"/>
        <v>-9.1980660860153662E-3</v>
      </c>
      <c r="K198" s="9">
        <f t="shared" si="5"/>
        <v>-2.7827354671217108E-5</v>
      </c>
      <c r="L198" s="9"/>
    </row>
    <row r="199" spans="1:12" x14ac:dyDescent="0.25">
      <c r="A199" s="6">
        <v>43466</v>
      </c>
      <c r="B199" s="7">
        <v>133.43</v>
      </c>
      <c r="C199" s="7">
        <v>138.19</v>
      </c>
      <c r="D199" s="7">
        <v>138.674515127983</v>
      </c>
      <c r="E199" s="7">
        <v>138.674515127983</v>
      </c>
      <c r="F199" s="7">
        <v>138.674515127983</v>
      </c>
      <c r="G199" s="7">
        <v>138.18627043504699</v>
      </c>
      <c r="H199" s="7">
        <v>138.18627043504699</v>
      </c>
      <c r="I199" s="9"/>
      <c r="J199" s="9">
        <f t="shared" ref="J199:J226" si="6">E199/$C199-1</f>
        <v>3.5061518777264045E-3</v>
      </c>
      <c r="K199" s="9">
        <f t="shared" ref="K199:K222" si="7">G199/$C199-1</f>
        <v>-2.6988674672545621E-5</v>
      </c>
      <c r="L199" s="9"/>
    </row>
    <row r="200" spans="1:12" x14ac:dyDescent="0.25">
      <c r="A200" s="6">
        <v>43497</v>
      </c>
      <c r="B200" s="7">
        <v>133.75</v>
      </c>
      <c r="C200" s="7">
        <v>137.16</v>
      </c>
      <c r="D200" s="7">
        <v>138.60278938679701</v>
      </c>
      <c r="E200" s="7">
        <v>138.60278938679701</v>
      </c>
      <c r="F200" s="7">
        <v>138.60278938679701</v>
      </c>
      <c r="G200" s="7">
        <v>137.15531150242001</v>
      </c>
      <c r="H200" s="7">
        <v>137.15531150242001</v>
      </c>
      <c r="I200" s="9"/>
      <c r="J200" s="9">
        <f t="shared" si="6"/>
        <v>1.051902440067809E-2</v>
      </c>
      <c r="K200" s="9">
        <f t="shared" si="7"/>
        <v>-3.418268868471408E-5</v>
      </c>
      <c r="L200" s="9"/>
    </row>
    <row r="201" spans="1:12" x14ac:dyDescent="0.25">
      <c r="A201" s="6">
        <v>43525</v>
      </c>
      <c r="B201" s="7">
        <v>138.99</v>
      </c>
      <c r="C201" s="7">
        <v>138.53</v>
      </c>
      <c r="D201" s="7">
        <v>134.29326406798401</v>
      </c>
      <c r="E201" s="7">
        <v>134.29326406798401</v>
      </c>
      <c r="F201" s="7">
        <v>134.29326406798401</v>
      </c>
      <c r="G201" s="7">
        <v>138.53019158757999</v>
      </c>
      <c r="H201" s="7">
        <v>138.53019158757999</v>
      </c>
      <c r="I201" s="9"/>
      <c r="J201" s="9">
        <f t="shared" si="6"/>
        <v>-3.0583526543102479E-2</v>
      </c>
      <c r="K201" s="9">
        <f t="shared" si="7"/>
        <v>1.383004258892484E-6</v>
      </c>
      <c r="L201" s="9"/>
    </row>
    <row r="202" spans="1:12" x14ac:dyDescent="0.25">
      <c r="A202" s="6">
        <v>43556</v>
      </c>
      <c r="B202" s="7">
        <v>139.46</v>
      </c>
      <c r="C202" s="7">
        <v>138.80000000000001</v>
      </c>
      <c r="D202" s="7">
        <v>139.079728718929</v>
      </c>
      <c r="E202" s="7">
        <v>139.079728718929</v>
      </c>
      <c r="F202" s="7">
        <v>139.079728718929</v>
      </c>
      <c r="G202" s="7">
        <v>138.799573433707</v>
      </c>
      <c r="H202" s="7">
        <v>138.799573433707</v>
      </c>
      <c r="I202" s="9"/>
      <c r="J202" s="9">
        <f t="shared" si="6"/>
        <v>2.015336591707495E-3</v>
      </c>
      <c r="K202" s="9">
        <f t="shared" si="7"/>
        <v>-3.0732441860248372E-6</v>
      </c>
      <c r="L202" s="9"/>
    </row>
    <row r="203" spans="1:12" x14ac:dyDescent="0.25">
      <c r="A203" s="6">
        <v>43586</v>
      </c>
      <c r="B203" s="7">
        <v>139.26</v>
      </c>
      <c r="C203" s="7">
        <v>139.16999999999999</v>
      </c>
      <c r="D203" s="7">
        <v>139.246185847654</v>
      </c>
      <c r="E203" s="7">
        <v>139.246185847654</v>
      </c>
      <c r="F203" s="7">
        <v>139.246185847654</v>
      </c>
      <c r="G203" s="7">
        <v>139.17016690308799</v>
      </c>
      <c r="H203" s="7">
        <v>139.17016690308799</v>
      </c>
      <c r="I203" s="9"/>
      <c r="J203" s="9">
        <f t="shared" si="6"/>
        <v>5.4743010457736219E-4</v>
      </c>
      <c r="K203" s="9">
        <f t="shared" si="7"/>
        <v>1.1992749011646708E-6</v>
      </c>
      <c r="L203" s="9"/>
    </row>
    <row r="204" spans="1:12" x14ac:dyDescent="0.25">
      <c r="A204" s="6">
        <v>43617</v>
      </c>
      <c r="B204" s="7">
        <v>135.01</v>
      </c>
      <c r="C204" s="7">
        <v>139.16</v>
      </c>
      <c r="D204" s="7">
        <v>137.40376688655101</v>
      </c>
      <c r="E204" s="7">
        <v>137.40376688655101</v>
      </c>
      <c r="F204" s="7">
        <v>137.40376688655101</v>
      </c>
      <c r="G204" s="7">
        <v>139.16253487465099</v>
      </c>
      <c r="H204" s="7">
        <v>139.16253487465099</v>
      </c>
      <c r="I204" s="9"/>
      <c r="J204" s="9">
        <f t="shared" si="6"/>
        <v>-1.2620243701128131E-2</v>
      </c>
      <c r="K204" s="9">
        <f t="shared" si="7"/>
        <v>1.8215540751542747E-5</v>
      </c>
      <c r="L204" s="9"/>
    </row>
    <row r="205" spans="1:12" x14ac:dyDescent="0.25">
      <c r="A205" s="6">
        <v>43647</v>
      </c>
      <c r="B205" s="7">
        <v>142.91999999999999</v>
      </c>
      <c r="C205" s="7">
        <v>138.43</v>
      </c>
      <c r="D205" s="7">
        <v>139.95851600950999</v>
      </c>
      <c r="E205" s="7">
        <v>139.95851600950999</v>
      </c>
      <c r="F205" s="7">
        <v>139.95851600950999</v>
      </c>
      <c r="G205" s="7">
        <v>138.42654936777799</v>
      </c>
      <c r="H205" s="7">
        <v>138.42654936777799</v>
      </c>
      <c r="I205" s="9"/>
      <c r="J205" s="9">
        <f t="shared" si="6"/>
        <v>1.1041797366972306E-2</v>
      </c>
      <c r="K205" s="9">
        <f t="shared" si="7"/>
        <v>-2.4926910510814082E-5</v>
      </c>
      <c r="L205" s="9"/>
    </row>
    <row r="206" spans="1:12" x14ac:dyDescent="0.25">
      <c r="A206" s="6">
        <v>43678</v>
      </c>
      <c r="B206" s="7">
        <v>141.77000000000001</v>
      </c>
      <c r="C206" s="7">
        <v>137.62</v>
      </c>
      <c r="D206" s="7">
        <v>138.55130785240499</v>
      </c>
      <c r="E206" s="7">
        <v>138.55130785240499</v>
      </c>
      <c r="F206" s="7">
        <v>138.55130785240499</v>
      </c>
      <c r="G206" s="7">
        <v>137.61994396778701</v>
      </c>
      <c r="H206" s="7">
        <v>137.61994396778701</v>
      </c>
      <c r="I206" s="9"/>
      <c r="J206" s="9">
        <f t="shared" si="6"/>
        <v>6.7672420607831629E-3</v>
      </c>
      <c r="K206" s="9">
        <f t="shared" si="7"/>
        <v>-4.0715167126670337E-7</v>
      </c>
      <c r="L206" s="9"/>
    </row>
    <row r="207" spans="1:12" x14ac:dyDescent="0.25">
      <c r="A207" s="6">
        <v>43709</v>
      </c>
      <c r="B207" s="7">
        <v>138.30000000000001</v>
      </c>
      <c r="C207" s="7">
        <v>138.34</v>
      </c>
      <c r="D207" s="7">
        <v>139.06416143045999</v>
      </c>
      <c r="E207" s="7">
        <v>139.06416143045999</v>
      </c>
      <c r="F207" s="7">
        <v>139.06416143045999</v>
      </c>
      <c r="G207" s="7">
        <v>138.33590392966801</v>
      </c>
      <c r="H207" s="7">
        <v>138.33590392966801</v>
      </c>
      <c r="I207" s="9"/>
      <c r="J207" s="9">
        <f t="shared" si="6"/>
        <v>5.2346496346680205E-3</v>
      </c>
      <c r="K207" s="9">
        <f t="shared" si="7"/>
        <v>-2.9608720051976789E-5</v>
      </c>
      <c r="L207" s="9"/>
    </row>
    <row r="208" spans="1:12" x14ac:dyDescent="0.25">
      <c r="A208" s="6">
        <v>43739</v>
      </c>
      <c r="B208" s="7">
        <v>142.76</v>
      </c>
      <c r="C208" s="7">
        <v>138.66999999999999</v>
      </c>
      <c r="D208" s="7">
        <v>140.260034751587</v>
      </c>
      <c r="E208" s="7">
        <v>140.260034751587</v>
      </c>
      <c r="F208" s="7">
        <v>140.260034751587</v>
      </c>
      <c r="G208" s="7">
        <v>138.67146614261699</v>
      </c>
      <c r="H208" s="7">
        <v>138.67146614261699</v>
      </c>
      <c r="I208" s="9"/>
      <c r="J208" s="9">
        <f t="shared" si="6"/>
        <v>1.1466321133532853E-2</v>
      </c>
      <c r="K208" s="9">
        <f t="shared" si="7"/>
        <v>1.0572889716620182E-5</v>
      </c>
      <c r="L208" s="9"/>
    </row>
    <row r="209" spans="1:12" x14ac:dyDescent="0.25">
      <c r="A209" s="6">
        <v>43770</v>
      </c>
      <c r="B209" s="7">
        <v>138.84</v>
      </c>
      <c r="C209" s="7">
        <v>138.44999999999999</v>
      </c>
      <c r="D209" s="7">
        <v>138.75274198401999</v>
      </c>
      <c r="E209" s="7">
        <v>138.75274198401999</v>
      </c>
      <c r="F209" s="7">
        <v>138.75274198401999</v>
      </c>
      <c r="G209" s="7">
        <v>138.45029768281699</v>
      </c>
      <c r="H209" s="7">
        <v>138.45029768281699</v>
      </c>
      <c r="I209" s="9"/>
      <c r="J209" s="9">
        <f t="shared" si="6"/>
        <v>2.1866521055977639E-3</v>
      </c>
      <c r="K209" s="9">
        <f t="shared" si="7"/>
        <v>2.1501106319821162E-6</v>
      </c>
      <c r="L209" s="9"/>
    </row>
    <row r="210" spans="1:12" x14ac:dyDescent="0.25">
      <c r="A210" s="6">
        <v>43800</v>
      </c>
      <c r="B210" s="7">
        <v>137.54</v>
      </c>
      <c r="C210" s="7">
        <v>138</v>
      </c>
      <c r="D210" s="7">
        <v>137.86068374741001</v>
      </c>
      <c r="E210" s="7">
        <v>137.86068374741001</v>
      </c>
      <c r="F210" s="7">
        <v>137.86068374741001</v>
      </c>
      <c r="G210" s="7">
        <v>138.00226370515799</v>
      </c>
      <c r="H210" s="7">
        <v>138.00226370515799</v>
      </c>
      <c r="I210" s="9"/>
      <c r="J210" s="9">
        <f t="shared" si="6"/>
        <v>-1.0095380622463512E-3</v>
      </c>
      <c r="K210" s="9">
        <f t="shared" si="7"/>
        <v>1.6403660565211808E-5</v>
      </c>
      <c r="L210" s="9"/>
    </row>
    <row r="211" spans="1:12" x14ac:dyDescent="0.25">
      <c r="A211" s="6">
        <v>43831</v>
      </c>
      <c r="B211" s="7">
        <v>133.6</v>
      </c>
      <c r="C211" s="7">
        <v>138.19999999999999</v>
      </c>
      <c r="D211" s="7">
        <v>138.79627857836601</v>
      </c>
      <c r="E211" s="7">
        <v>138.79627857836601</v>
      </c>
      <c r="F211" s="7">
        <v>138.79627857836601</v>
      </c>
      <c r="G211" s="7">
        <v>138.19874830255401</v>
      </c>
      <c r="H211" s="7">
        <v>138.19874830255401</v>
      </c>
      <c r="I211" s="9"/>
      <c r="J211" s="9">
        <f t="shared" si="6"/>
        <v>4.3146062110421823E-3</v>
      </c>
      <c r="K211" s="9">
        <f t="shared" si="7"/>
        <v>-9.0571450505061435E-6</v>
      </c>
      <c r="L211" s="9"/>
    </row>
    <row r="212" spans="1:12" x14ac:dyDescent="0.25">
      <c r="A212" s="6">
        <v>43862</v>
      </c>
      <c r="B212" s="7">
        <v>134.63</v>
      </c>
      <c r="C212" s="7">
        <v>139.35</v>
      </c>
      <c r="D212" s="7">
        <v>139.217176357959</v>
      </c>
      <c r="E212" s="7">
        <v>139.217176357959</v>
      </c>
      <c r="F212" s="7">
        <v>139.217176357959</v>
      </c>
      <c r="G212" s="7">
        <v>139.34958134024399</v>
      </c>
      <c r="H212" s="7">
        <v>139.34958134024399</v>
      </c>
      <c r="I212" s="9"/>
      <c r="J212" s="9">
        <f t="shared" si="6"/>
        <v>-9.5316571252956894E-4</v>
      </c>
      <c r="K212" s="9">
        <f t="shared" si="7"/>
        <v>-3.0043757158759732E-6</v>
      </c>
      <c r="L212" s="9"/>
    </row>
    <row r="213" spans="1:12" x14ac:dyDescent="0.25">
      <c r="A213" s="6">
        <v>43891</v>
      </c>
      <c r="B213" s="7">
        <v>136.72</v>
      </c>
      <c r="C213" s="7">
        <v>133.07</v>
      </c>
      <c r="D213" s="7">
        <v>132.18363556896901</v>
      </c>
      <c r="E213" s="7">
        <v>132.18363556896901</v>
      </c>
      <c r="F213" s="7">
        <v>132.18363556896901</v>
      </c>
      <c r="G213" s="7">
        <v>133.06887940142499</v>
      </c>
      <c r="H213" s="7">
        <v>133.06887940142499</v>
      </c>
      <c r="I213" s="9"/>
      <c r="J213" s="9">
        <f t="shared" si="6"/>
        <v>-6.6608884874951313E-3</v>
      </c>
      <c r="K213" s="9">
        <f t="shared" si="7"/>
        <v>-8.4211210265028313E-6</v>
      </c>
      <c r="L213" s="9"/>
    </row>
    <row r="214" spans="1:12" x14ac:dyDescent="0.25">
      <c r="A214" s="6">
        <v>43922</v>
      </c>
      <c r="B214" s="7">
        <v>119.13</v>
      </c>
      <c r="C214" s="7">
        <v>120.43</v>
      </c>
      <c r="D214" s="7">
        <v>119.081015887088</v>
      </c>
      <c r="E214" s="7">
        <v>119.081015887088</v>
      </c>
      <c r="F214" s="7">
        <v>119.081015887088</v>
      </c>
      <c r="G214" s="7">
        <v>120.429200208701</v>
      </c>
      <c r="H214" s="7">
        <v>120.429200208701</v>
      </c>
      <c r="I214" s="9"/>
      <c r="J214" s="9">
        <f t="shared" si="6"/>
        <v>-1.1201395938819303E-2</v>
      </c>
      <c r="K214" s="9">
        <f t="shared" si="7"/>
        <v>-6.6411301088420416E-6</v>
      </c>
      <c r="L214" s="9"/>
    </row>
    <row r="215" spans="1:12" x14ac:dyDescent="0.25">
      <c r="A215" s="6">
        <v>43952</v>
      </c>
      <c r="B215" s="7">
        <v>119.79</v>
      </c>
      <c r="C215" s="7">
        <v>121.92</v>
      </c>
      <c r="D215" s="7">
        <v>119.703570533285</v>
      </c>
      <c r="E215" s="7">
        <v>119.703570533285</v>
      </c>
      <c r="F215" s="7">
        <v>119.703570533285</v>
      </c>
      <c r="G215" s="7">
        <v>121.91797589413601</v>
      </c>
      <c r="H215" s="7">
        <v>121.91797589413601</v>
      </c>
      <c r="I215" s="9"/>
      <c r="J215" s="9">
        <f t="shared" si="6"/>
        <v>-1.8179375547203058E-2</v>
      </c>
      <c r="K215" s="9">
        <f t="shared" si="7"/>
        <v>-1.660191817576262E-5</v>
      </c>
      <c r="L215" s="9"/>
    </row>
    <row r="216" spans="1:12" x14ac:dyDescent="0.25">
      <c r="A216" s="6">
        <v>43983</v>
      </c>
      <c r="B216" s="7">
        <v>126.18</v>
      </c>
      <c r="C216" s="7">
        <v>128.25</v>
      </c>
      <c r="D216" s="7">
        <v>129.12793860755599</v>
      </c>
      <c r="E216" s="7">
        <v>129.12793860755599</v>
      </c>
      <c r="F216" s="7">
        <v>129.12793860755599</v>
      </c>
      <c r="G216" s="7">
        <v>128.246806138322</v>
      </c>
      <c r="H216" s="7">
        <v>128.246806138322</v>
      </c>
      <c r="I216" s="9"/>
      <c r="J216" s="9">
        <f t="shared" si="6"/>
        <v>6.845525205114944E-3</v>
      </c>
      <c r="K216" s="9">
        <f t="shared" si="7"/>
        <v>-2.4903404896692294E-5</v>
      </c>
      <c r="L216" s="9"/>
    </row>
    <row r="217" spans="1:12" x14ac:dyDescent="0.25">
      <c r="A217" s="6">
        <v>44013</v>
      </c>
      <c r="B217" s="7">
        <v>135.82</v>
      </c>
      <c r="C217" s="7">
        <v>131.47999999999999</v>
      </c>
      <c r="D217" s="7">
        <v>132.80399817287699</v>
      </c>
      <c r="E217" s="7">
        <v>132.80399817287699</v>
      </c>
      <c r="F217" s="7">
        <v>132.80399817287699</v>
      </c>
      <c r="G217" s="7">
        <v>131.47770898028401</v>
      </c>
      <c r="H217" s="7">
        <v>131.47770898028401</v>
      </c>
      <c r="I217" s="9"/>
      <c r="J217" s="9">
        <f t="shared" si="6"/>
        <v>1.006995872282479E-2</v>
      </c>
      <c r="K217" s="9">
        <f t="shared" si="7"/>
        <v>-1.7424853331227119E-5</v>
      </c>
      <c r="L217" s="9"/>
    </row>
    <row r="218" spans="1:12" x14ac:dyDescent="0.25">
      <c r="A218" s="6">
        <v>44044</v>
      </c>
      <c r="B218" s="7">
        <v>135.5</v>
      </c>
      <c r="C218" s="7">
        <v>133.19999999999999</v>
      </c>
      <c r="D218" s="7">
        <v>132.57068373862899</v>
      </c>
      <c r="E218" s="7">
        <v>132.57068373862899</v>
      </c>
      <c r="F218" s="7">
        <v>132.57068373862899</v>
      </c>
      <c r="G218" s="7">
        <v>133.200231246546</v>
      </c>
      <c r="H218" s="7">
        <v>133.200231246546</v>
      </c>
      <c r="I218" s="9"/>
      <c r="J218" s="9">
        <f t="shared" si="6"/>
        <v>-4.7245965568393222E-3</v>
      </c>
      <c r="K218" s="9">
        <f t="shared" si="7"/>
        <v>1.7360851802816768E-6</v>
      </c>
      <c r="L218" s="9"/>
    </row>
    <row r="219" spans="1:12" x14ac:dyDescent="0.25">
      <c r="A219" s="6">
        <v>44075</v>
      </c>
      <c r="B219" s="7">
        <v>137.13999999999999</v>
      </c>
      <c r="C219" s="7">
        <v>135.36000000000001</v>
      </c>
      <c r="D219" s="7">
        <v>137.755912417459</v>
      </c>
      <c r="E219" s="7">
        <v>137.755912417459</v>
      </c>
      <c r="F219" s="7">
        <v>137.755912417459</v>
      </c>
      <c r="G219" s="7">
        <v>135.35974885017001</v>
      </c>
      <c r="H219" s="7">
        <v>135.35974885017001</v>
      </c>
      <c r="I219" s="9"/>
      <c r="J219" s="9">
        <f t="shared" si="6"/>
        <v>1.7700298592338903E-2</v>
      </c>
      <c r="K219" s="9">
        <f t="shared" si="7"/>
        <v>-1.8554213209176496E-6</v>
      </c>
      <c r="L219" s="9"/>
    </row>
    <row r="220" spans="1:12" x14ac:dyDescent="0.25">
      <c r="A220" s="6">
        <v>44105</v>
      </c>
      <c r="B220" s="7">
        <v>139.62</v>
      </c>
      <c r="C220" s="7">
        <v>136.63</v>
      </c>
      <c r="D220" s="7">
        <v>136.79260250683501</v>
      </c>
      <c r="E220" s="7">
        <v>136.79260250683501</v>
      </c>
      <c r="F220" s="7">
        <v>136.79260250683501</v>
      </c>
      <c r="G220" s="7">
        <v>136.62712578475899</v>
      </c>
      <c r="H220" s="7">
        <v>136.62712578475899</v>
      </c>
      <c r="I220" s="9"/>
      <c r="J220" s="9">
        <f t="shared" si="6"/>
        <v>1.1900937336970507E-3</v>
      </c>
      <c r="K220" s="9">
        <f t="shared" si="7"/>
        <v>-2.1036487162451323E-5</v>
      </c>
      <c r="L220" s="9"/>
    </row>
    <row r="221" spans="1:12" x14ac:dyDescent="0.25">
      <c r="A221" s="6">
        <v>44136</v>
      </c>
      <c r="B221" s="7">
        <v>138.1</v>
      </c>
      <c r="C221" s="7">
        <v>137.46</v>
      </c>
      <c r="D221" s="7">
        <v>137.716720358054</v>
      </c>
      <c r="E221" s="7">
        <v>137.716720358054</v>
      </c>
      <c r="F221" s="7">
        <v>137.716720358054</v>
      </c>
      <c r="G221" s="7">
        <v>137.46380126685801</v>
      </c>
      <c r="H221" s="7">
        <v>137.46380126685801</v>
      </c>
      <c r="I221" s="9"/>
      <c r="J221" s="9">
        <f t="shared" si="6"/>
        <v>1.8676004514330824E-3</v>
      </c>
      <c r="K221" s="9">
        <f>G221/$C221-1</f>
        <v>2.7653621839096587E-5</v>
      </c>
      <c r="L221" s="9"/>
    </row>
    <row r="222" spans="1:12" x14ac:dyDescent="0.25">
      <c r="A222" s="6">
        <v>44166</v>
      </c>
      <c r="B222" s="7">
        <v>139.53</v>
      </c>
      <c r="C222" s="7">
        <v>138.16999999999999</v>
      </c>
      <c r="D222" s="7">
        <v>139.70800760210901</v>
      </c>
      <c r="E222" s="7">
        <v>139.70800760210901</v>
      </c>
      <c r="F222" s="7">
        <v>139.70800760210901</v>
      </c>
      <c r="G222" s="7">
        <v>138.17224008997101</v>
      </c>
      <c r="H222" s="7">
        <v>138.17224008997101</v>
      </c>
      <c r="I222" s="9"/>
      <c r="J222" s="9">
        <f t="shared" si="6"/>
        <v>1.1131270189686848E-2</v>
      </c>
      <c r="K222" s="9">
        <f t="shared" si="7"/>
        <v>1.6212564022843878E-5</v>
      </c>
      <c r="L222" s="9"/>
    </row>
    <row r="223" spans="1:12" x14ac:dyDescent="0.25">
      <c r="A223" s="6">
        <v>44197</v>
      </c>
      <c r="B223" s="7">
        <v>132.1</v>
      </c>
      <c r="C223" s="7">
        <v>139.01</v>
      </c>
      <c r="D223" s="7">
        <v>137.380660207001</v>
      </c>
      <c r="E223" s="7">
        <v>137.380660207001</v>
      </c>
      <c r="F223" s="7">
        <v>137.380660207001</v>
      </c>
      <c r="G223" s="7">
        <v>139.00892576662901</v>
      </c>
      <c r="H223" s="7">
        <v>139.00892576662901</v>
      </c>
      <c r="I223" s="9"/>
      <c r="J223" s="9">
        <f t="shared" si="6"/>
        <v>-1.17210257751168E-2</v>
      </c>
      <c r="K223" s="9">
        <f>G223/$C223-1</f>
        <v>-7.7277416803411825E-6</v>
      </c>
      <c r="L223" s="9"/>
    </row>
    <row r="224" spans="1:12" x14ac:dyDescent="0.25">
      <c r="A224" s="6">
        <v>44228</v>
      </c>
      <c r="B224" s="7">
        <v>134.87</v>
      </c>
      <c r="C224" s="7">
        <v>141.31</v>
      </c>
      <c r="D224" s="7">
        <v>139.229775503376</v>
      </c>
      <c r="E224" s="7">
        <v>139.229775503376</v>
      </c>
      <c r="F224" s="7">
        <v>139.229775503376</v>
      </c>
      <c r="G224" s="7">
        <v>141.31308919591501</v>
      </c>
      <c r="H224" s="7">
        <v>141.31308919591501</v>
      </c>
      <c r="I224" s="9"/>
      <c r="J224" s="9">
        <f t="shared" si="6"/>
        <v>-1.4720999905342813E-2</v>
      </c>
      <c r="K224" s="9">
        <f t="shared" ref="K224:K226" si="8">G224/$C224-1</f>
        <v>2.1861127414979364E-5</v>
      </c>
      <c r="L224" s="9"/>
    </row>
    <row r="225" spans="1:11" x14ac:dyDescent="0.25">
      <c r="A225" s="6">
        <v>44256</v>
      </c>
      <c r="B225" s="7">
        <v>144.02000000000001</v>
      </c>
      <c r="C225" s="7">
        <v>139.04</v>
      </c>
      <c r="D225" s="7">
        <v>139.61542118898399</v>
      </c>
      <c r="E225" s="7">
        <v>139.61542118898399</v>
      </c>
      <c r="F225" s="7">
        <v>139.61542118898399</v>
      </c>
      <c r="G225" s="7">
        <v>139.039440492431</v>
      </c>
      <c r="H225" s="7">
        <v>139.039440492431</v>
      </c>
      <c r="J225" s="9">
        <f t="shared" si="6"/>
        <v>4.1385298402185633E-3</v>
      </c>
      <c r="K225" s="9">
        <f t="shared" si="8"/>
        <v>-4.0240763017340697E-6</v>
      </c>
    </row>
    <row r="226" spans="1:11" x14ac:dyDescent="0.25">
      <c r="A226" s="6">
        <v>44287</v>
      </c>
      <c r="B226" s="7">
        <v>138.09</v>
      </c>
      <c r="C226" s="7">
        <v>139.65</v>
      </c>
      <c r="D226" s="7">
        <v>138.301979776454</v>
      </c>
      <c r="E226" s="7">
        <v>138.301979776454</v>
      </c>
      <c r="F226" s="7">
        <v>138.301979776454</v>
      </c>
      <c r="G226" s="7">
        <v>139.65292720972101</v>
      </c>
      <c r="H226" s="7">
        <v>139.65292720972101</v>
      </c>
      <c r="J226" s="9">
        <f t="shared" si="6"/>
        <v>-9.6528480024776764E-3</v>
      </c>
      <c r="K226" s="9">
        <f t="shared" si="8"/>
        <v>2.0961043472933483E-5</v>
      </c>
    </row>
  </sheetData>
  <mergeCells count="3">
    <mergeCell ref="D5:F5"/>
    <mergeCell ref="G5:H5"/>
    <mergeCell ref="J5:K5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D9BA-DC1A-4E6C-A2A9-DDCBF66C6E6E}">
  <sheetPr codeName="Planilha5"/>
  <dimension ref="A1:AI246"/>
  <sheetViews>
    <sheetView zoomScaleNormal="100" workbookViewId="0">
      <selection activeCell="E4" sqref="E4"/>
    </sheetView>
  </sheetViews>
  <sheetFormatPr defaultRowHeight="15" x14ac:dyDescent="0.25"/>
  <cols>
    <col min="1" max="1" width="11.85546875" bestFit="1" customWidth="1"/>
    <col min="2" max="3" width="15.140625" bestFit="1" customWidth="1"/>
    <col min="4" max="4" width="5.140625" customWidth="1"/>
    <col min="5" max="6" width="12.28515625" bestFit="1" customWidth="1"/>
    <col min="7" max="7" width="6.28515625" bestFit="1" customWidth="1"/>
    <col min="11" max="11" width="5" customWidth="1"/>
    <col min="12" max="12" width="10.42578125" bestFit="1" customWidth="1"/>
  </cols>
  <sheetData>
    <row r="1" spans="1:35" x14ac:dyDescent="0.25">
      <c r="A1" s="12" t="s">
        <v>23</v>
      </c>
      <c r="E1" s="12" t="s">
        <v>24</v>
      </c>
      <c r="F1" s="12"/>
      <c r="G1" s="12"/>
      <c r="W1" s="12" t="s">
        <v>30</v>
      </c>
    </row>
    <row r="2" spans="1:35" x14ac:dyDescent="0.25">
      <c r="A2" s="13" t="s">
        <v>13</v>
      </c>
      <c r="B2" s="13" t="s">
        <v>1</v>
      </c>
      <c r="C2" s="13" t="s">
        <v>25</v>
      </c>
      <c r="E2" s="13" t="s">
        <v>9</v>
      </c>
      <c r="F2" s="13" t="s">
        <v>31</v>
      </c>
      <c r="G2" s="13" t="s">
        <v>32</v>
      </c>
      <c r="H2" s="13" t="s">
        <v>11</v>
      </c>
      <c r="I2" s="13" t="s">
        <v>38</v>
      </c>
      <c r="J2" s="13" t="s">
        <v>12</v>
      </c>
      <c r="L2" s="13" t="s">
        <v>27</v>
      </c>
      <c r="W2" t="str" cm="1">
        <f t="array" ref="W2:AI21">xlDESSAZ_SeasonalPlot(A3:A222,G3:G222, 12)</f>
        <v/>
      </c>
      <c r="X2">
        <v>1</v>
      </c>
      <c r="Y2">
        <v>2</v>
      </c>
      <c r="Z2">
        <v>3</v>
      </c>
      <c r="AA2">
        <v>4</v>
      </c>
      <c r="AB2">
        <v>5</v>
      </c>
      <c r="AC2">
        <v>6</v>
      </c>
      <c r="AD2">
        <v>7</v>
      </c>
      <c r="AE2">
        <v>8</v>
      </c>
      <c r="AF2">
        <v>9</v>
      </c>
      <c r="AG2">
        <v>10</v>
      </c>
      <c r="AH2">
        <v>11</v>
      </c>
      <c r="AI2">
        <v>12</v>
      </c>
    </row>
    <row r="3" spans="1:35" x14ac:dyDescent="0.25">
      <c r="A3" s="14">
        <v>37622</v>
      </c>
      <c r="B3" s="21">
        <v>96.15</v>
      </c>
      <c r="C3" s="7">
        <v>100.5</v>
      </c>
      <c r="E3" s="23" cm="1">
        <f t="array" ref="E3:J222">xlDESSAZ($A$3:$A$222,$B$3:$B$222,$E$2:$J$2,,,Specs!$B$3)</f>
        <v>100.498050423983</v>
      </c>
      <c r="F3" s="22">
        <v>102.22713168814199</v>
      </c>
      <c r="G3" s="21">
        <v>0.98308588693035803</v>
      </c>
      <c r="H3" s="7">
        <v>137.350265878523</v>
      </c>
      <c r="I3" s="7">
        <v>137.65422447749901</v>
      </c>
      <c r="J3" s="7">
        <v>137.95885574229899</v>
      </c>
      <c r="L3" s="9">
        <f t="shared" ref="L3:L67" si="0">(E3-C3)/C3</f>
        <v>-1.9398766338282704E-5</v>
      </c>
      <c r="W3">
        <v>2003</v>
      </c>
      <c r="X3">
        <v>0.98308588693035803</v>
      </c>
      <c r="Y3">
        <v>1.0014189192770999</v>
      </c>
      <c r="Z3">
        <v>1.0031676302757899</v>
      </c>
      <c r="AA3">
        <v>0.99998927040299501</v>
      </c>
      <c r="AB3">
        <v>0.99405222192248499</v>
      </c>
      <c r="AC3">
        <v>1.0037518869942099</v>
      </c>
      <c r="AD3">
        <v>0.99083615511286405</v>
      </c>
      <c r="AE3">
        <v>0.99313282519115598</v>
      </c>
      <c r="AF3">
        <v>1.0085771919323601</v>
      </c>
      <c r="AG3">
        <v>1.0034866072897599</v>
      </c>
      <c r="AH3">
        <v>0.99867252630666903</v>
      </c>
      <c r="AI3">
        <v>0.98881167694323902</v>
      </c>
    </row>
    <row r="4" spans="1:35" x14ac:dyDescent="0.25">
      <c r="A4" s="14">
        <v>37653</v>
      </c>
      <c r="B4" s="21">
        <v>98.67</v>
      </c>
      <c r="C4" s="7">
        <v>102</v>
      </c>
      <c r="E4" s="23">
        <v>102.003989431153</v>
      </c>
      <c r="F4" s="22">
        <v>101.859459081107</v>
      </c>
      <c r="G4" s="21">
        <v>1.0014189192770999</v>
      </c>
      <c r="H4" s="7">
        <v>137.57194828287501</v>
      </c>
      <c r="I4" s="7">
        <v>138.03953678180901</v>
      </c>
      <c r="J4" s="7">
        <v>138.50871455099099</v>
      </c>
      <c r="L4" s="9">
        <f t="shared" si="0"/>
        <v>3.9112070127470468E-5</v>
      </c>
      <c r="W4">
        <v>2004</v>
      </c>
      <c r="X4">
        <v>1.0002121096414101</v>
      </c>
      <c r="Y4">
        <v>0.998849059790338</v>
      </c>
      <c r="Z4">
        <v>1.00276874241388</v>
      </c>
      <c r="AA4">
        <v>1.0021081890238199</v>
      </c>
      <c r="AB4">
        <v>0.99615480987198801</v>
      </c>
      <c r="AC4">
        <v>1.0009322218029</v>
      </c>
      <c r="AD4">
        <v>1.0000728223855</v>
      </c>
      <c r="AE4">
        <v>0.99785166203047204</v>
      </c>
      <c r="AF4">
        <v>1.00489445811318</v>
      </c>
      <c r="AG4">
        <v>0.99637913332413097</v>
      </c>
      <c r="AH4">
        <v>1.00414994919069</v>
      </c>
      <c r="AI4">
        <v>0.99510115703037205</v>
      </c>
    </row>
    <row r="5" spans="1:35" x14ac:dyDescent="0.25">
      <c r="A5" s="14">
        <v>37681</v>
      </c>
      <c r="B5" s="21">
        <v>103.41</v>
      </c>
      <c r="C5" s="7">
        <v>101.77</v>
      </c>
      <c r="E5" s="23">
        <v>101.76529100051</v>
      </c>
      <c r="F5" s="22">
        <v>101.443954060333</v>
      </c>
      <c r="G5" s="21">
        <v>1.0031676302757899</v>
      </c>
      <c r="H5" s="7">
        <v>145.63438420110501</v>
      </c>
      <c r="I5" s="7">
        <v>146.240473123041</v>
      </c>
      <c r="J5" s="7">
        <v>146.84908441483699</v>
      </c>
      <c r="L5" s="9">
        <f t="shared" si="0"/>
        <v>-4.6270998231227654E-5</v>
      </c>
      <c r="W5">
        <v>2005</v>
      </c>
      <c r="X5">
        <v>1.00077236927348</v>
      </c>
      <c r="Y5">
        <v>1.0010887059270399</v>
      </c>
      <c r="Z5">
        <v>0.99852355975653895</v>
      </c>
      <c r="AA5">
        <v>1.00179562716521</v>
      </c>
      <c r="AB5">
        <v>1.0011899107868401</v>
      </c>
      <c r="AC5">
        <v>0.99877662406696099</v>
      </c>
      <c r="AD5">
        <v>0.99789680180818296</v>
      </c>
      <c r="AE5">
        <v>1.0034691867140599</v>
      </c>
      <c r="AF5">
        <v>0.99903714069757898</v>
      </c>
      <c r="AG5">
        <v>0.99795799284563402</v>
      </c>
      <c r="AH5">
        <v>1.0004118547648599</v>
      </c>
      <c r="AI5">
        <v>1.00004127662251</v>
      </c>
    </row>
    <row r="6" spans="1:35" x14ac:dyDescent="0.25">
      <c r="A6" s="14">
        <v>37712</v>
      </c>
      <c r="B6" s="21">
        <v>102.19</v>
      </c>
      <c r="C6" s="7">
        <v>100.94</v>
      </c>
      <c r="E6" s="23">
        <v>100.938417368765</v>
      </c>
      <c r="F6" s="22">
        <v>100.939500408927</v>
      </c>
      <c r="G6" s="21">
        <v>0.99998927040299501</v>
      </c>
      <c r="H6" s="7">
        <v>146.519141704634</v>
      </c>
      <c r="I6" s="7">
        <v>147.224536540016</v>
      </c>
      <c r="J6" s="7">
        <v>147.933327394977</v>
      </c>
      <c r="L6" s="9">
        <f t="shared" si="0"/>
        <v>-1.5678930404158923E-5</v>
      </c>
      <c r="W6">
        <v>2006</v>
      </c>
      <c r="X6">
        <v>1.0050349529443601</v>
      </c>
      <c r="Y6">
        <v>1.00197607074146</v>
      </c>
      <c r="Z6">
        <v>0.99713170067049095</v>
      </c>
      <c r="AA6">
        <v>1.00022560771036</v>
      </c>
      <c r="AB6">
        <v>1.0082705358500601</v>
      </c>
      <c r="AC6">
        <v>0.99527323934927103</v>
      </c>
      <c r="AD6">
        <v>1.0085009041169799</v>
      </c>
      <c r="AE6">
        <v>1.0005386794457101</v>
      </c>
      <c r="AF6">
        <v>0.99627408861436895</v>
      </c>
      <c r="AG6">
        <v>1.00036085977973</v>
      </c>
      <c r="AH6">
        <v>1.0004311079694901</v>
      </c>
      <c r="AI6">
        <v>1.0032029140015599</v>
      </c>
    </row>
    <row r="7" spans="1:35" x14ac:dyDescent="0.25">
      <c r="A7" s="14">
        <v>37742</v>
      </c>
      <c r="B7" s="21">
        <v>100.3</v>
      </c>
      <c r="C7" s="7">
        <v>99.8</v>
      </c>
      <c r="E7" s="23">
        <v>99.795972897947905</v>
      </c>
      <c r="F7" s="22">
        <v>100.393088710112</v>
      </c>
      <c r="G7" s="21">
        <v>0.99405222192248499</v>
      </c>
      <c r="H7" s="7">
        <v>145.28595588996799</v>
      </c>
      <c r="I7" s="7">
        <v>146.07616419121399</v>
      </c>
      <c r="J7" s="7">
        <v>146.87067042446199</v>
      </c>
      <c r="L7" s="9">
        <f t="shared" si="0"/>
        <v>-4.0351723968856626E-5</v>
      </c>
      <c r="W7">
        <v>2007</v>
      </c>
      <c r="X7">
        <v>0.99853071082528599</v>
      </c>
      <c r="Y7">
        <v>0.99994209631429298</v>
      </c>
      <c r="Z7">
        <v>0.98941247083508899</v>
      </c>
      <c r="AA7">
        <v>0.99793585009563701</v>
      </c>
      <c r="AB7">
        <v>1.0003555579066901</v>
      </c>
      <c r="AC7">
        <v>1.0018104426577299</v>
      </c>
      <c r="AD7">
        <v>1.00201854280987</v>
      </c>
      <c r="AE7">
        <v>0.99637019221874001</v>
      </c>
      <c r="AF7">
        <v>0.99978515349740105</v>
      </c>
      <c r="AG7">
        <v>1.0028141808474</v>
      </c>
      <c r="AH7">
        <v>0.99781625908277005</v>
      </c>
      <c r="AI7">
        <v>1.00068901641885</v>
      </c>
    </row>
    <row r="8" spans="1:35" x14ac:dyDescent="0.25">
      <c r="A8" s="14">
        <v>37773</v>
      </c>
      <c r="B8" s="21">
        <v>98.58</v>
      </c>
      <c r="C8" s="7">
        <v>100.39</v>
      </c>
      <c r="E8" s="23">
        <v>100.39422086085401</v>
      </c>
      <c r="F8" s="22">
        <v>100.01896102182199</v>
      </c>
      <c r="G8" s="21">
        <v>1.0037518869942099</v>
      </c>
      <c r="H8" s="7">
        <v>145.84078290891799</v>
      </c>
      <c r="I8" s="7">
        <v>146.709509975418</v>
      </c>
      <c r="J8" s="7">
        <v>147.58341177220399</v>
      </c>
      <c r="L8" s="9">
        <f t="shared" si="0"/>
        <v>4.2044634465634842E-5</v>
      </c>
      <c r="W8">
        <v>2008</v>
      </c>
      <c r="X8">
        <v>1.00287181097293</v>
      </c>
      <c r="Y8">
        <v>0.99954507384685398</v>
      </c>
      <c r="Z8">
        <v>0.99285861612556503</v>
      </c>
      <c r="AA8">
        <v>0.99698530260360496</v>
      </c>
      <c r="AB8">
        <v>1.00089859085207</v>
      </c>
      <c r="AC8">
        <v>1.00654748370495</v>
      </c>
      <c r="AD8">
        <v>1.00011040704694</v>
      </c>
      <c r="AE8">
        <v>0.99887473316960995</v>
      </c>
      <c r="AF8">
        <v>0.99874694098632499</v>
      </c>
      <c r="AG8">
        <v>1.0016004881116001</v>
      </c>
      <c r="AH8">
        <v>0.99724597722106001</v>
      </c>
      <c r="AI8">
        <v>0.96224748730146503</v>
      </c>
    </row>
    <row r="9" spans="1:35" x14ac:dyDescent="0.25">
      <c r="A9" s="14">
        <v>37803</v>
      </c>
      <c r="B9" s="21">
        <v>103.05</v>
      </c>
      <c r="C9" s="7">
        <v>99.12</v>
      </c>
      <c r="E9" s="23">
        <v>99.117415746327097</v>
      </c>
      <c r="F9" s="22">
        <v>100.03411283981301</v>
      </c>
      <c r="G9" s="21">
        <v>0.99083615511286405</v>
      </c>
      <c r="H9" s="7">
        <v>146.135634794477</v>
      </c>
      <c r="I9" s="7">
        <v>147.07690880443201</v>
      </c>
      <c r="J9" s="7">
        <v>148.024245652948</v>
      </c>
      <c r="L9" s="9">
        <f t="shared" si="0"/>
        <v>-2.6071970065650385E-5</v>
      </c>
      <c r="W9">
        <v>2009</v>
      </c>
      <c r="X9">
        <v>0.95931032817973105</v>
      </c>
      <c r="Y9">
        <v>0.96761124811302601</v>
      </c>
      <c r="Z9">
        <v>0.97055449426149198</v>
      </c>
      <c r="AA9">
        <v>0.97120751767848701</v>
      </c>
      <c r="AB9">
        <v>0.97708378214910796</v>
      </c>
      <c r="AC9">
        <v>0.98016231353326</v>
      </c>
      <c r="AD9">
        <v>0.97622686896339805</v>
      </c>
      <c r="AE9">
        <v>0.98385520763413303</v>
      </c>
      <c r="AF9">
        <v>0.98617969670094996</v>
      </c>
      <c r="AG9">
        <v>0.98670649011092004</v>
      </c>
      <c r="AH9">
        <v>0.98445228799726503</v>
      </c>
      <c r="AI9">
        <v>0.98521317184323198</v>
      </c>
    </row>
    <row r="10" spans="1:35" x14ac:dyDescent="0.25">
      <c r="A10" s="14">
        <v>37834</v>
      </c>
      <c r="B10" s="21">
        <v>101.47</v>
      </c>
      <c r="C10" s="7">
        <v>99.72</v>
      </c>
      <c r="E10" s="23">
        <v>99.7177268355194</v>
      </c>
      <c r="F10" s="22">
        <v>100.407240910928</v>
      </c>
      <c r="G10" s="21">
        <v>0.99313282519115598</v>
      </c>
      <c r="H10" s="7">
        <v>148.17182582575899</v>
      </c>
      <c r="I10" s="7">
        <v>149.19642588563801</v>
      </c>
      <c r="J10" s="7">
        <v>150.22811099881201</v>
      </c>
      <c r="L10" s="9">
        <f t="shared" si="0"/>
        <v>-2.2795472127944908E-5</v>
      </c>
      <c r="W10">
        <v>2010</v>
      </c>
      <c r="X10">
        <v>0.99007390950899399</v>
      </c>
      <c r="Y10">
        <v>0.99125107173921001</v>
      </c>
      <c r="Z10">
        <v>0.99379519714032205</v>
      </c>
      <c r="AA10">
        <v>0.99521801082058303</v>
      </c>
      <c r="AB10">
        <v>0.99184513949189201</v>
      </c>
      <c r="AC10">
        <v>0.99033553467431501</v>
      </c>
      <c r="AD10">
        <v>0.99375890032576197</v>
      </c>
      <c r="AE10">
        <v>0.99460157030665097</v>
      </c>
      <c r="AF10">
        <v>1.0006357375592401</v>
      </c>
      <c r="AG10">
        <v>0.99291826677898598</v>
      </c>
      <c r="AH10">
        <v>1.0029165481203399</v>
      </c>
      <c r="AI10">
        <v>0.9861241831009</v>
      </c>
    </row>
    <row r="11" spans="1:35" x14ac:dyDescent="0.25">
      <c r="A11" s="14">
        <v>37865</v>
      </c>
      <c r="B11" s="21">
        <v>102.87</v>
      </c>
      <c r="C11" s="7">
        <v>101.81</v>
      </c>
      <c r="E11" s="23">
        <v>101.811675550701</v>
      </c>
      <c r="F11" s="22">
        <v>100.945843674728</v>
      </c>
      <c r="G11" s="21">
        <v>1.0085771919323601</v>
      </c>
      <c r="H11" s="7">
        <v>140.08347479613801</v>
      </c>
      <c r="I11" s="7">
        <v>141.11134294836299</v>
      </c>
      <c r="J11" s="7">
        <v>142.14675312465499</v>
      </c>
      <c r="L11" s="9">
        <f t="shared" si="0"/>
        <v>1.6457624015270373E-5</v>
      </c>
      <c r="W11">
        <v>2011</v>
      </c>
      <c r="X11">
        <v>0.99680156042972201</v>
      </c>
      <c r="Y11">
        <v>0.99914879424630398</v>
      </c>
      <c r="Z11">
        <v>0.99888886586441505</v>
      </c>
      <c r="AA11">
        <v>0.99526724605322603</v>
      </c>
      <c r="AB11">
        <v>0.99684222651613696</v>
      </c>
      <c r="AC11">
        <v>1.0002946106530199</v>
      </c>
      <c r="AD11">
        <v>0.99913084162169796</v>
      </c>
      <c r="AE11">
        <v>0.99787087125056395</v>
      </c>
      <c r="AF11">
        <v>0.99839930707285096</v>
      </c>
      <c r="AG11">
        <v>0.99973072620197601</v>
      </c>
      <c r="AH11">
        <v>1.0083807331485199</v>
      </c>
      <c r="AI11">
        <v>0.99715160548423398</v>
      </c>
    </row>
    <row r="12" spans="1:35" x14ac:dyDescent="0.25">
      <c r="A12" s="14">
        <v>37895</v>
      </c>
      <c r="B12" s="21">
        <v>105.06</v>
      </c>
      <c r="C12" s="7">
        <v>101.88</v>
      </c>
      <c r="E12" s="23">
        <v>101.880818098048</v>
      </c>
      <c r="F12" s="22">
        <v>101.52683389887</v>
      </c>
      <c r="G12" s="21">
        <v>1.0034866072897599</v>
      </c>
      <c r="H12" s="7">
        <v>144.137221882463</v>
      </c>
      <c r="I12" s="7">
        <v>145.25292208744099</v>
      </c>
      <c r="J12" s="7">
        <v>146.37725841660099</v>
      </c>
      <c r="L12" s="9">
        <f t="shared" si="0"/>
        <v>8.0300161758990273E-6</v>
      </c>
      <c r="W12">
        <v>2012</v>
      </c>
      <c r="X12">
        <v>0.98869669902408996</v>
      </c>
      <c r="Y12">
        <v>1.0006170061494899</v>
      </c>
      <c r="Z12">
        <v>0.99592784577392102</v>
      </c>
      <c r="AA12">
        <v>0.99737901500576098</v>
      </c>
      <c r="AB12">
        <v>1.0014574274314201</v>
      </c>
      <c r="AC12">
        <v>1.0012130939513</v>
      </c>
      <c r="AD12">
        <v>0.99995963846351499</v>
      </c>
      <c r="AE12">
        <v>1.0005293204760399</v>
      </c>
      <c r="AF12">
        <v>0.99515029816421496</v>
      </c>
      <c r="AG12">
        <v>1.00285361145274</v>
      </c>
      <c r="AH12">
        <v>1.0011725506357001</v>
      </c>
      <c r="AI12">
        <v>0.99650900650536101</v>
      </c>
    </row>
    <row r="13" spans="1:35" x14ac:dyDescent="0.25">
      <c r="A13" s="14">
        <v>37926</v>
      </c>
      <c r="B13" s="21">
        <v>101.95</v>
      </c>
      <c r="C13" s="7">
        <v>101.97</v>
      </c>
      <c r="E13" s="23">
        <v>101.973159862332</v>
      </c>
      <c r="F13" s="22">
        <v>102.10870648405</v>
      </c>
      <c r="G13" s="21">
        <v>0.99867252630666903</v>
      </c>
      <c r="H13" s="7">
        <v>150.415869944956</v>
      </c>
      <c r="I13" s="7">
        <v>151.63943694897</v>
      </c>
      <c r="J13" s="7">
        <v>152.87295713288299</v>
      </c>
      <c r="L13" s="9">
        <f t="shared" si="0"/>
        <v>3.098815663428403E-5</v>
      </c>
      <c r="W13">
        <v>2013</v>
      </c>
      <c r="X13">
        <v>1.00233794801229</v>
      </c>
      <c r="Y13">
        <v>0.99264770372559896</v>
      </c>
      <c r="Z13">
        <v>0.99674540831831704</v>
      </c>
      <c r="AA13">
        <v>1.0025524555058201</v>
      </c>
      <c r="AB13">
        <v>1.0025749226913001</v>
      </c>
      <c r="AC13">
        <v>0.99707908621102204</v>
      </c>
      <c r="AD13">
        <v>1.00012528918185</v>
      </c>
      <c r="AE13">
        <v>0.99859712466446904</v>
      </c>
      <c r="AF13">
        <v>1.0018029036904099</v>
      </c>
      <c r="AG13">
        <v>0.99884505048899597</v>
      </c>
      <c r="AH13">
        <v>1.00005101556025</v>
      </c>
      <c r="AI13">
        <v>1.00093840292188</v>
      </c>
    </row>
    <row r="14" spans="1:35" x14ac:dyDescent="0.25">
      <c r="A14" s="14">
        <v>37956</v>
      </c>
      <c r="B14" s="21">
        <v>99.74</v>
      </c>
      <c r="C14" s="7">
        <v>101.59</v>
      </c>
      <c r="E14" s="23">
        <v>101.586666280949</v>
      </c>
      <c r="F14" s="22">
        <v>102.73611108132199</v>
      </c>
      <c r="G14" s="21">
        <v>0.98881167694323902</v>
      </c>
      <c r="H14" s="7">
        <v>145.489044886545</v>
      </c>
      <c r="I14" s="7">
        <v>146.72799278280999</v>
      </c>
      <c r="J14" s="7">
        <v>147.977491245896</v>
      </c>
      <c r="L14" s="9">
        <f t="shared" si="0"/>
        <v>-3.2815425248544755E-5</v>
      </c>
      <c r="W14">
        <v>2014</v>
      </c>
      <c r="X14">
        <v>0.99936029336695698</v>
      </c>
      <c r="Y14">
        <v>0.999332661444302</v>
      </c>
      <c r="Z14">
        <v>1.0011642344343901</v>
      </c>
      <c r="AA14">
        <v>0.99977102126622097</v>
      </c>
      <c r="AB14">
        <v>1.0005295166085899</v>
      </c>
      <c r="AC14">
        <v>0.985551934708917</v>
      </c>
      <c r="AD14">
        <v>0.99505503082659297</v>
      </c>
      <c r="AE14">
        <v>1.00091794868469</v>
      </c>
      <c r="AF14">
        <v>1.00416737774582</v>
      </c>
      <c r="AG14">
        <v>0.99719126045272299</v>
      </c>
      <c r="AH14">
        <v>0.99850674503944503</v>
      </c>
      <c r="AI14">
        <v>1.0033823867474601</v>
      </c>
    </row>
    <row r="15" spans="1:35" x14ac:dyDescent="0.25">
      <c r="A15" s="14">
        <v>37987</v>
      </c>
      <c r="B15" s="21">
        <v>98.59</v>
      </c>
      <c r="C15" s="7">
        <v>103.61</v>
      </c>
      <c r="E15" s="23">
        <v>103.614858958376</v>
      </c>
      <c r="F15" s="22">
        <v>103.592885908493</v>
      </c>
      <c r="G15" s="21">
        <v>1.0002121096414101</v>
      </c>
      <c r="H15" s="7" t="e">
        <v>#N/A</v>
      </c>
      <c r="I15" s="7" t="e">
        <v>#N/A</v>
      </c>
      <c r="J15" s="7" t="e">
        <v>#N/A</v>
      </c>
      <c r="L15" s="9">
        <f t="shared" si="0"/>
        <v>4.6896615925150149E-5</v>
      </c>
      <c r="W15">
        <v>2015</v>
      </c>
      <c r="X15">
        <v>0.99970523327637695</v>
      </c>
      <c r="Y15">
        <v>0.99705683972680303</v>
      </c>
      <c r="Z15">
        <v>1.0029025391474999</v>
      </c>
      <c r="AA15">
        <v>1.0001142501543001</v>
      </c>
      <c r="AB15">
        <v>1.0002781608537199</v>
      </c>
      <c r="AC15">
        <v>0.99888311018296305</v>
      </c>
      <c r="AD15">
        <v>0.99723915151626996</v>
      </c>
      <c r="AE15">
        <v>1.00296530922879</v>
      </c>
      <c r="AF15">
        <v>0.997177006091026</v>
      </c>
      <c r="AG15">
        <v>1.00695121442573</v>
      </c>
      <c r="AH15">
        <v>0.998255262828047</v>
      </c>
      <c r="AI15">
        <v>0.99954764449447597</v>
      </c>
    </row>
    <row r="16" spans="1:35" x14ac:dyDescent="0.25">
      <c r="A16" s="14">
        <v>38018</v>
      </c>
      <c r="B16" s="21">
        <v>99.45</v>
      </c>
      <c r="C16" s="7">
        <v>104.48</v>
      </c>
      <c r="E16" s="23">
        <v>104.477184002843</v>
      </c>
      <c r="F16" s="22">
        <v>104.59756955147201</v>
      </c>
      <c r="G16" s="21">
        <v>0.998849059790338</v>
      </c>
      <c r="H16" s="7" t="e">
        <v>#N/A</v>
      </c>
      <c r="I16" s="7" t="e">
        <v>#N/A</v>
      </c>
      <c r="J16" s="7" t="e">
        <v>#N/A</v>
      </c>
      <c r="L16" s="9">
        <f t="shared" si="0"/>
        <v>-2.695249958844313E-5</v>
      </c>
      <c r="W16">
        <v>2016</v>
      </c>
      <c r="X16">
        <v>0.99915772355952603</v>
      </c>
      <c r="Y16">
        <v>1.00178855689223</v>
      </c>
      <c r="Z16">
        <v>0.99838081092326703</v>
      </c>
      <c r="AA16">
        <v>1.00074881300607</v>
      </c>
      <c r="AB16">
        <v>0.99819232824443305</v>
      </c>
      <c r="AC16">
        <v>1.0022109714820899</v>
      </c>
      <c r="AD16">
        <v>1.0007708829392801</v>
      </c>
      <c r="AE16">
        <v>0.99797297785387695</v>
      </c>
      <c r="AF16">
        <v>1.00120743751945</v>
      </c>
      <c r="AG16">
        <v>1.0010222202255601</v>
      </c>
      <c r="AH16">
        <v>1.00112319868059</v>
      </c>
      <c r="AI16">
        <v>0.99333899995632302</v>
      </c>
    </row>
    <row r="17" spans="1:35" x14ac:dyDescent="0.25">
      <c r="A17" s="14">
        <v>38047</v>
      </c>
      <c r="B17" s="21">
        <v>111.98</v>
      </c>
      <c r="C17" s="7">
        <v>105.81</v>
      </c>
      <c r="E17" s="23">
        <v>105.812398569129</v>
      </c>
      <c r="F17" s="22">
        <v>105.520240204552</v>
      </c>
      <c r="G17" s="21">
        <v>1.00276874241388</v>
      </c>
      <c r="H17" s="7" t="e">
        <v>#N/A</v>
      </c>
      <c r="I17" s="7" t="e">
        <v>#N/A</v>
      </c>
      <c r="J17" s="7" t="e">
        <v>#N/A</v>
      </c>
      <c r="L17" s="9">
        <f t="shared" si="0"/>
        <v>2.2668643124462563E-5</v>
      </c>
      <c r="W17">
        <v>2017</v>
      </c>
      <c r="X17">
        <v>0.99761283517212196</v>
      </c>
      <c r="Y17">
        <v>1.0050075970911201</v>
      </c>
      <c r="Z17">
        <v>1.00176782410036</v>
      </c>
      <c r="AA17">
        <v>1.0012663750077599</v>
      </c>
      <c r="AB17">
        <v>0.99490528326386496</v>
      </c>
      <c r="AC17">
        <v>1.0012905101343901</v>
      </c>
      <c r="AD17">
        <v>1.0040214828718099</v>
      </c>
      <c r="AE17">
        <v>0.99805005620396703</v>
      </c>
      <c r="AF17">
        <v>0.99938190937995197</v>
      </c>
      <c r="AG17">
        <v>0.99843860348718905</v>
      </c>
      <c r="AH17">
        <v>0.99606014909037299</v>
      </c>
      <c r="AI17">
        <v>1.0050104230477701</v>
      </c>
    </row>
    <row r="18" spans="1:35" x14ac:dyDescent="0.25">
      <c r="A18" s="14">
        <v>38078</v>
      </c>
      <c r="B18" s="21">
        <v>107.36</v>
      </c>
      <c r="C18" s="7">
        <v>106.45</v>
      </c>
      <c r="E18" s="23">
        <v>106.45475247373901</v>
      </c>
      <c r="F18" s="22">
        <v>106.23079787167499</v>
      </c>
      <c r="G18" s="21">
        <v>1.0021081890238199</v>
      </c>
      <c r="H18" s="7" t="e">
        <v>#N/A</v>
      </c>
      <c r="I18" s="7" t="e">
        <v>#N/A</v>
      </c>
      <c r="J18" s="7" t="e">
        <v>#N/A</v>
      </c>
      <c r="L18" s="9">
        <f t="shared" si="0"/>
        <v>4.4645126716800834E-5</v>
      </c>
      <c r="W18">
        <v>2018</v>
      </c>
      <c r="X18">
        <v>0.99987411949744398</v>
      </c>
      <c r="Y18">
        <v>0.99630835462760103</v>
      </c>
      <c r="Z18">
        <v>1.0017099315237401</v>
      </c>
      <c r="AA18">
        <v>1.01014932788391</v>
      </c>
      <c r="AB18">
        <v>0.969787647205265</v>
      </c>
      <c r="AC18">
        <v>0.99790180197596201</v>
      </c>
      <c r="AD18">
        <v>0.99983994390169395</v>
      </c>
      <c r="AE18">
        <v>1.00401929943129</v>
      </c>
      <c r="AF18">
        <v>0.99882834306023804</v>
      </c>
      <c r="AG18">
        <v>0.99729401175534604</v>
      </c>
      <c r="AH18">
        <v>0.99957443813698099</v>
      </c>
      <c r="AI18">
        <v>1.00190775857474</v>
      </c>
    </row>
    <row r="19" spans="1:35" x14ac:dyDescent="0.25">
      <c r="A19" s="14">
        <v>38108</v>
      </c>
      <c r="B19" s="21">
        <v>106.03</v>
      </c>
      <c r="C19" s="7">
        <v>106.34</v>
      </c>
      <c r="E19" s="23">
        <v>106.33746575830899</v>
      </c>
      <c r="F19" s="22">
        <v>106.74793185205201</v>
      </c>
      <c r="G19" s="21">
        <v>0.99615480987198801</v>
      </c>
      <c r="H19" s="7" t="e">
        <v>#N/A</v>
      </c>
      <c r="I19" s="7" t="e">
        <v>#N/A</v>
      </c>
      <c r="J19" s="7" t="e">
        <v>#N/A</v>
      </c>
      <c r="L19" s="9">
        <f t="shared" si="0"/>
        <v>-2.3831499821414732E-5</v>
      </c>
      <c r="W19">
        <v>2019</v>
      </c>
      <c r="X19">
        <v>1.00080257617935</v>
      </c>
      <c r="Y19">
        <v>0.99178623612070005</v>
      </c>
      <c r="Z19">
        <v>0.99983072336898704</v>
      </c>
      <c r="AA19">
        <v>0.99963440518207503</v>
      </c>
      <c r="AB19">
        <v>1.00121512333332</v>
      </c>
      <c r="AC19">
        <v>1.0020621571678301</v>
      </c>
      <c r="AD19">
        <v>0.99878048682515796</v>
      </c>
      <c r="AE19">
        <v>0.99438328084426197</v>
      </c>
      <c r="AF19">
        <v>0.99991752716599902</v>
      </c>
      <c r="AG19">
        <v>1.0024481454323999</v>
      </c>
      <c r="AH19">
        <v>1.00101337721865</v>
      </c>
      <c r="AI19">
        <v>0.99765668365374804</v>
      </c>
    </row>
    <row r="20" spans="1:35" x14ac:dyDescent="0.25">
      <c r="A20" s="14">
        <v>38139</v>
      </c>
      <c r="B20" s="21">
        <v>107</v>
      </c>
      <c r="C20" s="7">
        <v>107.38</v>
      </c>
      <c r="E20" s="23">
        <v>107.375314718082</v>
      </c>
      <c r="F20" s="22">
        <v>107.275310334875</v>
      </c>
      <c r="G20" s="21">
        <v>1.0009322218029</v>
      </c>
      <c r="H20" s="7" t="e">
        <v>#N/A</v>
      </c>
      <c r="I20" s="7" t="e">
        <v>#N/A</v>
      </c>
      <c r="J20" s="7" t="e">
        <v>#N/A</v>
      </c>
      <c r="L20" s="9">
        <f t="shared" si="0"/>
        <v>-4.3632724138576351E-5</v>
      </c>
      <c r="W20">
        <v>2020</v>
      </c>
      <c r="X20">
        <v>0.99811652222268299</v>
      </c>
      <c r="Y20">
        <v>1.0038781578228999</v>
      </c>
      <c r="Z20">
        <v>0.955520005384351</v>
      </c>
      <c r="AA20">
        <v>0.99695627969425205</v>
      </c>
      <c r="AB20">
        <v>1.00178046951956</v>
      </c>
      <c r="AC20">
        <v>0.99383128768432605</v>
      </c>
      <c r="AD20">
        <v>1.00304365041639</v>
      </c>
      <c r="AE20">
        <v>0.99980252641306699</v>
      </c>
      <c r="AF20">
        <v>1.00180839692527</v>
      </c>
      <c r="AG20">
        <v>1.0006414273327999</v>
      </c>
      <c r="AH20">
        <v>0.99926516209840199</v>
      </c>
      <c r="AI20">
        <v>0.99876238219449698</v>
      </c>
    </row>
    <row r="21" spans="1:35" x14ac:dyDescent="0.25">
      <c r="A21" s="14">
        <v>38169</v>
      </c>
      <c r="B21" s="21">
        <v>111.47</v>
      </c>
      <c r="C21" s="7">
        <v>107.85</v>
      </c>
      <c r="E21" s="23">
        <v>107.848949164426</v>
      </c>
      <c r="F21" s="22">
        <v>107.84109591856701</v>
      </c>
      <c r="G21" s="21">
        <v>1.0000728223855</v>
      </c>
      <c r="H21" s="7" t="e">
        <v>#N/A</v>
      </c>
      <c r="I21" s="7" t="e">
        <v>#N/A</v>
      </c>
      <c r="J21" s="7" t="e">
        <v>#N/A</v>
      </c>
      <c r="L21" s="9">
        <f t="shared" si="0"/>
        <v>-9.7434916457259971E-6</v>
      </c>
      <c r="W21">
        <v>2021</v>
      </c>
      <c r="X21">
        <v>1.00128647873159</v>
      </c>
      <c r="Y21">
        <v>1.0151738711226299</v>
      </c>
      <c r="Z21">
        <v>0.99693867426282001</v>
      </c>
      <c r="AA21">
        <v>0.99926835823052096</v>
      </c>
      <c r="AB21" t="e">
        <v>#N/A</v>
      </c>
      <c r="AC21" t="e">
        <v>#N/A</v>
      </c>
      <c r="AD21" t="e">
        <v>#N/A</v>
      </c>
      <c r="AE21" t="e">
        <v>#N/A</v>
      </c>
      <c r="AF21" t="e">
        <v>#N/A</v>
      </c>
      <c r="AG21" t="e">
        <v>#N/A</v>
      </c>
      <c r="AH21" t="e">
        <v>#N/A</v>
      </c>
      <c r="AI21" t="e">
        <v>#N/A</v>
      </c>
    </row>
    <row r="22" spans="1:35" x14ac:dyDescent="0.25">
      <c r="A22" s="14">
        <v>38200</v>
      </c>
      <c r="B22" s="21">
        <v>110.65</v>
      </c>
      <c r="C22" s="7">
        <v>108.21</v>
      </c>
      <c r="E22" s="23">
        <v>108.210314589394</v>
      </c>
      <c r="F22" s="22">
        <v>108.443287421302</v>
      </c>
      <c r="G22" s="21">
        <v>0.99785166203047204</v>
      </c>
      <c r="H22" s="7" t="e">
        <v>#N/A</v>
      </c>
      <c r="I22" s="7" t="e">
        <v>#N/A</v>
      </c>
      <c r="J22" s="7" t="e">
        <v>#N/A</v>
      </c>
      <c r="L22" s="9">
        <f t="shared" si="0"/>
        <v>2.907211847413689E-6</v>
      </c>
    </row>
    <row r="23" spans="1:35" x14ac:dyDescent="0.25">
      <c r="A23" s="14">
        <v>38231</v>
      </c>
      <c r="B23" s="21">
        <v>109.21</v>
      </c>
      <c r="C23" s="7">
        <v>109.41</v>
      </c>
      <c r="E23" s="23">
        <v>109.40826553101699</v>
      </c>
      <c r="F23" s="22">
        <v>108.87537954627</v>
      </c>
      <c r="G23" s="21">
        <v>1.00489445811318</v>
      </c>
      <c r="H23" s="7" t="e">
        <v>#N/A</v>
      </c>
      <c r="I23" s="7" t="e">
        <v>#N/A</v>
      </c>
      <c r="J23" s="7" t="e">
        <v>#N/A</v>
      </c>
      <c r="L23" s="9">
        <f t="shared" si="0"/>
        <v>-1.5852929192967348E-5</v>
      </c>
    </row>
    <row r="24" spans="1:35" x14ac:dyDescent="0.25">
      <c r="A24" s="14">
        <v>38261</v>
      </c>
      <c r="B24" s="21">
        <v>108.89</v>
      </c>
      <c r="C24" s="7">
        <v>108.67</v>
      </c>
      <c r="E24" s="23">
        <v>108.673211650547</v>
      </c>
      <c r="F24" s="22">
        <v>109.068132818067</v>
      </c>
      <c r="G24" s="21">
        <v>0.99637913332413097</v>
      </c>
      <c r="H24" s="7" t="e">
        <v>#N/A</v>
      </c>
      <c r="I24" s="7" t="e">
        <v>#N/A</v>
      </c>
      <c r="J24" s="7" t="e">
        <v>#N/A</v>
      </c>
      <c r="L24" s="9">
        <f t="shared" si="0"/>
        <v>2.9554159814129516E-5</v>
      </c>
    </row>
    <row r="25" spans="1:35" x14ac:dyDescent="0.25">
      <c r="A25" s="14">
        <v>38292</v>
      </c>
      <c r="B25" s="21">
        <v>109.59</v>
      </c>
      <c r="C25" s="7">
        <v>109.62</v>
      </c>
      <c r="E25" s="23">
        <v>109.620805096678</v>
      </c>
      <c r="F25" s="22">
        <v>109.16776442106899</v>
      </c>
      <c r="G25" s="21">
        <v>1.00414994919069</v>
      </c>
      <c r="H25" s="7" t="e">
        <v>#N/A</v>
      </c>
      <c r="I25" s="7" t="e">
        <v>#N/A</v>
      </c>
      <c r="J25" s="7" t="e">
        <v>#N/A</v>
      </c>
      <c r="L25" s="9">
        <f t="shared" si="0"/>
        <v>7.3444323845405333E-6</v>
      </c>
    </row>
    <row r="26" spans="1:35" x14ac:dyDescent="0.25">
      <c r="A26" s="14">
        <v>38322</v>
      </c>
      <c r="B26" s="21">
        <v>107.56</v>
      </c>
      <c r="C26" s="7">
        <v>108.75</v>
      </c>
      <c r="E26" s="23">
        <v>108.750537824944</v>
      </c>
      <c r="F26" s="22">
        <v>109.285912348331</v>
      </c>
      <c r="G26" s="21">
        <v>0.99510115703037205</v>
      </c>
      <c r="H26" s="7" t="e">
        <v>#N/A</v>
      </c>
      <c r="I26" s="7" t="e">
        <v>#N/A</v>
      </c>
      <c r="J26" s="7" t="e">
        <v>#N/A</v>
      </c>
      <c r="L26" s="9">
        <f t="shared" si="0"/>
        <v>4.9455167264756618E-6</v>
      </c>
    </row>
    <row r="27" spans="1:35" x14ac:dyDescent="0.25">
      <c r="A27" s="14">
        <v>38353</v>
      </c>
      <c r="B27" s="21">
        <v>103.52</v>
      </c>
      <c r="C27" s="7">
        <v>109.65</v>
      </c>
      <c r="E27" s="23">
        <v>109.646371061213</v>
      </c>
      <c r="F27" s="22">
        <v>109.56174893278801</v>
      </c>
      <c r="G27" s="21">
        <v>1.00077236927348</v>
      </c>
      <c r="H27" s="7" t="e">
        <v>#N/A</v>
      </c>
      <c r="I27" s="7" t="e">
        <v>#N/A</v>
      </c>
      <c r="J27" s="7" t="e">
        <v>#N/A</v>
      </c>
      <c r="L27" s="9">
        <f t="shared" si="0"/>
        <v>-3.309565697220945E-5</v>
      </c>
    </row>
    <row r="28" spans="1:35" x14ac:dyDescent="0.25">
      <c r="A28" s="14">
        <v>38384</v>
      </c>
      <c r="B28" s="21">
        <v>104</v>
      </c>
      <c r="C28" s="7">
        <v>110.13</v>
      </c>
      <c r="E28" s="23">
        <v>110.129534520596</v>
      </c>
      <c r="F28" s="22">
        <v>110.009766236063</v>
      </c>
      <c r="G28" s="21">
        <v>1.0010887059270399</v>
      </c>
      <c r="H28" s="7" t="e">
        <v>#N/A</v>
      </c>
      <c r="I28" s="7" t="e">
        <v>#N/A</v>
      </c>
      <c r="J28" s="7" t="e">
        <v>#N/A</v>
      </c>
      <c r="L28" s="9">
        <f t="shared" si="0"/>
        <v>-4.2266358303761454E-6</v>
      </c>
    </row>
    <row r="29" spans="1:35" x14ac:dyDescent="0.25">
      <c r="A29" s="14">
        <v>38412</v>
      </c>
      <c r="B29" s="21">
        <v>115.42</v>
      </c>
      <c r="C29" s="7">
        <v>110.29</v>
      </c>
      <c r="E29" s="23">
        <v>110.293287353217</v>
      </c>
      <c r="F29" s="22">
        <v>110.45636958241499</v>
      </c>
      <c r="G29" s="21">
        <v>0.99852355975653895</v>
      </c>
      <c r="H29" s="7" t="e">
        <v>#N/A</v>
      </c>
      <c r="I29" s="7" t="e">
        <v>#N/A</v>
      </c>
      <c r="J29" s="7" t="e">
        <v>#N/A</v>
      </c>
      <c r="L29" s="9">
        <f t="shared" si="0"/>
        <v>2.9806448608125313E-5</v>
      </c>
    </row>
    <row r="30" spans="1:35" x14ac:dyDescent="0.25">
      <c r="A30" s="14">
        <v>38443</v>
      </c>
      <c r="B30" s="21">
        <v>112.35</v>
      </c>
      <c r="C30" s="7">
        <v>110.96</v>
      </c>
      <c r="E30" s="23">
        <v>110.957501659781</v>
      </c>
      <c r="F30" s="22">
        <v>110.75862047208101</v>
      </c>
      <c r="G30" s="21">
        <v>1.00179562716521</v>
      </c>
      <c r="H30" s="7" t="e">
        <v>#N/A</v>
      </c>
      <c r="I30" s="7" t="e">
        <v>#N/A</v>
      </c>
      <c r="J30" s="7" t="e">
        <v>#N/A</v>
      </c>
      <c r="L30" s="9">
        <f t="shared" si="0"/>
        <v>-2.2515683300214106E-5</v>
      </c>
    </row>
    <row r="31" spans="1:35" x14ac:dyDescent="0.25">
      <c r="A31" s="14">
        <v>38473</v>
      </c>
      <c r="B31" s="21">
        <v>110.86</v>
      </c>
      <c r="C31" s="7">
        <v>110.99</v>
      </c>
      <c r="E31" s="23">
        <v>110.986940880105</v>
      </c>
      <c r="F31" s="22">
        <v>110.85503328022899</v>
      </c>
      <c r="G31" s="21">
        <v>1.0011899107868401</v>
      </c>
      <c r="H31" s="7" t="e">
        <v>#N/A</v>
      </c>
      <c r="I31" s="7" t="e">
        <v>#N/A</v>
      </c>
      <c r="J31" s="7" t="e">
        <v>#N/A</v>
      </c>
      <c r="L31" s="9">
        <f t="shared" si="0"/>
        <v>-2.7562121767719478E-5</v>
      </c>
    </row>
    <row r="32" spans="1:35" x14ac:dyDescent="0.25">
      <c r="A32" s="14">
        <v>38504</v>
      </c>
      <c r="B32" s="21">
        <v>111.5</v>
      </c>
      <c r="C32" s="7">
        <v>110.75</v>
      </c>
      <c r="E32" s="23">
        <v>110.74862360116499</v>
      </c>
      <c r="F32" s="22">
        <v>110.884276756701</v>
      </c>
      <c r="G32" s="21">
        <v>0.99877662406696099</v>
      </c>
      <c r="H32" s="7" t="e">
        <v>#N/A</v>
      </c>
      <c r="I32" s="7" t="e">
        <v>#N/A</v>
      </c>
      <c r="J32" s="7" t="e">
        <v>#N/A</v>
      </c>
      <c r="L32" s="9">
        <f t="shared" si="0"/>
        <v>-1.242798045152504E-5</v>
      </c>
    </row>
    <row r="33" spans="1:12" x14ac:dyDescent="0.25">
      <c r="A33" s="14">
        <v>38534</v>
      </c>
      <c r="B33" s="21">
        <v>113.15</v>
      </c>
      <c r="C33" s="7">
        <v>110.64</v>
      </c>
      <c r="E33" s="23">
        <v>110.636520905802</v>
      </c>
      <c r="F33" s="22">
        <v>110.86970186228601</v>
      </c>
      <c r="G33" s="21">
        <v>0.99789680180818296</v>
      </c>
      <c r="H33" s="7" t="e">
        <v>#N/A</v>
      </c>
      <c r="I33" s="7" t="e">
        <v>#N/A</v>
      </c>
      <c r="J33" s="7" t="e">
        <v>#N/A</v>
      </c>
      <c r="L33" s="9">
        <f t="shared" si="0"/>
        <v>-3.1445175325372277E-5</v>
      </c>
    </row>
    <row r="34" spans="1:12" x14ac:dyDescent="0.25">
      <c r="A34" s="14">
        <v>38565</v>
      </c>
      <c r="B34" s="21">
        <v>115.15</v>
      </c>
      <c r="C34" s="7">
        <v>111.27</v>
      </c>
      <c r="E34" s="23">
        <v>111.27259849370699</v>
      </c>
      <c r="F34" s="22">
        <v>110.88790763778</v>
      </c>
      <c r="G34" s="21">
        <v>1.0034691867140599</v>
      </c>
      <c r="H34" s="7" t="e">
        <v>#N/A</v>
      </c>
      <c r="I34" s="7" t="e">
        <v>#N/A</v>
      </c>
      <c r="J34" s="7" t="e">
        <v>#N/A</v>
      </c>
      <c r="L34" s="9">
        <f t="shared" si="0"/>
        <v>2.3353048503620281E-5</v>
      </c>
    </row>
    <row r="35" spans="1:12" x14ac:dyDescent="0.25">
      <c r="A35" s="14">
        <v>38596</v>
      </c>
      <c r="B35" s="21">
        <v>110.95</v>
      </c>
      <c r="C35" s="7">
        <v>110.92</v>
      </c>
      <c r="E35" s="23">
        <v>110.91528812662401</v>
      </c>
      <c r="F35" s="22">
        <v>111.022186872029</v>
      </c>
      <c r="G35" s="21">
        <v>0.99903714069757898</v>
      </c>
      <c r="H35" s="7" t="e">
        <v>#N/A</v>
      </c>
      <c r="I35" s="7" t="e">
        <v>#N/A</v>
      </c>
      <c r="J35" s="7" t="e">
        <v>#N/A</v>
      </c>
      <c r="L35" s="9">
        <f t="shared" si="0"/>
        <v>-4.2479925856435977E-5</v>
      </c>
    </row>
    <row r="36" spans="1:12" x14ac:dyDescent="0.25">
      <c r="A36" s="14">
        <v>38626</v>
      </c>
      <c r="B36" s="21">
        <v>111.33</v>
      </c>
      <c r="C36" s="7">
        <v>111.06</v>
      </c>
      <c r="E36" s="23">
        <v>111.064722785999</v>
      </c>
      <c r="F36" s="22">
        <v>111.291981809077</v>
      </c>
      <c r="G36" s="21">
        <v>0.99795799284563402</v>
      </c>
      <c r="H36" s="7" t="e">
        <v>#N/A</v>
      </c>
      <c r="I36" s="7" t="e">
        <v>#N/A</v>
      </c>
      <c r="J36" s="7" t="e">
        <v>#N/A</v>
      </c>
      <c r="L36" s="9">
        <f t="shared" si="0"/>
        <v>4.2524635323186721E-5</v>
      </c>
    </row>
    <row r="37" spans="1:12" x14ac:dyDescent="0.25">
      <c r="A37" s="14">
        <v>38657</v>
      </c>
      <c r="B37" s="21">
        <v>111.73</v>
      </c>
      <c r="C37" s="7">
        <v>111.8</v>
      </c>
      <c r="E37" s="23">
        <v>111.799789279797</v>
      </c>
      <c r="F37" s="22">
        <v>111.753762960031</v>
      </c>
      <c r="G37" s="21">
        <v>1.0004118547648599</v>
      </c>
      <c r="H37" s="7" t="e">
        <v>#N/A</v>
      </c>
      <c r="I37" s="7" t="e">
        <v>#N/A</v>
      </c>
      <c r="J37" s="7" t="e">
        <v>#N/A</v>
      </c>
      <c r="L37" s="9">
        <f t="shared" si="0"/>
        <v>-1.884796091237852E-6</v>
      </c>
    </row>
    <row r="38" spans="1:12" x14ac:dyDescent="0.25">
      <c r="A38" s="14">
        <v>38687</v>
      </c>
      <c r="B38" s="21">
        <v>111.25</v>
      </c>
      <c r="C38" s="7">
        <v>112.34</v>
      </c>
      <c r="E38" s="23">
        <v>112.344243882328</v>
      </c>
      <c r="F38" s="22">
        <v>112.33960688278199</v>
      </c>
      <c r="G38" s="21">
        <v>1.00004127662251</v>
      </c>
      <c r="H38" s="7" t="e">
        <v>#N/A</v>
      </c>
      <c r="I38" s="7" t="e">
        <v>#N/A</v>
      </c>
      <c r="J38" s="7" t="e">
        <v>#N/A</v>
      </c>
      <c r="L38" s="9">
        <f t="shared" si="0"/>
        <v>3.7777125939095552E-5</v>
      </c>
    </row>
    <row r="39" spans="1:12" x14ac:dyDescent="0.25">
      <c r="A39" s="14">
        <v>38718</v>
      </c>
      <c r="B39" s="21">
        <v>108.55</v>
      </c>
      <c r="C39" s="7">
        <v>113.47</v>
      </c>
      <c r="E39" s="23">
        <v>113.469171570933</v>
      </c>
      <c r="F39" s="22">
        <v>112.90072174954</v>
      </c>
      <c r="G39" s="21">
        <v>1.0050349529443601</v>
      </c>
      <c r="H39" s="7" t="e">
        <v>#N/A</v>
      </c>
      <c r="I39" s="7" t="e">
        <v>#N/A</v>
      </c>
      <c r="J39" s="7" t="e">
        <v>#N/A</v>
      </c>
      <c r="L39" s="9">
        <f t="shared" si="0"/>
        <v>-7.3008642548611293E-6</v>
      </c>
    </row>
    <row r="40" spans="1:12" x14ac:dyDescent="0.25">
      <c r="A40" s="14">
        <v>38749</v>
      </c>
      <c r="B40" s="21">
        <v>107.8</v>
      </c>
      <c r="C40" s="7">
        <v>113.6</v>
      </c>
      <c r="E40" s="23">
        <v>113.597215115655</v>
      </c>
      <c r="F40" s="22">
        <v>113.373181688454</v>
      </c>
      <c r="G40" s="21">
        <v>1.00197607074146</v>
      </c>
      <c r="H40" s="7" t="e">
        <v>#N/A</v>
      </c>
      <c r="I40" s="7" t="e">
        <v>#N/A</v>
      </c>
      <c r="J40" s="7" t="e">
        <v>#N/A</v>
      </c>
      <c r="L40" s="9">
        <f t="shared" si="0"/>
        <v>-2.4514826980547941E-5</v>
      </c>
    </row>
    <row r="41" spans="1:12" x14ac:dyDescent="0.25">
      <c r="A41" s="14">
        <v>38777</v>
      </c>
      <c r="B41" s="21">
        <v>119.09</v>
      </c>
      <c r="C41" s="7">
        <v>113.43</v>
      </c>
      <c r="E41" s="23">
        <v>113.43190328745</v>
      </c>
      <c r="F41" s="22">
        <v>113.75819584431601</v>
      </c>
      <c r="G41" s="21">
        <v>0.99713170067049095</v>
      </c>
      <c r="H41" s="7" t="e">
        <v>#N/A</v>
      </c>
      <c r="I41" s="7" t="e">
        <v>#N/A</v>
      </c>
      <c r="J41" s="7" t="e">
        <v>#N/A</v>
      </c>
      <c r="L41" s="9">
        <f t="shared" si="0"/>
        <v>1.6779400952052836E-5</v>
      </c>
    </row>
    <row r="42" spans="1:12" x14ac:dyDescent="0.25">
      <c r="A42" s="14">
        <v>38808</v>
      </c>
      <c r="B42" s="21">
        <v>112.61</v>
      </c>
      <c r="C42" s="7">
        <v>114.21</v>
      </c>
      <c r="E42" s="23">
        <v>114.209309600781</v>
      </c>
      <c r="F42" s="22">
        <v>114.18354891174999</v>
      </c>
      <c r="G42" s="21">
        <v>1.00022560771036</v>
      </c>
      <c r="H42" s="7" t="e">
        <v>#N/A</v>
      </c>
      <c r="I42" s="7" t="e">
        <v>#N/A</v>
      </c>
      <c r="J42" s="7" t="e">
        <v>#N/A</v>
      </c>
      <c r="L42" s="9">
        <f t="shared" si="0"/>
        <v>-6.0449979773764362E-6</v>
      </c>
    </row>
    <row r="43" spans="1:12" x14ac:dyDescent="0.25">
      <c r="A43" s="14">
        <v>38838</v>
      </c>
      <c r="B43" s="21">
        <v>117.19</v>
      </c>
      <c r="C43" s="7">
        <v>115.69</v>
      </c>
      <c r="E43" s="23">
        <v>115.687529671349</v>
      </c>
      <c r="F43" s="22">
        <v>114.738580130991</v>
      </c>
      <c r="G43" s="21">
        <v>1.0082705358500601</v>
      </c>
      <c r="H43" s="7" t="e">
        <v>#N/A</v>
      </c>
      <c r="I43" s="7" t="e">
        <v>#N/A</v>
      </c>
      <c r="J43" s="7" t="e">
        <v>#N/A</v>
      </c>
      <c r="L43" s="9">
        <f t="shared" si="0"/>
        <v>-2.1353000700150286E-5</v>
      </c>
    </row>
    <row r="44" spans="1:12" x14ac:dyDescent="0.25">
      <c r="A44" s="14">
        <v>38869</v>
      </c>
      <c r="B44" s="21">
        <v>114.4</v>
      </c>
      <c r="C44" s="7">
        <v>114.81</v>
      </c>
      <c r="E44" s="23">
        <v>114.813663973567</v>
      </c>
      <c r="F44" s="22">
        <v>115.358938062711</v>
      </c>
      <c r="G44" s="21">
        <v>0.99527323934927103</v>
      </c>
      <c r="H44" s="7" t="e">
        <v>#N/A</v>
      </c>
      <c r="I44" s="7" t="e">
        <v>#N/A</v>
      </c>
      <c r="J44" s="7" t="e">
        <v>#N/A</v>
      </c>
      <c r="L44" s="9">
        <f t="shared" si="0"/>
        <v>3.1913366144070782E-5</v>
      </c>
    </row>
    <row r="45" spans="1:12" x14ac:dyDescent="0.25">
      <c r="A45" s="14">
        <v>38899</v>
      </c>
      <c r="B45" s="21">
        <v>119.41</v>
      </c>
      <c r="C45" s="7">
        <v>116.95</v>
      </c>
      <c r="E45" s="23">
        <v>116.947738137172</v>
      </c>
      <c r="F45" s="22">
        <v>115.961956662367</v>
      </c>
      <c r="G45" s="21">
        <v>1.0085009041169799</v>
      </c>
      <c r="H45" s="7" t="e">
        <v>#N/A</v>
      </c>
      <c r="I45" s="7" t="e">
        <v>#N/A</v>
      </c>
      <c r="J45" s="7" t="e">
        <v>#N/A</v>
      </c>
      <c r="L45" s="9">
        <f t="shared" si="0"/>
        <v>-1.934042606248064E-5</v>
      </c>
    </row>
    <row r="46" spans="1:12" x14ac:dyDescent="0.25">
      <c r="A46" s="14">
        <v>38930</v>
      </c>
      <c r="B46" s="21">
        <v>121.06</v>
      </c>
      <c r="C46" s="7">
        <v>116.6</v>
      </c>
      <c r="E46" s="23">
        <v>116.601432516701</v>
      </c>
      <c r="F46" s="22">
        <v>116.53865553833199</v>
      </c>
      <c r="G46" s="21">
        <v>1.0005386794457101</v>
      </c>
      <c r="H46" s="7" t="e">
        <v>#N/A</v>
      </c>
      <c r="I46" s="7" t="e">
        <v>#N/A</v>
      </c>
      <c r="J46" s="7" t="e">
        <v>#N/A</v>
      </c>
      <c r="L46" s="9">
        <f t="shared" si="0"/>
        <v>1.2285735000012166E-5</v>
      </c>
    </row>
    <row r="47" spans="1:12" x14ac:dyDescent="0.25">
      <c r="A47" s="14">
        <v>38961</v>
      </c>
      <c r="B47" s="21">
        <v>116.21</v>
      </c>
      <c r="C47" s="7">
        <v>116.8</v>
      </c>
      <c r="E47" s="23">
        <v>116.797996843357</v>
      </c>
      <c r="F47" s="22">
        <v>117.234803331884</v>
      </c>
      <c r="G47" s="21">
        <v>0.99627408861436895</v>
      </c>
      <c r="H47" s="7" t="e">
        <v>#N/A</v>
      </c>
      <c r="I47" s="7" t="e">
        <v>#N/A</v>
      </c>
      <c r="J47" s="7" t="e">
        <v>#N/A</v>
      </c>
      <c r="L47" s="9">
        <f t="shared" si="0"/>
        <v>-1.7150313724308352E-5</v>
      </c>
    </row>
    <row r="48" spans="1:12" x14ac:dyDescent="0.25">
      <c r="A48" s="14">
        <v>38991</v>
      </c>
      <c r="B48" s="21">
        <v>119.33</v>
      </c>
      <c r="C48" s="7">
        <v>118.07</v>
      </c>
      <c r="E48" s="23">
        <v>118.07270662266799</v>
      </c>
      <c r="F48" s="22">
        <v>118.030114301621</v>
      </c>
      <c r="G48" s="21">
        <v>1.00036085977973</v>
      </c>
      <c r="H48" s="7" t="e">
        <v>#N/A</v>
      </c>
      <c r="I48" s="7" t="e">
        <v>#N/A</v>
      </c>
      <c r="J48" s="7" t="e">
        <v>#N/A</v>
      </c>
      <c r="L48" s="9">
        <f t="shared" si="0"/>
        <v>2.2923881324642935E-5</v>
      </c>
    </row>
    <row r="49" spans="1:12" x14ac:dyDescent="0.25">
      <c r="A49" s="14">
        <v>39022</v>
      </c>
      <c r="B49" s="21">
        <v>118.67</v>
      </c>
      <c r="C49" s="7">
        <v>118.87</v>
      </c>
      <c r="E49" s="23">
        <v>118.866023115085</v>
      </c>
      <c r="F49" s="22">
        <v>118.81480110743399</v>
      </c>
      <c r="G49" s="21">
        <v>1.0004311079694901</v>
      </c>
      <c r="H49" s="7" t="e">
        <v>#N/A</v>
      </c>
      <c r="I49" s="7" t="e">
        <v>#N/A</v>
      </c>
      <c r="J49" s="7" t="e">
        <v>#N/A</v>
      </c>
      <c r="L49" s="9">
        <f t="shared" si="0"/>
        <v>-3.3455749263944058E-5</v>
      </c>
    </row>
    <row r="50" spans="1:12" x14ac:dyDescent="0.25">
      <c r="A50" s="14">
        <v>39052</v>
      </c>
      <c r="B50" s="21">
        <v>116.3</v>
      </c>
      <c r="C50" s="7">
        <v>119.87</v>
      </c>
      <c r="E50" s="23">
        <v>119.868640356285</v>
      </c>
      <c r="F50" s="22">
        <v>119.485937175117</v>
      </c>
      <c r="G50" s="21">
        <v>1.0032029140015599</v>
      </c>
      <c r="H50" s="7" t="e">
        <v>#N/A</v>
      </c>
      <c r="I50" s="7" t="e">
        <v>#N/A</v>
      </c>
      <c r="J50" s="7" t="e">
        <v>#N/A</v>
      </c>
      <c r="L50" s="9">
        <f t="shared" si="0"/>
        <v>-1.134265216489223E-5</v>
      </c>
    </row>
    <row r="51" spans="1:12" x14ac:dyDescent="0.25">
      <c r="A51" s="14">
        <v>39083</v>
      </c>
      <c r="B51" s="21">
        <v>114.79</v>
      </c>
      <c r="C51" s="7">
        <v>119.71</v>
      </c>
      <c r="E51" s="23">
        <v>119.709200807885</v>
      </c>
      <c r="F51" s="22">
        <v>119.885347050514</v>
      </c>
      <c r="G51" s="21">
        <v>0.99853071082528599</v>
      </c>
      <c r="H51" s="7" t="e">
        <v>#N/A</v>
      </c>
      <c r="I51" s="7" t="e">
        <v>#N/A</v>
      </c>
      <c r="J51" s="7" t="e">
        <v>#N/A</v>
      </c>
      <c r="L51" s="9">
        <f t="shared" si="0"/>
        <v>-6.6760681229351935E-6</v>
      </c>
    </row>
    <row r="52" spans="1:12" x14ac:dyDescent="0.25">
      <c r="A52" s="14">
        <v>39114</v>
      </c>
      <c r="B52" s="21">
        <v>113.33</v>
      </c>
      <c r="C52" s="7">
        <v>120.16</v>
      </c>
      <c r="E52" s="23">
        <v>120.163267372447</v>
      </c>
      <c r="F52" s="22">
        <v>120.170225671426</v>
      </c>
      <c r="G52" s="21">
        <v>0.99994209631429298</v>
      </c>
      <c r="H52" s="7" t="e">
        <v>#N/A</v>
      </c>
      <c r="I52" s="7" t="e">
        <v>#N/A</v>
      </c>
      <c r="J52" s="7" t="e">
        <v>#N/A</v>
      </c>
      <c r="L52" s="9">
        <f t="shared" si="0"/>
        <v>2.7191847927752217E-5</v>
      </c>
    </row>
    <row r="53" spans="1:12" x14ac:dyDescent="0.25">
      <c r="A53" s="14">
        <v>39142</v>
      </c>
      <c r="B53" s="21">
        <v>125.11</v>
      </c>
      <c r="C53" s="7">
        <v>119.34</v>
      </c>
      <c r="E53" s="23">
        <v>119.34280677963601</v>
      </c>
      <c r="F53" s="22">
        <v>120.619873205063</v>
      </c>
      <c r="G53" s="21">
        <v>0.98941247083508899</v>
      </c>
      <c r="H53" s="7" t="e">
        <v>#N/A</v>
      </c>
      <c r="I53" s="7" t="e">
        <v>#N/A</v>
      </c>
      <c r="J53" s="7" t="e">
        <v>#N/A</v>
      </c>
      <c r="L53" s="9">
        <f t="shared" si="0"/>
        <v>2.3519185822049591E-5</v>
      </c>
    </row>
    <row r="54" spans="1:12" x14ac:dyDescent="0.25">
      <c r="A54" s="14">
        <v>39173</v>
      </c>
      <c r="B54" s="21">
        <v>120.29</v>
      </c>
      <c r="C54" s="7">
        <v>121.14</v>
      </c>
      <c r="E54" s="23">
        <v>121.135931900979</v>
      </c>
      <c r="F54" s="22">
        <v>121.386491816453</v>
      </c>
      <c r="G54" s="21">
        <v>0.99793585009563701</v>
      </c>
      <c r="H54" s="7" t="e">
        <v>#N/A</v>
      </c>
      <c r="I54" s="7" t="e">
        <v>#N/A</v>
      </c>
      <c r="J54" s="7" t="e">
        <v>#N/A</v>
      </c>
      <c r="L54" s="9">
        <f t="shared" si="0"/>
        <v>-3.3581798093097295E-5</v>
      </c>
    </row>
    <row r="55" spans="1:12" x14ac:dyDescent="0.25">
      <c r="A55" s="14">
        <v>39203</v>
      </c>
      <c r="B55" s="21">
        <v>123.9</v>
      </c>
      <c r="C55" s="7">
        <v>122.39</v>
      </c>
      <c r="E55" s="23">
        <v>122.390623496016</v>
      </c>
      <c r="F55" s="22">
        <v>122.34712200942499</v>
      </c>
      <c r="G55" s="21">
        <v>1.0003555579066901</v>
      </c>
      <c r="H55" s="7" t="e">
        <v>#N/A</v>
      </c>
      <c r="I55" s="7" t="e">
        <v>#N/A</v>
      </c>
      <c r="J55" s="7" t="e">
        <v>#N/A</v>
      </c>
      <c r="L55" s="9">
        <f t="shared" si="0"/>
        <v>5.0943379034586984E-6</v>
      </c>
    </row>
    <row r="56" spans="1:12" x14ac:dyDescent="0.25">
      <c r="A56" s="14">
        <v>39234</v>
      </c>
      <c r="B56" s="21">
        <v>122.38</v>
      </c>
      <c r="C56" s="7">
        <v>123.47</v>
      </c>
      <c r="E56" s="23">
        <v>123.47017542367399</v>
      </c>
      <c r="F56" s="22">
        <v>123.247043718288</v>
      </c>
      <c r="G56" s="21">
        <v>1.0018104426577299</v>
      </c>
      <c r="H56" s="7" t="e">
        <v>#N/A</v>
      </c>
      <c r="I56" s="7" t="e">
        <v>#N/A</v>
      </c>
      <c r="J56" s="7" t="e">
        <v>#N/A</v>
      </c>
      <c r="L56" s="9">
        <f t="shared" si="0"/>
        <v>1.4207797359208403E-6</v>
      </c>
    </row>
    <row r="57" spans="1:12" x14ac:dyDescent="0.25">
      <c r="A57" s="14">
        <v>39264</v>
      </c>
      <c r="B57" s="21">
        <v>127.85</v>
      </c>
      <c r="C57" s="7">
        <v>124.29</v>
      </c>
      <c r="E57" s="23">
        <v>124.28845365242699</v>
      </c>
      <c r="F57" s="22">
        <v>124.038077482974</v>
      </c>
      <c r="G57" s="21">
        <v>1.00201854280987</v>
      </c>
      <c r="H57" s="7" t="e">
        <v>#N/A</v>
      </c>
      <c r="I57" s="7" t="e">
        <v>#N/A</v>
      </c>
      <c r="J57" s="7" t="e">
        <v>#N/A</v>
      </c>
      <c r="L57" s="9">
        <f t="shared" si="0"/>
        <v>-1.2441448008782126E-5</v>
      </c>
    </row>
    <row r="58" spans="1:12" x14ac:dyDescent="0.25">
      <c r="A58" s="14">
        <v>39295</v>
      </c>
      <c r="B58" s="21">
        <v>129.05000000000001</v>
      </c>
      <c r="C58" s="7">
        <v>124.25</v>
      </c>
      <c r="E58" s="23">
        <v>124.251457605472</v>
      </c>
      <c r="F58" s="22">
        <v>124.704109552682</v>
      </c>
      <c r="G58" s="21">
        <v>0.99637019221874001</v>
      </c>
      <c r="H58" s="7" t="e">
        <v>#N/A</v>
      </c>
      <c r="I58" s="7" t="e">
        <v>#N/A</v>
      </c>
      <c r="J58" s="7" t="e">
        <v>#N/A</v>
      </c>
      <c r="L58" s="9">
        <f t="shared" si="0"/>
        <v>1.1731231162962863E-5</v>
      </c>
    </row>
    <row r="59" spans="1:12" x14ac:dyDescent="0.25">
      <c r="A59" s="14">
        <v>39326</v>
      </c>
      <c r="B59" s="21">
        <v>123.24</v>
      </c>
      <c r="C59" s="7">
        <v>125.29</v>
      </c>
      <c r="E59" s="23">
        <v>125.28513263087601</v>
      </c>
      <c r="F59" s="22">
        <v>125.312055487731</v>
      </c>
      <c r="G59" s="21">
        <v>0.99978515349740105</v>
      </c>
      <c r="H59" s="7" t="e">
        <v>#N/A</v>
      </c>
      <c r="I59" s="7" t="e">
        <v>#N/A</v>
      </c>
      <c r="J59" s="7" t="e">
        <v>#N/A</v>
      </c>
      <c r="L59" s="9">
        <f t="shared" si="0"/>
        <v>-3.8848823720965479E-5</v>
      </c>
    </row>
    <row r="60" spans="1:12" x14ac:dyDescent="0.25">
      <c r="A60" s="14">
        <v>39356</v>
      </c>
      <c r="B60" s="21">
        <v>129.16999999999999</v>
      </c>
      <c r="C60" s="7">
        <v>126.29</v>
      </c>
      <c r="E60" s="23">
        <v>126.293279078268</v>
      </c>
      <c r="F60" s="22">
        <v>125.938864338304</v>
      </c>
      <c r="G60" s="21">
        <v>1.0028141808474</v>
      </c>
      <c r="H60" s="7" t="e">
        <v>#N/A</v>
      </c>
      <c r="I60" s="7" t="e">
        <v>#N/A</v>
      </c>
      <c r="J60" s="7" t="e">
        <v>#N/A</v>
      </c>
      <c r="L60" s="9">
        <f t="shared" si="0"/>
        <v>2.596467074189481E-5</v>
      </c>
    </row>
    <row r="61" spans="1:12" x14ac:dyDescent="0.25">
      <c r="A61" s="14">
        <v>39387</v>
      </c>
      <c r="B61" s="21">
        <v>125.88</v>
      </c>
      <c r="C61" s="7">
        <v>126.22</v>
      </c>
      <c r="E61" s="23">
        <v>126.22120534469001</v>
      </c>
      <c r="F61" s="22">
        <v>126.49744298686601</v>
      </c>
      <c r="G61" s="21">
        <v>0.99781625908277005</v>
      </c>
      <c r="H61" s="7" t="e">
        <v>#N/A</v>
      </c>
      <c r="I61" s="7" t="e">
        <v>#N/A</v>
      </c>
      <c r="J61" s="7" t="e">
        <v>#N/A</v>
      </c>
      <c r="L61" s="9">
        <f t="shared" si="0"/>
        <v>9.5495538742424498E-6</v>
      </c>
    </row>
    <row r="62" spans="1:12" x14ac:dyDescent="0.25">
      <c r="A62" s="14">
        <v>39417</v>
      </c>
      <c r="B62" s="21">
        <v>122.43</v>
      </c>
      <c r="C62" s="7">
        <v>126.9</v>
      </c>
      <c r="E62" s="23">
        <v>126.90051219800399</v>
      </c>
      <c r="F62" s="22">
        <v>126.81313586526799</v>
      </c>
      <c r="G62" s="21">
        <v>1.00068901641885</v>
      </c>
      <c r="H62" s="7" t="e">
        <v>#N/A</v>
      </c>
      <c r="I62" s="7" t="e">
        <v>#N/A</v>
      </c>
      <c r="J62" s="7" t="e">
        <v>#N/A</v>
      </c>
      <c r="L62" s="9">
        <f t="shared" si="0"/>
        <v>4.0362332859639759E-6</v>
      </c>
    </row>
    <row r="63" spans="1:12" x14ac:dyDescent="0.25">
      <c r="A63" s="14">
        <v>39448</v>
      </c>
      <c r="B63" s="21">
        <v>121.86</v>
      </c>
      <c r="C63" s="7">
        <v>127.22</v>
      </c>
      <c r="E63" s="23">
        <v>127.22351323624601</v>
      </c>
      <c r="F63" s="22">
        <v>126.859197600559</v>
      </c>
      <c r="G63" s="21">
        <v>1.00287181097293</v>
      </c>
      <c r="H63" s="7" t="e">
        <v>#N/A</v>
      </c>
      <c r="I63" s="7" t="e">
        <v>#N/A</v>
      </c>
      <c r="J63" s="7" t="e">
        <v>#N/A</v>
      </c>
      <c r="L63" s="9">
        <f t="shared" si="0"/>
        <v>2.7615439757958834E-5</v>
      </c>
    </row>
    <row r="64" spans="1:12" x14ac:dyDescent="0.25">
      <c r="A64" s="14">
        <v>39479</v>
      </c>
      <c r="B64" s="21">
        <v>121.91</v>
      </c>
      <c r="C64" s="7">
        <v>126.84</v>
      </c>
      <c r="E64" s="23">
        <v>126.83586051399099</v>
      </c>
      <c r="F64" s="22">
        <v>126.893587725714</v>
      </c>
      <c r="G64" s="21">
        <v>0.99954507384685398</v>
      </c>
      <c r="H64" s="7" t="e">
        <v>#N/A</v>
      </c>
      <c r="I64" s="7" t="e">
        <v>#N/A</v>
      </c>
      <c r="J64" s="7" t="e">
        <v>#N/A</v>
      </c>
      <c r="L64" s="9">
        <f t="shared" si="0"/>
        <v>-3.2635493606191852E-5</v>
      </c>
    </row>
    <row r="65" spans="1:12" x14ac:dyDescent="0.25">
      <c r="A65" s="14">
        <v>39508</v>
      </c>
      <c r="B65" s="21">
        <v>128.99</v>
      </c>
      <c r="C65" s="7">
        <v>126.35</v>
      </c>
      <c r="E65" s="23">
        <v>126.349338918198</v>
      </c>
      <c r="F65" s="22">
        <v>127.258138133757</v>
      </c>
      <c r="G65" s="21">
        <v>0.99285861612556503</v>
      </c>
      <c r="H65" s="7" t="e">
        <v>#N/A</v>
      </c>
      <c r="I65" s="7" t="e">
        <v>#N/A</v>
      </c>
      <c r="J65" s="7" t="e">
        <v>#N/A</v>
      </c>
      <c r="L65" s="9">
        <f t="shared" si="0"/>
        <v>-5.2321472259093474E-6</v>
      </c>
    </row>
    <row r="66" spans="1:12" x14ac:dyDescent="0.25">
      <c r="A66" s="14">
        <v>39539</v>
      </c>
      <c r="B66" s="21">
        <v>129.47999999999999</v>
      </c>
      <c r="C66" s="7">
        <v>127.73</v>
      </c>
      <c r="E66" s="23">
        <v>127.72569199262701</v>
      </c>
      <c r="F66" s="22">
        <v>128.11191063606901</v>
      </c>
      <c r="G66" s="21">
        <v>0.99698530260360496</v>
      </c>
      <c r="H66" s="7" t="e">
        <v>#N/A</v>
      </c>
      <c r="I66" s="7" t="e">
        <v>#N/A</v>
      </c>
      <c r="J66" s="7" t="e">
        <v>#N/A</v>
      </c>
      <c r="L66" s="9">
        <f t="shared" si="0"/>
        <v>-3.3727451444438978E-5</v>
      </c>
    </row>
    <row r="67" spans="1:12" x14ac:dyDescent="0.25">
      <c r="A67" s="14">
        <v>39569</v>
      </c>
      <c r="B67" s="21">
        <v>128.91999999999999</v>
      </c>
      <c r="C67" s="7">
        <v>129.41999999999999</v>
      </c>
      <c r="E67" s="23">
        <v>129.41832033864</v>
      </c>
      <c r="F67" s="22">
        <v>129.30213062690501</v>
      </c>
      <c r="G67" s="21">
        <v>1.00089859085207</v>
      </c>
      <c r="H67" s="7" t="e">
        <v>#N/A</v>
      </c>
      <c r="I67" s="7" t="e">
        <v>#N/A</v>
      </c>
      <c r="J67" s="7" t="e">
        <v>#N/A</v>
      </c>
      <c r="L67" s="9">
        <f t="shared" si="0"/>
        <v>-1.2978375521453714E-5</v>
      </c>
    </row>
    <row r="68" spans="1:12" x14ac:dyDescent="0.25">
      <c r="A68" s="14">
        <v>39600</v>
      </c>
      <c r="B68" s="21">
        <v>130.59</v>
      </c>
      <c r="C68" s="7">
        <v>131.19999999999999</v>
      </c>
      <c r="E68" s="23">
        <v>131.20342560078799</v>
      </c>
      <c r="F68" s="22">
        <v>130.34996135288901</v>
      </c>
      <c r="G68" s="21">
        <v>1.00654748370495</v>
      </c>
      <c r="H68" s="7" t="e">
        <v>#N/A</v>
      </c>
      <c r="I68" s="7" t="e">
        <v>#N/A</v>
      </c>
      <c r="J68" s="7" t="e">
        <v>#N/A</v>
      </c>
      <c r="L68" s="9">
        <f t="shared" ref="L68:L105" si="1">(E68-C68)/C68</f>
        <v>2.6109762103704441E-5</v>
      </c>
    </row>
    <row r="69" spans="1:12" x14ac:dyDescent="0.25">
      <c r="A69" s="14">
        <v>39630</v>
      </c>
      <c r="B69" s="21">
        <v>136.53</v>
      </c>
      <c r="C69" s="7">
        <v>130.96</v>
      </c>
      <c r="E69" s="23">
        <v>130.96313614634701</v>
      </c>
      <c r="F69" s="22">
        <v>130.94867848945501</v>
      </c>
      <c r="G69" s="21">
        <v>1.00011040704694</v>
      </c>
      <c r="H69" s="7" t="e">
        <v>#N/A</v>
      </c>
      <c r="I69" s="7" t="e">
        <v>#N/A</v>
      </c>
      <c r="J69" s="7" t="e">
        <v>#N/A</v>
      </c>
      <c r="L69" s="9">
        <f t="shared" si="1"/>
        <v>2.3947360621590044E-5</v>
      </c>
    </row>
    <row r="70" spans="1:12" x14ac:dyDescent="0.25">
      <c r="A70" s="14">
        <v>39661</v>
      </c>
      <c r="B70" s="21">
        <v>133.87</v>
      </c>
      <c r="C70" s="7">
        <v>130.94999999999999</v>
      </c>
      <c r="E70" s="23">
        <v>130.94507589333</v>
      </c>
      <c r="F70" s="22">
        <v>131.09259003660799</v>
      </c>
      <c r="G70" s="21">
        <v>0.99887473316960995</v>
      </c>
      <c r="H70" s="7" t="e">
        <v>#N/A</v>
      </c>
      <c r="I70" s="7" t="e">
        <v>#N/A</v>
      </c>
      <c r="J70" s="7" t="e">
        <v>#N/A</v>
      </c>
      <c r="L70" s="9">
        <f t="shared" si="1"/>
        <v>-3.7602952806332304E-5</v>
      </c>
    </row>
    <row r="71" spans="1:12" x14ac:dyDescent="0.25">
      <c r="A71" s="14">
        <v>39692</v>
      </c>
      <c r="B71" s="21">
        <v>132.6</v>
      </c>
      <c r="C71" s="7">
        <v>130.94</v>
      </c>
      <c r="E71" s="23">
        <v>130.93818790177201</v>
      </c>
      <c r="F71" s="22">
        <v>131.10246702979899</v>
      </c>
      <c r="G71" s="21">
        <v>0.99874694098632499</v>
      </c>
      <c r="H71" s="7" t="e">
        <v>#N/A</v>
      </c>
      <c r="I71" s="7" t="e">
        <v>#N/A</v>
      </c>
      <c r="J71" s="7" t="e">
        <v>#N/A</v>
      </c>
      <c r="L71" s="9">
        <f t="shared" si="1"/>
        <v>-1.3839149442391785E-5</v>
      </c>
    </row>
    <row r="72" spans="1:12" x14ac:dyDescent="0.25">
      <c r="A72" s="14">
        <v>39722</v>
      </c>
      <c r="B72" s="21">
        <v>132.80000000000001</v>
      </c>
      <c r="C72" s="7">
        <v>128.13</v>
      </c>
      <c r="E72" s="23">
        <v>128.13046690950699</v>
      </c>
      <c r="F72" s="22">
        <v>127.92572331018199</v>
      </c>
      <c r="G72" s="21">
        <v>1.0016004881116001</v>
      </c>
      <c r="H72" s="7" t="e">
        <v>#N/A</v>
      </c>
      <c r="I72" s="7" t="e">
        <v>#N/A</v>
      </c>
      <c r="J72" s="7" t="e">
        <v>#N/A</v>
      </c>
      <c r="L72" s="9">
        <f t="shared" si="1"/>
        <v>3.6440295558973411E-6</v>
      </c>
    </row>
    <row r="73" spans="1:12" x14ac:dyDescent="0.25">
      <c r="A73" s="14">
        <v>39753</v>
      </c>
      <c r="B73" s="21">
        <v>124.58</v>
      </c>
      <c r="C73" s="7">
        <v>125.06</v>
      </c>
      <c r="E73" s="23">
        <v>125.063975179057</v>
      </c>
      <c r="F73" s="22">
        <v>125.409355400523</v>
      </c>
      <c r="G73" s="21">
        <v>0.99724597722106001</v>
      </c>
      <c r="H73" s="7" t="e">
        <v>#N/A</v>
      </c>
      <c r="I73" s="7" t="e">
        <v>#N/A</v>
      </c>
      <c r="J73" s="7" t="e">
        <v>#N/A</v>
      </c>
      <c r="L73" s="9">
        <f t="shared" si="1"/>
        <v>3.1786175091905794E-5</v>
      </c>
    </row>
    <row r="74" spans="1:12" x14ac:dyDescent="0.25">
      <c r="A74" s="14">
        <v>39783</v>
      </c>
      <c r="B74" s="21">
        <v>118.9</v>
      </c>
      <c r="C74" s="7">
        <v>120.95</v>
      </c>
      <c r="E74" s="23">
        <v>120.94629257877</v>
      </c>
      <c r="F74" s="22">
        <v>125.691461058478</v>
      </c>
      <c r="G74" s="21">
        <v>0.96224748730146503</v>
      </c>
      <c r="H74" s="7" t="e">
        <v>#N/A</v>
      </c>
      <c r="I74" s="7" t="e">
        <v>#N/A</v>
      </c>
      <c r="J74" s="7" t="e">
        <v>#N/A</v>
      </c>
      <c r="L74" s="9">
        <f t="shared" si="1"/>
        <v>-3.0652511203010462E-5</v>
      </c>
    </row>
    <row r="75" spans="1:12" x14ac:dyDescent="0.25">
      <c r="A75" s="14">
        <v>39814</v>
      </c>
      <c r="B75" s="21">
        <v>115.2</v>
      </c>
      <c r="C75" s="7">
        <v>120.85</v>
      </c>
      <c r="E75" s="23">
        <v>120.850700865896</v>
      </c>
      <c r="F75" s="22">
        <v>125.976649386448</v>
      </c>
      <c r="G75" s="21">
        <v>0.95931032817973105</v>
      </c>
      <c r="H75" s="7" t="e">
        <v>#N/A</v>
      </c>
      <c r="I75" s="7" t="e">
        <v>#N/A</v>
      </c>
      <c r="J75" s="7" t="e">
        <v>#N/A</v>
      </c>
      <c r="L75" s="9">
        <f t="shared" si="1"/>
        <v>5.7994695573643806E-6</v>
      </c>
    </row>
    <row r="76" spans="1:12" x14ac:dyDescent="0.25">
      <c r="A76" s="14">
        <v>39845</v>
      </c>
      <c r="B76" s="21">
        <v>115.26</v>
      </c>
      <c r="C76" s="7">
        <v>122.19</v>
      </c>
      <c r="E76" s="23">
        <v>122.18762654451299</v>
      </c>
      <c r="F76" s="22">
        <v>126.27760041317801</v>
      </c>
      <c r="G76" s="21">
        <v>0.96761124811302601</v>
      </c>
      <c r="H76" s="7" t="e">
        <v>#N/A</v>
      </c>
      <c r="I76" s="7" t="e">
        <v>#N/A</v>
      </c>
      <c r="J76" s="7" t="e">
        <v>#N/A</v>
      </c>
      <c r="L76" s="9">
        <f t="shared" si="1"/>
        <v>-1.9424302209699522E-5</v>
      </c>
    </row>
    <row r="77" spans="1:12" x14ac:dyDescent="0.25">
      <c r="A77" s="14">
        <v>39873</v>
      </c>
      <c r="B77" s="21">
        <v>127.81</v>
      </c>
      <c r="C77" s="7">
        <v>122.96</v>
      </c>
      <c r="E77" s="23">
        <v>122.963596948842</v>
      </c>
      <c r="F77" s="22">
        <v>126.694170884662</v>
      </c>
      <c r="G77" s="21">
        <v>0.97055449426149198</v>
      </c>
      <c r="H77" s="7" t="e">
        <v>#N/A</v>
      </c>
      <c r="I77" s="7" t="e">
        <v>#N/A</v>
      </c>
      <c r="J77" s="7" t="e">
        <v>#N/A</v>
      </c>
      <c r="L77" s="9">
        <f t="shared" si="1"/>
        <v>2.925299969097458E-5</v>
      </c>
    </row>
    <row r="78" spans="1:12" x14ac:dyDescent="0.25">
      <c r="A78" s="14">
        <v>39904</v>
      </c>
      <c r="B78" s="21">
        <v>123.09</v>
      </c>
      <c r="C78" s="7">
        <v>123.53</v>
      </c>
      <c r="E78" s="23">
        <v>123.53450073120899</v>
      </c>
      <c r="F78" s="22">
        <v>127.19681271258899</v>
      </c>
      <c r="G78" s="21">
        <v>0.97120751767848701</v>
      </c>
      <c r="H78" s="7" t="e">
        <v>#N/A</v>
      </c>
      <c r="I78" s="7" t="e">
        <v>#N/A</v>
      </c>
      <c r="J78" s="7" t="e">
        <v>#N/A</v>
      </c>
      <c r="L78" s="9">
        <f t="shared" si="1"/>
        <v>3.6434317242711834E-5</v>
      </c>
    </row>
    <row r="79" spans="1:12" x14ac:dyDescent="0.25">
      <c r="A79" s="14">
        <v>39934</v>
      </c>
      <c r="B79" s="21">
        <v>124.41</v>
      </c>
      <c r="C79" s="7">
        <v>124.88</v>
      </c>
      <c r="E79" s="23">
        <v>124.87942034163299</v>
      </c>
      <c r="F79" s="22">
        <v>127.808303262346</v>
      </c>
      <c r="G79" s="21">
        <v>0.97708378214910796</v>
      </c>
      <c r="H79" s="7" t="e">
        <v>#N/A</v>
      </c>
      <c r="I79" s="7" t="e">
        <v>#N/A</v>
      </c>
      <c r="J79" s="7" t="e">
        <v>#N/A</v>
      </c>
      <c r="L79" s="9">
        <f t="shared" si="1"/>
        <v>-4.6417229900857762E-6</v>
      </c>
    </row>
    <row r="80" spans="1:12" x14ac:dyDescent="0.25">
      <c r="A80" s="14">
        <v>39965</v>
      </c>
      <c r="B80" s="21">
        <v>125.61</v>
      </c>
      <c r="C80" s="7">
        <v>125.96</v>
      </c>
      <c r="E80" s="23">
        <v>125.956917137692</v>
      </c>
      <c r="F80" s="22">
        <v>128.50618249506601</v>
      </c>
      <c r="G80" s="21">
        <v>0.98016231353326</v>
      </c>
      <c r="H80" s="7" t="e">
        <v>#N/A</v>
      </c>
      <c r="I80" s="7" t="e">
        <v>#N/A</v>
      </c>
      <c r="J80" s="7" t="e">
        <v>#N/A</v>
      </c>
      <c r="L80" s="9">
        <f t="shared" si="1"/>
        <v>-2.4474930993896978E-5</v>
      </c>
    </row>
    <row r="81" spans="1:12" x14ac:dyDescent="0.25">
      <c r="A81" s="14">
        <v>39995</v>
      </c>
      <c r="B81" s="21">
        <v>131.44</v>
      </c>
      <c r="C81" s="7">
        <v>126.25</v>
      </c>
      <c r="E81" s="23">
        <v>126.25151819206199</v>
      </c>
      <c r="F81" s="22">
        <v>129.32600218853</v>
      </c>
      <c r="G81" s="21">
        <v>0.97622686896339805</v>
      </c>
      <c r="H81" s="7" t="e">
        <v>#N/A</v>
      </c>
      <c r="I81" s="7" t="e">
        <v>#N/A</v>
      </c>
      <c r="J81" s="7" t="e">
        <v>#N/A</v>
      </c>
      <c r="L81" s="9">
        <f t="shared" si="1"/>
        <v>1.2025283659356616E-5</v>
      </c>
    </row>
    <row r="82" spans="1:12" x14ac:dyDescent="0.25">
      <c r="A82" s="14">
        <v>40026</v>
      </c>
      <c r="B82" s="21">
        <v>130.69999999999999</v>
      </c>
      <c r="C82" s="7">
        <v>128.06</v>
      </c>
      <c r="E82" s="23">
        <v>128.058464552852</v>
      </c>
      <c r="F82" s="22">
        <v>130.15986860586199</v>
      </c>
      <c r="G82" s="21">
        <v>0.98385520763413303</v>
      </c>
      <c r="H82" s="7" t="e">
        <v>#N/A</v>
      </c>
      <c r="I82" s="7" t="e">
        <v>#N/A</v>
      </c>
      <c r="J82" s="7" t="e">
        <v>#N/A</v>
      </c>
      <c r="L82" s="9">
        <f t="shared" si="1"/>
        <v>-1.1990060502896396E-5</v>
      </c>
    </row>
    <row r="83" spans="1:12" x14ac:dyDescent="0.25">
      <c r="A83" s="14">
        <v>40057</v>
      </c>
      <c r="B83" s="21">
        <v>129.81</v>
      </c>
      <c r="C83" s="7">
        <v>129.07</v>
      </c>
      <c r="E83" s="23">
        <v>129.066404350954</v>
      </c>
      <c r="F83" s="22">
        <v>130.87513845876001</v>
      </c>
      <c r="G83" s="21">
        <v>0.98617969670094996</v>
      </c>
      <c r="H83" s="7" t="e">
        <v>#N/A</v>
      </c>
      <c r="I83" s="7" t="e">
        <v>#N/A</v>
      </c>
      <c r="J83" s="7" t="e">
        <v>#N/A</v>
      </c>
      <c r="L83" s="9">
        <f t="shared" si="1"/>
        <v>-2.7858131602936139E-5</v>
      </c>
    </row>
    <row r="84" spans="1:12" x14ac:dyDescent="0.25">
      <c r="A84" s="14">
        <v>40087</v>
      </c>
      <c r="B84" s="21">
        <v>132.47999999999999</v>
      </c>
      <c r="C84" s="7">
        <v>129.77000000000001</v>
      </c>
      <c r="E84" s="23">
        <v>129.765520148055</v>
      </c>
      <c r="F84" s="22">
        <v>131.513800150912</v>
      </c>
      <c r="G84" s="21">
        <v>0.98670649011092004</v>
      </c>
      <c r="H84" s="7" t="e">
        <v>#N/A</v>
      </c>
      <c r="I84" s="7" t="e">
        <v>#N/A</v>
      </c>
      <c r="J84" s="7" t="e">
        <v>#N/A</v>
      </c>
      <c r="L84" s="9">
        <f t="shared" si="1"/>
        <v>-3.4521476034575674E-5</v>
      </c>
    </row>
    <row r="85" spans="1:12" x14ac:dyDescent="0.25">
      <c r="A85" s="14">
        <v>40118</v>
      </c>
      <c r="B85" s="21">
        <v>129.62</v>
      </c>
      <c r="C85" s="7">
        <v>130.19</v>
      </c>
      <c r="E85" s="23">
        <v>130.18522864930301</v>
      </c>
      <c r="F85" s="22">
        <v>132.24127795380201</v>
      </c>
      <c r="G85" s="21">
        <v>0.98445228799726503</v>
      </c>
      <c r="H85" s="7" t="e">
        <v>#N/A</v>
      </c>
      <c r="I85" s="7" t="e">
        <v>#N/A</v>
      </c>
      <c r="J85" s="7" t="e">
        <v>#N/A</v>
      </c>
      <c r="L85" s="9">
        <f t="shared" si="1"/>
        <v>-3.6649133550842613E-5</v>
      </c>
    </row>
    <row r="86" spans="1:12" x14ac:dyDescent="0.25">
      <c r="A86" s="14">
        <v>40148</v>
      </c>
      <c r="B86" s="21">
        <v>129.22999999999999</v>
      </c>
      <c r="C86" s="7">
        <v>131.34</v>
      </c>
      <c r="E86" s="23">
        <v>131.33544383082599</v>
      </c>
      <c r="F86" s="22">
        <v>133.30662600167099</v>
      </c>
      <c r="G86" s="21">
        <v>0.98521317184323198</v>
      </c>
      <c r="H86" s="7" t="e">
        <v>#N/A</v>
      </c>
      <c r="I86" s="7" t="e">
        <v>#N/A</v>
      </c>
      <c r="J86" s="7" t="e">
        <v>#N/A</v>
      </c>
      <c r="L86" s="9">
        <f t="shared" si="1"/>
        <v>-3.4689882549177923E-5</v>
      </c>
    </row>
    <row r="87" spans="1:12" x14ac:dyDescent="0.25">
      <c r="A87" s="14">
        <v>40179</v>
      </c>
      <c r="B87" s="21">
        <v>125.81</v>
      </c>
      <c r="C87" s="7">
        <v>133.47</v>
      </c>
      <c r="E87" s="23">
        <v>133.47461313406799</v>
      </c>
      <c r="F87" s="22">
        <v>134.81277695749199</v>
      </c>
      <c r="G87" s="21">
        <v>0.99007390950899399</v>
      </c>
      <c r="H87" s="7" t="e">
        <v>#N/A</v>
      </c>
      <c r="I87" s="7" t="e">
        <v>#N/A</v>
      </c>
      <c r="J87" s="7" t="e">
        <v>#N/A</v>
      </c>
      <c r="L87" s="9">
        <f t="shared" si="1"/>
        <v>3.4563078354648285E-5</v>
      </c>
    </row>
    <row r="88" spans="1:12" x14ac:dyDescent="0.25">
      <c r="A88" s="14">
        <v>40210</v>
      </c>
      <c r="B88" s="21">
        <v>127.61</v>
      </c>
      <c r="C88" s="7">
        <v>135.16999999999999</v>
      </c>
      <c r="E88" s="23">
        <v>135.173923976331</v>
      </c>
      <c r="F88" s="22">
        <v>136.36698898005801</v>
      </c>
      <c r="G88" s="21">
        <v>0.99125107173921001</v>
      </c>
      <c r="H88" s="7" t="e">
        <v>#N/A</v>
      </c>
      <c r="I88" s="7" t="e">
        <v>#N/A</v>
      </c>
      <c r="J88" s="7" t="e">
        <v>#N/A</v>
      </c>
      <c r="L88" s="9">
        <f t="shared" si="1"/>
        <v>2.9029935126206049E-5</v>
      </c>
    </row>
    <row r="89" spans="1:12" x14ac:dyDescent="0.25">
      <c r="A89" s="14">
        <v>40238</v>
      </c>
      <c r="B89" s="21">
        <v>143.44</v>
      </c>
      <c r="C89" s="7">
        <v>136.57</v>
      </c>
      <c r="E89" s="23">
        <v>136.57158113931999</v>
      </c>
      <c r="F89" s="22">
        <v>137.42427165306199</v>
      </c>
      <c r="G89" s="21">
        <v>0.99379519714032205</v>
      </c>
      <c r="H89" s="7" t="e">
        <v>#N/A</v>
      </c>
      <c r="I89" s="7" t="e">
        <v>#N/A</v>
      </c>
      <c r="J89" s="7" t="e">
        <v>#N/A</v>
      </c>
      <c r="L89" s="9">
        <f t="shared" si="1"/>
        <v>1.1577501061692706E-5</v>
      </c>
    </row>
    <row r="90" spans="1:12" x14ac:dyDescent="0.25">
      <c r="A90" s="14">
        <v>40269</v>
      </c>
      <c r="B90" s="21">
        <v>136.87</v>
      </c>
      <c r="C90" s="7">
        <v>137.09</v>
      </c>
      <c r="E90" s="23">
        <v>137.094222563546</v>
      </c>
      <c r="F90" s="22">
        <v>137.752955707171</v>
      </c>
      <c r="G90" s="21">
        <v>0.99521801082058303</v>
      </c>
      <c r="H90" s="7" t="e">
        <v>#N/A</v>
      </c>
      <c r="I90" s="7" t="e">
        <v>#N/A</v>
      </c>
      <c r="J90" s="7" t="e">
        <v>#N/A</v>
      </c>
      <c r="L90" s="9">
        <f t="shared" si="1"/>
        <v>3.0801397228056477E-5</v>
      </c>
    </row>
    <row r="91" spans="1:12" x14ac:dyDescent="0.25">
      <c r="A91" s="14">
        <v>40299</v>
      </c>
      <c r="B91" s="21">
        <v>136.52000000000001</v>
      </c>
      <c r="C91" s="7">
        <v>136.47</v>
      </c>
      <c r="E91" s="23">
        <v>136.465966906939</v>
      </c>
      <c r="F91" s="22">
        <v>137.58797767245099</v>
      </c>
      <c r="G91" s="21">
        <v>0.99184513949189201</v>
      </c>
      <c r="H91" s="7" t="e">
        <v>#N/A</v>
      </c>
      <c r="I91" s="7" t="e">
        <v>#N/A</v>
      </c>
      <c r="J91" s="7" t="e">
        <v>#N/A</v>
      </c>
      <c r="L91" s="9">
        <f t="shared" si="1"/>
        <v>-2.9552964468358335E-5</v>
      </c>
    </row>
    <row r="92" spans="1:12" x14ac:dyDescent="0.25">
      <c r="A92" s="14">
        <v>40330</v>
      </c>
      <c r="B92" s="21">
        <v>136.09</v>
      </c>
      <c r="C92" s="7">
        <v>136.18</v>
      </c>
      <c r="E92" s="23">
        <v>136.180842221191</v>
      </c>
      <c r="F92" s="22">
        <v>137.50980092416401</v>
      </c>
      <c r="G92" s="21">
        <v>0.99033553467431501</v>
      </c>
      <c r="H92" s="7" t="e">
        <v>#N/A</v>
      </c>
      <c r="I92" s="7" t="e">
        <v>#N/A</v>
      </c>
      <c r="J92" s="7" t="e">
        <v>#N/A</v>
      </c>
      <c r="L92" s="9">
        <f t="shared" si="1"/>
        <v>6.1846173519833053E-6</v>
      </c>
    </row>
    <row r="93" spans="1:12" x14ac:dyDescent="0.25">
      <c r="A93" s="14">
        <v>40360</v>
      </c>
      <c r="B93" s="21">
        <v>141.63999999999999</v>
      </c>
      <c r="C93" s="7">
        <v>136.94</v>
      </c>
      <c r="E93" s="23">
        <v>136.93870646308301</v>
      </c>
      <c r="F93" s="22">
        <v>137.79872202220599</v>
      </c>
      <c r="G93" s="21">
        <v>0.99375890032576197</v>
      </c>
      <c r="H93" s="7" t="e">
        <v>#N/A</v>
      </c>
      <c r="I93" s="7" t="e">
        <v>#N/A</v>
      </c>
      <c r="J93" s="7" t="e">
        <v>#N/A</v>
      </c>
      <c r="L93" s="9">
        <f t="shared" si="1"/>
        <v>-9.4460122461627282E-6</v>
      </c>
    </row>
    <row r="94" spans="1:12" x14ac:dyDescent="0.25">
      <c r="A94" s="14">
        <v>40391</v>
      </c>
      <c r="B94" s="21">
        <v>141.55000000000001</v>
      </c>
      <c r="C94" s="7">
        <v>137.71</v>
      </c>
      <c r="E94" s="23">
        <v>137.70905093278799</v>
      </c>
      <c r="F94" s="22">
        <v>138.45649860610001</v>
      </c>
      <c r="G94" s="21">
        <v>0.99460157030665097</v>
      </c>
      <c r="H94" s="7" t="e">
        <v>#N/A</v>
      </c>
      <c r="I94" s="7" t="e">
        <v>#N/A</v>
      </c>
      <c r="J94" s="7" t="e">
        <v>#N/A</v>
      </c>
      <c r="L94" s="9">
        <f t="shared" si="1"/>
        <v>-6.8917813667807138E-6</v>
      </c>
    </row>
    <row r="95" spans="1:12" x14ac:dyDescent="0.25">
      <c r="A95" s="14">
        <v>40422</v>
      </c>
      <c r="B95" s="21">
        <v>139.46</v>
      </c>
      <c r="C95" s="7">
        <v>139.24</v>
      </c>
      <c r="E95" s="23">
        <v>139.23756315451001</v>
      </c>
      <c r="F95" s="22">
        <v>139.14910084476799</v>
      </c>
      <c r="G95" s="21">
        <v>1.0006357375592401</v>
      </c>
      <c r="H95" s="7" t="e">
        <v>#N/A</v>
      </c>
      <c r="I95" s="7" t="e">
        <v>#N/A</v>
      </c>
      <c r="J95" s="7" t="e">
        <v>#N/A</v>
      </c>
      <c r="L95" s="9">
        <f t="shared" si="1"/>
        <v>-1.7501044886495803E-5</v>
      </c>
    </row>
    <row r="96" spans="1:12" x14ac:dyDescent="0.25">
      <c r="A96" s="14">
        <v>40452</v>
      </c>
      <c r="B96" s="21">
        <v>139.33000000000001</v>
      </c>
      <c r="C96" s="7">
        <v>138.61000000000001</v>
      </c>
      <c r="E96" s="23">
        <v>138.61427440307</v>
      </c>
      <c r="F96" s="22">
        <v>139.60290493268101</v>
      </c>
      <c r="G96" s="21">
        <v>0.99291826677898598</v>
      </c>
      <c r="H96" s="7" t="e">
        <v>#N/A</v>
      </c>
      <c r="I96" s="7" t="e">
        <v>#N/A</v>
      </c>
      <c r="J96" s="7" t="e">
        <v>#N/A</v>
      </c>
      <c r="L96" s="9">
        <f t="shared" si="1"/>
        <v>3.0837624052990805E-5</v>
      </c>
    </row>
    <row r="97" spans="1:12" x14ac:dyDescent="0.25">
      <c r="A97" s="14">
        <v>40483</v>
      </c>
      <c r="B97" s="21">
        <v>139.68</v>
      </c>
      <c r="C97" s="7">
        <v>140.29</v>
      </c>
      <c r="E97" s="23">
        <v>140.28566005862999</v>
      </c>
      <c r="F97" s="22">
        <v>139.877700015572</v>
      </c>
      <c r="G97" s="21">
        <v>1.0029165481203399</v>
      </c>
      <c r="H97" s="7" t="e">
        <v>#N/A</v>
      </c>
      <c r="I97" s="7" t="e">
        <v>#N/A</v>
      </c>
      <c r="J97" s="7" t="e">
        <v>#N/A</v>
      </c>
      <c r="L97" s="9">
        <f t="shared" si="1"/>
        <v>-3.0935500534648357E-5</v>
      </c>
    </row>
    <row r="98" spans="1:12" x14ac:dyDescent="0.25">
      <c r="A98" s="14">
        <v>40513</v>
      </c>
      <c r="B98" s="21">
        <v>136.69</v>
      </c>
      <c r="C98" s="7">
        <v>138.24</v>
      </c>
      <c r="E98" s="23">
        <v>138.23992663044899</v>
      </c>
      <c r="F98" s="22">
        <v>140.18510954243999</v>
      </c>
      <c r="G98" s="21">
        <v>0.9861241831009</v>
      </c>
      <c r="H98" s="7" t="e">
        <v>#N/A</v>
      </c>
      <c r="I98" s="7" t="e">
        <v>#N/A</v>
      </c>
      <c r="J98" s="7" t="e">
        <v>#N/A</v>
      </c>
      <c r="L98" s="9">
        <f t="shared" si="1"/>
        <v>-5.3074038641331568E-7</v>
      </c>
    </row>
    <row r="99" spans="1:12" x14ac:dyDescent="0.25">
      <c r="A99" s="14">
        <v>40544</v>
      </c>
      <c r="B99" s="21">
        <v>132.66</v>
      </c>
      <c r="C99" s="7">
        <v>140.12</v>
      </c>
      <c r="E99" s="23">
        <v>140.118540526022</v>
      </c>
      <c r="F99" s="22">
        <v>140.568139224839</v>
      </c>
      <c r="G99" s="21">
        <v>0.99680156042972201</v>
      </c>
      <c r="H99" s="7" t="e">
        <v>#N/A</v>
      </c>
      <c r="I99" s="7" t="e">
        <v>#N/A</v>
      </c>
      <c r="J99" s="7" t="e">
        <v>#N/A</v>
      </c>
      <c r="L99" s="9">
        <f t="shared" si="1"/>
        <v>-1.0415886226108188E-5</v>
      </c>
    </row>
    <row r="100" spans="1:12" x14ac:dyDescent="0.25">
      <c r="A100" s="14">
        <v>40575</v>
      </c>
      <c r="B100" s="21">
        <v>136.18</v>
      </c>
      <c r="C100" s="7">
        <v>140.81</v>
      </c>
      <c r="E100" s="23">
        <v>140.80680390150701</v>
      </c>
      <c r="F100" s="22">
        <v>140.92676157180699</v>
      </c>
      <c r="G100" s="21">
        <v>0.99914879424630398</v>
      </c>
      <c r="H100" s="7" t="e">
        <v>#N/A</v>
      </c>
      <c r="I100" s="7" t="e">
        <v>#N/A</v>
      </c>
      <c r="J100" s="7" t="e">
        <v>#N/A</v>
      </c>
      <c r="L100" s="9">
        <f t="shared" si="1"/>
        <v>-2.2697951090067505E-5</v>
      </c>
    </row>
    <row r="101" spans="1:12" x14ac:dyDescent="0.25">
      <c r="A101" s="14">
        <v>40603</v>
      </c>
      <c r="B101" s="21">
        <v>144.93</v>
      </c>
      <c r="C101" s="7">
        <v>141.04</v>
      </c>
      <c r="E101" s="23">
        <v>141.035978430413</v>
      </c>
      <c r="F101" s="22">
        <v>141.19286263979299</v>
      </c>
      <c r="G101" s="21">
        <v>0.99888886586441505</v>
      </c>
      <c r="H101" s="7" t="e">
        <v>#N/A</v>
      </c>
      <c r="I101" s="7" t="e">
        <v>#N/A</v>
      </c>
      <c r="J101" s="7" t="e">
        <v>#N/A</v>
      </c>
      <c r="L101" s="9">
        <f t="shared" si="1"/>
        <v>-2.8513681132984016E-5</v>
      </c>
    </row>
    <row r="102" spans="1:12" x14ac:dyDescent="0.25">
      <c r="A102" s="14">
        <v>40634</v>
      </c>
      <c r="B102" s="21">
        <v>139.88999999999999</v>
      </c>
      <c r="C102" s="7">
        <v>140.81</v>
      </c>
      <c r="E102" s="23">
        <v>140.80633607843899</v>
      </c>
      <c r="F102" s="22">
        <v>141.47590673440999</v>
      </c>
      <c r="G102" s="21">
        <v>0.99526724605322603</v>
      </c>
      <c r="H102" s="7" t="e">
        <v>#N/A</v>
      </c>
      <c r="I102" s="7" t="e">
        <v>#N/A</v>
      </c>
      <c r="J102" s="7" t="e">
        <v>#N/A</v>
      </c>
      <c r="L102" s="9">
        <f t="shared" si="1"/>
        <v>-2.6020322143410937E-5</v>
      </c>
    </row>
    <row r="103" spans="1:12" x14ac:dyDescent="0.25">
      <c r="A103" s="14">
        <v>40664</v>
      </c>
      <c r="B103" s="21">
        <v>143.22999999999999</v>
      </c>
      <c r="C103" s="7">
        <v>141.33000000000001</v>
      </c>
      <c r="E103" s="23">
        <v>141.326419377642</v>
      </c>
      <c r="F103" s="22">
        <v>141.77410990259099</v>
      </c>
      <c r="G103" s="21">
        <v>0.99684222651613696</v>
      </c>
      <c r="H103" s="7" t="e">
        <v>#N/A</v>
      </c>
      <c r="I103" s="7" t="e">
        <v>#N/A</v>
      </c>
      <c r="J103" s="7" t="e">
        <v>#N/A</v>
      </c>
      <c r="L103" s="9">
        <f t="shared" si="1"/>
        <v>-2.5335189683826941E-5</v>
      </c>
    </row>
    <row r="104" spans="1:12" x14ac:dyDescent="0.25">
      <c r="A104" s="14">
        <v>40695</v>
      </c>
      <c r="B104" s="21">
        <v>141.75</v>
      </c>
      <c r="C104" s="7">
        <v>142.13</v>
      </c>
      <c r="E104" s="23">
        <v>142.13403828654299</v>
      </c>
      <c r="F104" s="22">
        <v>142.092176417659</v>
      </c>
      <c r="G104" s="21">
        <v>1.0002946106530199</v>
      </c>
      <c r="H104" s="7" t="e">
        <v>#N/A</v>
      </c>
      <c r="I104" s="7" t="e">
        <v>#N/A</v>
      </c>
      <c r="J104" s="7" t="e">
        <v>#N/A</v>
      </c>
      <c r="L104" s="9">
        <f t="shared" si="1"/>
        <v>2.8412626067637509E-5</v>
      </c>
    </row>
    <row r="105" spans="1:12" x14ac:dyDescent="0.25">
      <c r="A105" s="14">
        <v>40725</v>
      </c>
      <c r="B105" s="21">
        <v>145.19</v>
      </c>
      <c r="C105" s="7">
        <v>142.16999999999999</v>
      </c>
      <c r="E105" s="23">
        <v>142.17193379948</v>
      </c>
      <c r="F105" s="22">
        <v>142.29561122217001</v>
      </c>
      <c r="G105" s="21">
        <v>0.99913084162169796</v>
      </c>
      <c r="H105" s="7" t="e">
        <v>#N/A</v>
      </c>
      <c r="I105" s="7" t="e">
        <v>#N/A</v>
      </c>
      <c r="J105" s="7" t="e">
        <v>#N/A</v>
      </c>
      <c r="L105" s="9">
        <f t="shared" si="1"/>
        <v>1.3602022086332781E-5</v>
      </c>
    </row>
    <row r="106" spans="1:12" x14ac:dyDescent="0.25">
      <c r="A106" s="14">
        <v>40756</v>
      </c>
      <c r="B106" s="21">
        <v>147.51</v>
      </c>
      <c r="C106" s="7">
        <v>141.97999999999999</v>
      </c>
      <c r="E106" s="23">
        <v>141.97666638342801</v>
      </c>
      <c r="F106" s="22">
        <v>142.279597965916</v>
      </c>
      <c r="G106" s="21">
        <v>0.99787087125056395</v>
      </c>
      <c r="H106" t="e">
        <v>#N/A</v>
      </c>
      <c r="I106" t="e">
        <v>#N/A</v>
      </c>
      <c r="J106" t="e">
        <v>#N/A</v>
      </c>
    </row>
    <row r="107" spans="1:12" x14ac:dyDescent="0.25">
      <c r="A107" s="14">
        <v>40787</v>
      </c>
      <c r="B107" s="21">
        <v>142.30000000000001</v>
      </c>
      <c r="C107" s="7">
        <v>141.79</v>
      </c>
      <c r="E107" s="23">
        <v>141.79242761119301</v>
      </c>
      <c r="F107" s="22">
        <v>142.019757632752</v>
      </c>
      <c r="G107" s="21">
        <v>0.99839930707285096</v>
      </c>
      <c r="H107" t="e">
        <v>#N/A</v>
      </c>
      <c r="I107" t="e">
        <v>#N/A</v>
      </c>
      <c r="J107" t="e">
        <v>#N/A</v>
      </c>
    </row>
    <row r="108" spans="1:12" x14ac:dyDescent="0.25">
      <c r="A108" s="14">
        <v>40817</v>
      </c>
      <c r="B108" s="21">
        <v>142.02000000000001</v>
      </c>
      <c r="C108" s="7">
        <v>141.6</v>
      </c>
      <c r="E108" s="23">
        <v>141.60150192640299</v>
      </c>
      <c r="F108" s="22">
        <v>141.639641770694</v>
      </c>
      <c r="G108" s="21">
        <v>0.99973072620197601</v>
      </c>
      <c r="H108" t="e">
        <v>#N/A</v>
      </c>
      <c r="I108" t="e">
        <v>#N/A</v>
      </c>
      <c r="J108" t="e">
        <v>#N/A</v>
      </c>
    </row>
    <row r="109" spans="1:12" x14ac:dyDescent="0.25">
      <c r="A109" s="14">
        <v>40848</v>
      </c>
      <c r="B109" s="21">
        <v>141.87</v>
      </c>
      <c r="C109" s="7">
        <v>142.44</v>
      </c>
      <c r="E109" s="23">
        <v>142.440664731449</v>
      </c>
      <c r="F109" s="22">
        <v>141.25682894267501</v>
      </c>
      <c r="G109" s="21">
        <v>1.0083807331485199</v>
      </c>
      <c r="H109" t="e">
        <v>#N/A</v>
      </c>
      <c r="I109" t="e">
        <v>#N/A</v>
      </c>
      <c r="J109" t="e">
        <v>#N/A</v>
      </c>
    </row>
    <row r="110" spans="1:12" x14ac:dyDescent="0.25">
      <c r="A110" s="14">
        <v>40878</v>
      </c>
      <c r="B110" s="21">
        <v>139.22999999999999</v>
      </c>
      <c r="C110" s="7">
        <v>140.47</v>
      </c>
      <c r="E110" s="23">
        <v>140.468304958993</v>
      </c>
      <c r="F110" s="22">
        <v>140.86955703268401</v>
      </c>
      <c r="G110" s="21">
        <v>0.99715160548423398</v>
      </c>
      <c r="H110" t="e">
        <v>#N/A</v>
      </c>
      <c r="I110" t="e">
        <v>#N/A</v>
      </c>
      <c r="J110" t="e">
        <v>#N/A</v>
      </c>
    </row>
    <row r="111" spans="1:12" x14ac:dyDescent="0.25">
      <c r="A111" s="14">
        <v>40909</v>
      </c>
      <c r="B111" s="21">
        <v>133.34</v>
      </c>
      <c r="C111" s="7">
        <v>138.91999999999999</v>
      </c>
      <c r="E111" s="23">
        <v>138.92487776385599</v>
      </c>
      <c r="F111" s="22">
        <v>140.51314007721899</v>
      </c>
      <c r="G111" s="21">
        <v>0.98869669902408996</v>
      </c>
      <c r="H111" t="e">
        <v>#N/A</v>
      </c>
      <c r="I111" t="e">
        <v>#N/A</v>
      </c>
      <c r="J111" t="e">
        <v>#N/A</v>
      </c>
    </row>
    <row r="112" spans="1:12" x14ac:dyDescent="0.25">
      <c r="A112" s="14">
        <v>40940</v>
      </c>
      <c r="B112" s="21">
        <v>135.35</v>
      </c>
      <c r="C112" s="7">
        <v>140.46</v>
      </c>
      <c r="E112" s="23">
        <v>140.455333551249</v>
      </c>
      <c r="F112" s="22">
        <v>140.36872518461399</v>
      </c>
      <c r="G112" s="21">
        <v>1.0006170061494899</v>
      </c>
      <c r="H112" t="e">
        <v>#N/A</v>
      </c>
      <c r="I112" t="e">
        <v>#N/A</v>
      </c>
      <c r="J112" t="e">
        <v>#N/A</v>
      </c>
    </row>
    <row r="113" spans="1:10" x14ac:dyDescent="0.25">
      <c r="A113" s="14">
        <v>40969</v>
      </c>
      <c r="B113" s="21">
        <v>146.35</v>
      </c>
      <c r="C113" s="7">
        <v>140.07</v>
      </c>
      <c r="E113" s="23">
        <v>140.06884096024999</v>
      </c>
      <c r="F113" s="22">
        <v>140.64155506306301</v>
      </c>
      <c r="G113" s="21">
        <v>0.99592784577392102</v>
      </c>
      <c r="H113" t="e">
        <v>#N/A</v>
      </c>
      <c r="I113" t="e">
        <v>#N/A</v>
      </c>
      <c r="J113" t="e">
        <v>#N/A</v>
      </c>
    </row>
    <row r="114" spans="1:10" x14ac:dyDescent="0.25">
      <c r="A114" s="14">
        <v>41000</v>
      </c>
      <c r="B114" s="21">
        <v>139.85</v>
      </c>
      <c r="C114" s="7">
        <v>141</v>
      </c>
      <c r="E114" s="23">
        <v>140.99629946079401</v>
      </c>
      <c r="F114" s="22">
        <v>141.36681977410501</v>
      </c>
      <c r="G114" s="21">
        <v>0.99737901500576098</v>
      </c>
      <c r="H114" t="e">
        <v>#N/A</v>
      </c>
      <c r="I114" t="e">
        <v>#N/A</v>
      </c>
      <c r="J114" t="e">
        <v>#N/A</v>
      </c>
    </row>
    <row r="115" spans="1:10" x14ac:dyDescent="0.25">
      <c r="A115" s="14">
        <v>41030</v>
      </c>
      <c r="B115" s="21">
        <v>144.56</v>
      </c>
      <c r="C115" s="7">
        <v>142.62</v>
      </c>
      <c r="E115" s="23">
        <v>142.61863968457499</v>
      </c>
      <c r="F115" s="22">
        <v>142.41108586150199</v>
      </c>
      <c r="G115" s="21">
        <v>1.0014574274314201</v>
      </c>
      <c r="H115" t="e">
        <v>#N/A</v>
      </c>
      <c r="I115" t="e">
        <v>#N/A</v>
      </c>
      <c r="J115" t="e">
        <v>#N/A</v>
      </c>
    </row>
    <row r="116" spans="1:10" x14ac:dyDescent="0.25">
      <c r="A116" s="14">
        <v>41061</v>
      </c>
      <c r="B116" s="21">
        <v>142.28</v>
      </c>
      <c r="C116" s="7">
        <v>143.55000000000001</v>
      </c>
      <c r="E116" s="23">
        <v>143.546078962389</v>
      </c>
      <c r="F116" s="22">
        <v>143.37215506829</v>
      </c>
      <c r="G116" s="21">
        <v>1.0012130939513</v>
      </c>
      <c r="H116" t="e">
        <v>#N/A</v>
      </c>
      <c r="I116" t="e">
        <v>#N/A</v>
      </c>
      <c r="J116" t="e">
        <v>#N/A</v>
      </c>
    </row>
    <row r="117" spans="1:10" x14ac:dyDescent="0.25">
      <c r="A117" s="14">
        <v>41091</v>
      </c>
      <c r="B117" s="21">
        <v>147.46</v>
      </c>
      <c r="C117" s="7">
        <v>143.94999999999999</v>
      </c>
      <c r="E117" s="23">
        <v>143.95418565182601</v>
      </c>
      <c r="F117" s="22">
        <v>143.959996098461</v>
      </c>
      <c r="G117" s="21">
        <v>0.99995963846351499</v>
      </c>
      <c r="H117" t="e">
        <v>#N/A</v>
      </c>
      <c r="I117" t="e">
        <v>#N/A</v>
      </c>
      <c r="J117" t="e">
        <v>#N/A</v>
      </c>
    </row>
    <row r="118" spans="1:10" x14ac:dyDescent="0.25">
      <c r="A118" s="14">
        <v>41122</v>
      </c>
      <c r="B118" s="21">
        <v>149.91</v>
      </c>
      <c r="C118" s="7">
        <v>144.31</v>
      </c>
      <c r="E118" s="23">
        <v>144.314867373596</v>
      </c>
      <c r="F118" s="22">
        <v>144.23851897207001</v>
      </c>
      <c r="G118" s="21">
        <v>1.0005293204760399</v>
      </c>
      <c r="H118" t="e">
        <v>#N/A</v>
      </c>
      <c r="I118" t="e">
        <v>#N/A</v>
      </c>
      <c r="J118" t="e">
        <v>#N/A</v>
      </c>
    </row>
    <row r="119" spans="1:10" x14ac:dyDescent="0.25">
      <c r="A119" s="14">
        <v>41153</v>
      </c>
      <c r="B119" s="21">
        <v>141.6</v>
      </c>
      <c r="C119" s="7">
        <v>143.66999999999999</v>
      </c>
      <c r="E119" s="23">
        <v>143.665352386498</v>
      </c>
      <c r="F119" s="22">
        <v>144.36548192923499</v>
      </c>
      <c r="G119" s="21">
        <v>0.99515029816421496</v>
      </c>
      <c r="H119" t="e">
        <v>#N/A</v>
      </c>
      <c r="I119" t="e">
        <v>#N/A</v>
      </c>
      <c r="J119" t="e">
        <v>#N/A</v>
      </c>
    </row>
    <row r="120" spans="1:10" x14ac:dyDescent="0.25">
      <c r="A120" s="14">
        <v>41183</v>
      </c>
      <c r="B120" s="21">
        <v>147.71</v>
      </c>
      <c r="C120" s="7">
        <v>144.88999999999999</v>
      </c>
      <c r="E120" s="23">
        <v>144.88703319062299</v>
      </c>
      <c r="F120" s="22">
        <v>144.47475836551899</v>
      </c>
      <c r="G120" s="21">
        <v>1.00285361145274</v>
      </c>
      <c r="H120" t="e">
        <v>#N/A</v>
      </c>
      <c r="I120" t="e">
        <v>#N/A</v>
      </c>
      <c r="J120" t="e">
        <v>#N/A</v>
      </c>
    </row>
    <row r="121" spans="1:10" x14ac:dyDescent="0.25">
      <c r="A121" s="14">
        <v>41214</v>
      </c>
      <c r="B121" s="21">
        <v>144.15</v>
      </c>
      <c r="C121" s="7">
        <v>144.72999999999999</v>
      </c>
      <c r="E121" s="23">
        <v>144.730406025896</v>
      </c>
      <c r="F121" s="22">
        <v>144.56090104947401</v>
      </c>
      <c r="G121" s="21">
        <v>1.0011725506357001</v>
      </c>
      <c r="H121" t="e">
        <v>#N/A</v>
      </c>
      <c r="I121" t="e">
        <v>#N/A</v>
      </c>
      <c r="J121" t="e">
        <v>#N/A</v>
      </c>
    </row>
    <row r="122" spans="1:10" x14ac:dyDescent="0.25">
      <c r="A122" s="14">
        <v>41244</v>
      </c>
      <c r="B122" s="21">
        <v>139.52000000000001</v>
      </c>
      <c r="C122" s="7">
        <v>144.06</v>
      </c>
      <c r="E122" s="23">
        <v>144.05786335753501</v>
      </c>
      <c r="F122" s="22">
        <v>144.562530210067</v>
      </c>
      <c r="G122" s="21">
        <v>0.99650900650536101</v>
      </c>
      <c r="H122" t="e">
        <v>#N/A</v>
      </c>
      <c r="I122" t="e">
        <v>#N/A</v>
      </c>
      <c r="J122" t="e">
        <v>#N/A</v>
      </c>
    </row>
    <row r="123" spans="1:10" x14ac:dyDescent="0.25">
      <c r="A123" s="14">
        <v>41275</v>
      </c>
      <c r="B123" s="21">
        <v>139.32</v>
      </c>
      <c r="C123" s="7">
        <v>144.91999999999999</v>
      </c>
      <c r="E123" s="23">
        <v>144.92204060328299</v>
      </c>
      <c r="F123" s="22">
        <v>144.584010702852</v>
      </c>
      <c r="G123" s="21">
        <v>1.00233794801229</v>
      </c>
      <c r="H123" t="e">
        <v>#N/A</v>
      </c>
      <c r="I123" t="e">
        <v>#N/A</v>
      </c>
      <c r="J123" t="e">
        <v>#N/A</v>
      </c>
    </row>
    <row r="124" spans="1:10" x14ac:dyDescent="0.25">
      <c r="A124" s="14">
        <v>41306</v>
      </c>
      <c r="B124" s="21">
        <v>136.13999999999999</v>
      </c>
      <c r="C124" s="7">
        <v>143.78</v>
      </c>
      <c r="E124" s="23">
        <v>143.78222055554201</v>
      </c>
      <c r="F124" s="22">
        <v>144.84717993695</v>
      </c>
      <c r="G124" s="21">
        <v>0.99264770372559896</v>
      </c>
      <c r="H124" t="e">
        <v>#N/A</v>
      </c>
      <c r="I124" t="e">
        <v>#N/A</v>
      </c>
      <c r="J124" t="e">
        <v>#N/A</v>
      </c>
    </row>
    <row r="125" spans="1:10" x14ac:dyDescent="0.25">
      <c r="A125" s="14">
        <v>41334</v>
      </c>
      <c r="B125" s="21">
        <v>148.01</v>
      </c>
      <c r="C125" s="7">
        <v>144.91999999999999</v>
      </c>
      <c r="E125" s="23">
        <v>144.91706663965601</v>
      </c>
      <c r="F125" s="22">
        <v>145.39025254619099</v>
      </c>
      <c r="G125" s="21">
        <v>0.99674540831831704</v>
      </c>
      <c r="H125" t="e">
        <v>#N/A</v>
      </c>
      <c r="I125" t="e">
        <v>#N/A</v>
      </c>
      <c r="J125" t="e">
        <v>#N/A</v>
      </c>
    </row>
    <row r="126" spans="1:10" x14ac:dyDescent="0.25">
      <c r="A126" s="14">
        <v>41365</v>
      </c>
      <c r="B126" s="21">
        <v>149.79</v>
      </c>
      <c r="C126" s="7">
        <v>146.35</v>
      </c>
      <c r="E126" s="23">
        <v>146.35328276427299</v>
      </c>
      <c r="F126" s="22">
        <v>145.980673590225</v>
      </c>
      <c r="G126" s="21">
        <v>1.0025524555058201</v>
      </c>
      <c r="H126" t="e">
        <v>#N/A</v>
      </c>
      <c r="I126" t="e">
        <v>#N/A</v>
      </c>
      <c r="J126" t="e">
        <v>#N/A</v>
      </c>
    </row>
    <row r="127" spans="1:10" x14ac:dyDescent="0.25">
      <c r="A127" s="14">
        <v>41395</v>
      </c>
      <c r="B127" s="21">
        <v>147.03</v>
      </c>
      <c r="C127" s="7">
        <v>146.81</v>
      </c>
      <c r="E127" s="23">
        <v>146.81386259561799</v>
      </c>
      <c r="F127" s="22">
        <v>146.43679915862299</v>
      </c>
      <c r="G127" s="21">
        <v>1.0025749226913001</v>
      </c>
      <c r="H127" t="e">
        <v>#N/A</v>
      </c>
      <c r="I127" t="e">
        <v>#N/A</v>
      </c>
      <c r="J127" t="e">
        <v>#N/A</v>
      </c>
    </row>
    <row r="128" spans="1:10" x14ac:dyDescent="0.25">
      <c r="A128" s="14">
        <v>41426</v>
      </c>
      <c r="B128" s="21">
        <v>144.87</v>
      </c>
      <c r="C128" s="7">
        <v>146.35</v>
      </c>
      <c r="E128" s="23">
        <v>146.348230373831</v>
      </c>
      <c r="F128" s="22">
        <v>146.776953200338</v>
      </c>
      <c r="G128" s="21">
        <v>0.99707908621102204</v>
      </c>
      <c r="H128" t="e">
        <v>#N/A</v>
      </c>
      <c r="I128" t="e">
        <v>#N/A</v>
      </c>
      <c r="J128" t="e">
        <v>#N/A</v>
      </c>
    </row>
    <row r="129" spans="1:10" x14ac:dyDescent="0.25">
      <c r="A129" s="14">
        <v>41456</v>
      </c>
      <c r="B129" s="21">
        <v>152.13</v>
      </c>
      <c r="C129" s="7">
        <v>147.06</v>
      </c>
      <c r="E129" s="23">
        <v>147.05623610102199</v>
      </c>
      <c r="F129" s="22">
        <v>147.03781385362299</v>
      </c>
      <c r="G129" s="21">
        <v>1.00012528918185</v>
      </c>
      <c r="H129" t="e">
        <v>#N/A</v>
      </c>
      <c r="I129" t="e">
        <v>#N/A</v>
      </c>
      <c r="J129" t="e">
        <v>#N/A</v>
      </c>
    </row>
    <row r="130" spans="1:10" x14ac:dyDescent="0.25">
      <c r="A130" s="14">
        <v>41487</v>
      </c>
      <c r="B130" s="21">
        <v>151.81</v>
      </c>
      <c r="C130" s="7">
        <v>147.16999999999999</v>
      </c>
      <c r="E130" s="23">
        <v>147.16775271157101</v>
      </c>
      <c r="F130" s="22">
        <v>147.374500763779</v>
      </c>
      <c r="G130" s="21">
        <v>0.99859712466446904</v>
      </c>
      <c r="H130" t="e">
        <v>#N/A</v>
      </c>
      <c r="I130" t="e">
        <v>#N/A</v>
      </c>
      <c r="J130" t="e">
        <v>#N/A</v>
      </c>
    </row>
    <row r="131" spans="1:10" x14ac:dyDescent="0.25">
      <c r="A131" s="14">
        <v>41518</v>
      </c>
      <c r="B131" s="21">
        <v>147.27000000000001</v>
      </c>
      <c r="C131" s="7">
        <v>148.09</v>
      </c>
      <c r="E131" s="23">
        <v>148.09382750129899</v>
      </c>
      <c r="F131" s="22">
        <v>147.82730910017801</v>
      </c>
      <c r="G131" s="21">
        <v>1.0018029036904099</v>
      </c>
      <c r="H131" t="e">
        <v>#N/A</v>
      </c>
      <c r="I131" t="e">
        <v>#N/A</v>
      </c>
      <c r="J131" t="e">
        <v>#N/A</v>
      </c>
    </row>
    <row r="132" spans="1:10" x14ac:dyDescent="0.25">
      <c r="A132" s="14">
        <v>41548</v>
      </c>
      <c r="B132" s="21">
        <v>151.9</v>
      </c>
      <c r="C132" s="7">
        <v>148.05000000000001</v>
      </c>
      <c r="E132" s="23">
        <v>148.05306304499601</v>
      </c>
      <c r="F132" s="22">
        <v>148.224254575337</v>
      </c>
      <c r="G132" s="21">
        <v>0.99884505048899597</v>
      </c>
      <c r="H132" t="e">
        <v>#N/A</v>
      </c>
      <c r="I132" t="e">
        <v>#N/A</v>
      </c>
      <c r="J132" t="e">
        <v>#N/A</v>
      </c>
    </row>
    <row r="133" spans="1:10" x14ac:dyDescent="0.25">
      <c r="A133" s="14">
        <v>41579</v>
      </c>
      <c r="B133" s="21">
        <v>147.79</v>
      </c>
      <c r="C133" s="7">
        <v>148.44</v>
      </c>
      <c r="E133" s="23">
        <v>148.440903060609</v>
      </c>
      <c r="F133" s="22">
        <v>148.43333065108499</v>
      </c>
      <c r="G133" s="21">
        <v>1.00005101556025</v>
      </c>
      <c r="H133" t="e">
        <v>#N/A</v>
      </c>
      <c r="I133" t="e">
        <v>#N/A</v>
      </c>
      <c r="J133" t="e">
        <v>#N/A</v>
      </c>
    </row>
    <row r="134" spans="1:10" x14ac:dyDescent="0.25">
      <c r="A134" s="14">
        <v>41609</v>
      </c>
      <c r="B134" s="21">
        <v>145.77000000000001</v>
      </c>
      <c r="C134" s="7">
        <v>148.62</v>
      </c>
      <c r="E134" s="23">
        <v>148.61618388307599</v>
      </c>
      <c r="F134" s="22">
        <v>148.47685277060501</v>
      </c>
      <c r="G134" s="21">
        <v>1.00093840292188</v>
      </c>
      <c r="H134" t="e">
        <v>#N/A</v>
      </c>
      <c r="I134" t="e">
        <v>#N/A</v>
      </c>
      <c r="J134" t="e">
        <v>#N/A</v>
      </c>
    </row>
    <row r="135" spans="1:10" x14ac:dyDescent="0.25">
      <c r="A135" s="14">
        <v>41640</v>
      </c>
      <c r="B135" s="21">
        <v>142.72</v>
      </c>
      <c r="C135" s="7">
        <v>148.25</v>
      </c>
      <c r="E135" s="23">
        <v>148.24834129421501</v>
      </c>
      <c r="F135" s="22">
        <v>148.34323744717699</v>
      </c>
      <c r="G135" s="21">
        <v>0.99936029336695698</v>
      </c>
      <c r="H135" t="e">
        <v>#N/A</v>
      </c>
      <c r="I135" t="e">
        <v>#N/A</v>
      </c>
      <c r="J135" t="e">
        <v>#N/A</v>
      </c>
    </row>
    <row r="136" spans="1:10" x14ac:dyDescent="0.25">
      <c r="A136" s="14">
        <v>41671</v>
      </c>
      <c r="B136" s="21">
        <v>143.53</v>
      </c>
      <c r="C136" s="7">
        <v>147.94999999999999</v>
      </c>
      <c r="E136" s="23">
        <v>147.95118591749301</v>
      </c>
      <c r="F136" s="22">
        <v>148.049985380908</v>
      </c>
      <c r="G136" s="21">
        <v>0.999332661444302</v>
      </c>
      <c r="H136" t="e">
        <v>#N/A</v>
      </c>
      <c r="I136" t="e">
        <v>#N/A</v>
      </c>
      <c r="J136" t="e">
        <v>#N/A</v>
      </c>
    </row>
    <row r="137" spans="1:10" x14ac:dyDescent="0.25">
      <c r="A137" s="14">
        <v>41699</v>
      </c>
      <c r="B137" s="21">
        <v>149.03</v>
      </c>
      <c r="C137" s="7">
        <v>147.78</v>
      </c>
      <c r="E137" s="23">
        <v>147.77926260065601</v>
      </c>
      <c r="F137" s="22">
        <v>147.60741296770701</v>
      </c>
      <c r="G137" s="21">
        <v>1.0011642344343901</v>
      </c>
      <c r="H137" t="e">
        <v>#N/A</v>
      </c>
      <c r="I137" t="e">
        <v>#N/A</v>
      </c>
      <c r="J137" t="e">
        <v>#N/A</v>
      </c>
    </row>
    <row r="138" spans="1:10" x14ac:dyDescent="0.25">
      <c r="A138" s="14">
        <v>41730</v>
      </c>
      <c r="B138" s="21">
        <v>147.69</v>
      </c>
      <c r="C138" s="7">
        <v>146.96</v>
      </c>
      <c r="E138" s="23">
        <v>146.959271280173</v>
      </c>
      <c r="F138" s="22">
        <v>146.99292953505201</v>
      </c>
      <c r="G138" s="21">
        <v>0.99977102126622097</v>
      </c>
      <c r="H138" t="e">
        <v>#N/A</v>
      </c>
      <c r="I138" t="e">
        <v>#N/A</v>
      </c>
      <c r="J138" t="e">
        <v>#N/A</v>
      </c>
    </row>
    <row r="139" spans="1:10" x14ac:dyDescent="0.25">
      <c r="A139" s="14">
        <v>41760</v>
      </c>
      <c r="B139" s="21">
        <v>147.13999999999999</v>
      </c>
      <c r="C139" s="7">
        <v>146.33000000000001</v>
      </c>
      <c r="E139" s="23">
        <v>146.33484512429499</v>
      </c>
      <c r="F139" s="22">
        <v>146.25739940218199</v>
      </c>
      <c r="G139" s="21">
        <v>1.0005295166085899</v>
      </c>
      <c r="H139" t="e">
        <v>#N/A</v>
      </c>
      <c r="I139" t="e">
        <v>#N/A</v>
      </c>
      <c r="J139" t="e">
        <v>#N/A</v>
      </c>
    </row>
    <row r="140" spans="1:10" x14ac:dyDescent="0.25">
      <c r="A140" s="14">
        <v>41791</v>
      </c>
      <c r="B140" s="21">
        <v>140.88</v>
      </c>
      <c r="C140" s="7">
        <v>143.57</v>
      </c>
      <c r="E140" s="23">
        <v>143.57327462457499</v>
      </c>
      <c r="F140" s="22">
        <v>145.67804046468601</v>
      </c>
      <c r="G140" s="21">
        <v>0.985551934708917</v>
      </c>
      <c r="H140" t="e">
        <v>#N/A</v>
      </c>
      <c r="I140" t="e">
        <v>#N/A</v>
      </c>
      <c r="J140" t="e">
        <v>#N/A</v>
      </c>
    </row>
    <row r="141" spans="1:10" x14ac:dyDescent="0.25">
      <c r="A141" s="14">
        <v>41821</v>
      </c>
      <c r="B141" s="21">
        <v>149.85</v>
      </c>
      <c r="C141" s="7">
        <v>144.72</v>
      </c>
      <c r="E141" s="23">
        <v>144.72423512008399</v>
      </c>
      <c r="F141" s="22">
        <v>145.44344848933699</v>
      </c>
      <c r="G141" s="21">
        <v>0.99505503082659297</v>
      </c>
      <c r="H141" t="e">
        <v>#N/A</v>
      </c>
      <c r="I141" t="e">
        <v>#N/A</v>
      </c>
      <c r="J141" t="e">
        <v>#N/A</v>
      </c>
    </row>
    <row r="142" spans="1:10" x14ac:dyDescent="0.25">
      <c r="A142" s="14">
        <v>41852</v>
      </c>
      <c r="B142" s="21">
        <v>148.27000000000001</v>
      </c>
      <c r="C142" s="7">
        <v>145.63</v>
      </c>
      <c r="E142" s="23">
        <v>145.62629741178901</v>
      </c>
      <c r="F142" s="22">
        <v>145.49274254014199</v>
      </c>
      <c r="G142" s="21">
        <v>1.00091794868469</v>
      </c>
      <c r="H142" t="e">
        <v>#N/A</v>
      </c>
      <c r="I142" t="e">
        <v>#N/A</v>
      </c>
      <c r="J142" t="e">
        <v>#N/A</v>
      </c>
    </row>
    <row r="143" spans="1:10" x14ac:dyDescent="0.25">
      <c r="A143" s="14">
        <v>41883</v>
      </c>
      <c r="B143" s="21">
        <v>148.12</v>
      </c>
      <c r="C143" s="7">
        <v>146.29</v>
      </c>
      <c r="E143" s="23">
        <v>146.294489821756</v>
      </c>
      <c r="F143" s="22">
        <v>145.68735557827199</v>
      </c>
      <c r="G143" s="21">
        <v>1.00416737774582</v>
      </c>
      <c r="H143" t="e">
        <v>#N/A</v>
      </c>
      <c r="I143" t="e">
        <v>#N/A</v>
      </c>
      <c r="J143" t="e">
        <v>#N/A</v>
      </c>
    </row>
    <row r="144" spans="1:10" x14ac:dyDescent="0.25">
      <c r="A144" s="14">
        <v>41913</v>
      </c>
      <c r="B144" s="21">
        <v>149.69999999999999</v>
      </c>
      <c r="C144" s="7">
        <v>145.46</v>
      </c>
      <c r="E144" s="23">
        <v>145.459526829987</v>
      </c>
      <c r="F144" s="22">
        <v>145.869235520525</v>
      </c>
      <c r="G144" s="21">
        <v>0.99719126045272299</v>
      </c>
      <c r="H144" t="e">
        <v>#N/A</v>
      </c>
      <c r="I144" t="e">
        <v>#N/A</v>
      </c>
      <c r="J144" t="e">
        <v>#N/A</v>
      </c>
    </row>
    <row r="145" spans="1:10" x14ac:dyDescent="0.25">
      <c r="A145" s="14">
        <v>41944</v>
      </c>
      <c r="B145" s="21">
        <v>144.91999999999999</v>
      </c>
      <c r="C145" s="7">
        <v>145.61000000000001</v>
      </c>
      <c r="E145" s="23">
        <v>145.60542432145499</v>
      </c>
      <c r="F145" s="22">
        <v>145.823175501637</v>
      </c>
      <c r="G145" s="21">
        <v>0.99850674503944503</v>
      </c>
      <c r="H145" t="e">
        <v>#N/A</v>
      </c>
      <c r="I145" t="e">
        <v>#N/A</v>
      </c>
      <c r="J145" t="e">
        <v>#N/A</v>
      </c>
    </row>
    <row r="146" spans="1:10" x14ac:dyDescent="0.25">
      <c r="A146" s="14">
        <v>41974</v>
      </c>
      <c r="B146" s="21">
        <v>145.47999999999999</v>
      </c>
      <c r="C146" s="7">
        <v>146.04</v>
      </c>
      <c r="E146" s="23">
        <v>146.039475113175</v>
      </c>
      <c r="F146" s="22">
        <v>145.547178266277</v>
      </c>
      <c r="G146" s="21">
        <v>1.0033823867474601</v>
      </c>
      <c r="H146" t="e">
        <v>#N/A</v>
      </c>
      <c r="I146" t="e">
        <v>#N/A</v>
      </c>
      <c r="J146" t="e">
        <v>#N/A</v>
      </c>
    </row>
    <row r="147" spans="1:10" x14ac:dyDescent="0.25">
      <c r="A147" s="14">
        <v>42005</v>
      </c>
      <c r="B147" s="21">
        <v>138.97999999999999</v>
      </c>
      <c r="C147" s="7">
        <v>145.07</v>
      </c>
      <c r="E147" s="23">
        <v>145.07333348177499</v>
      </c>
      <c r="F147" s="22">
        <v>145.11610888173499</v>
      </c>
      <c r="G147" s="21">
        <v>0.99970523327637695</v>
      </c>
      <c r="H147" t="e">
        <v>#N/A</v>
      </c>
      <c r="I147" t="e">
        <v>#N/A</v>
      </c>
      <c r="J147" t="e">
        <v>#N/A</v>
      </c>
    </row>
    <row r="148" spans="1:10" x14ac:dyDescent="0.25">
      <c r="A148" s="14">
        <v>42036</v>
      </c>
      <c r="B148" s="21">
        <v>136.69</v>
      </c>
      <c r="C148" s="7">
        <v>144.03</v>
      </c>
      <c r="E148" s="23">
        <v>144.02865530776199</v>
      </c>
      <c r="F148" s="22">
        <v>144.453806010926</v>
      </c>
      <c r="G148" s="21">
        <v>0.99705683972680303</v>
      </c>
      <c r="H148" t="e">
        <v>#N/A</v>
      </c>
      <c r="I148" t="e">
        <v>#N/A</v>
      </c>
      <c r="J148" t="e">
        <v>#N/A</v>
      </c>
    </row>
    <row r="149" spans="1:10" x14ac:dyDescent="0.25">
      <c r="A149" s="14">
        <v>42064</v>
      </c>
      <c r="B149" s="21">
        <v>149.75</v>
      </c>
      <c r="C149" s="7">
        <v>143.93</v>
      </c>
      <c r="E149" s="23">
        <v>143.931731225394</v>
      </c>
      <c r="F149" s="22">
        <v>143.51517281803001</v>
      </c>
      <c r="G149" s="21">
        <v>1.0029025391474999</v>
      </c>
      <c r="H149" t="e">
        <v>#N/A</v>
      </c>
      <c r="I149" t="e">
        <v>#N/A</v>
      </c>
      <c r="J149" t="e">
        <v>#N/A</v>
      </c>
    </row>
    <row r="150" spans="1:10" x14ac:dyDescent="0.25">
      <c r="A150" s="14">
        <v>42095</v>
      </c>
      <c r="B150" s="21">
        <v>142.47999999999999</v>
      </c>
      <c r="C150" s="7">
        <v>142.36000000000001</v>
      </c>
      <c r="E150" s="23">
        <v>142.36389982095099</v>
      </c>
      <c r="F150" s="22">
        <v>142.347636581507</v>
      </c>
      <c r="G150" s="21">
        <v>1.0001142501543001</v>
      </c>
      <c r="H150" t="e">
        <v>#N/A</v>
      </c>
      <c r="I150" t="e">
        <v>#N/A</v>
      </c>
      <c r="J150" t="e">
        <v>#N/A</v>
      </c>
    </row>
    <row r="151" spans="1:10" x14ac:dyDescent="0.25">
      <c r="A151" s="14">
        <v>42125</v>
      </c>
      <c r="B151" s="21">
        <v>139.94999999999999</v>
      </c>
      <c r="C151" s="7">
        <v>141.15</v>
      </c>
      <c r="E151" s="23">
        <v>141.14527650667</v>
      </c>
      <c r="F151" s="22">
        <v>141.10602633392</v>
      </c>
      <c r="G151" s="21">
        <v>1.0002781608537199</v>
      </c>
      <c r="H151" t="e">
        <v>#N/A</v>
      </c>
      <c r="I151" t="e">
        <v>#N/A</v>
      </c>
      <c r="J151" t="e">
        <v>#N/A</v>
      </c>
    </row>
    <row r="152" spans="1:10" x14ac:dyDescent="0.25">
      <c r="A152" s="14">
        <v>42156</v>
      </c>
      <c r="B152" s="21">
        <v>138.75</v>
      </c>
      <c r="C152" s="7">
        <v>139.75</v>
      </c>
      <c r="E152" s="23">
        <v>139.74536976405099</v>
      </c>
      <c r="F152" s="22">
        <v>139.90162446380199</v>
      </c>
      <c r="G152" s="21">
        <v>0.99888311018296305</v>
      </c>
      <c r="H152" t="e">
        <v>#N/A</v>
      </c>
      <c r="I152" t="e">
        <v>#N/A</v>
      </c>
      <c r="J152" t="e">
        <v>#N/A</v>
      </c>
    </row>
    <row r="153" spans="1:10" x14ac:dyDescent="0.25">
      <c r="A153" s="14">
        <v>42186</v>
      </c>
      <c r="B153" s="21">
        <v>143.32</v>
      </c>
      <c r="C153" s="7">
        <v>138.63</v>
      </c>
      <c r="E153" s="23">
        <v>138.63201501690801</v>
      </c>
      <c r="F153" s="22">
        <v>139.01581662344699</v>
      </c>
      <c r="G153" s="21">
        <v>0.99723915151626996</v>
      </c>
      <c r="H153" t="e">
        <v>#N/A</v>
      </c>
      <c r="I153" t="e">
        <v>#N/A</v>
      </c>
      <c r="J153" t="e">
        <v>#N/A</v>
      </c>
    </row>
    <row r="154" spans="1:10" x14ac:dyDescent="0.25">
      <c r="A154" s="14">
        <v>42217</v>
      </c>
      <c r="B154" s="21">
        <v>140.93</v>
      </c>
      <c r="C154" s="7">
        <v>138.88999999999999</v>
      </c>
      <c r="E154" s="23">
        <v>138.89489267906299</v>
      </c>
      <c r="F154" s="22">
        <v>138.48424407207401</v>
      </c>
      <c r="G154" s="21">
        <v>1.00296530922879</v>
      </c>
      <c r="H154" t="e">
        <v>#N/A</v>
      </c>
      <c r="I154" t="e">
        <v>#N/A</v>
      </c>
      <c r="J154" t="e">
        <v>#N/A</v>
      </c>
    </row>
    <row r="155" spans="1:10" x14ac:dyDescent="0.25">
      <c r="A155" s="14">
        <v>42248</v>
      </c>
      <c r="B155" s="21">
        <v>138.30000000000001</v>
      </c>
      <c r="C155" s="7">
        <v>137.68</v>
      </c>
      <c r="E155" s="23">
        <v>137.67878104444699</v>
      </c>
      <c r="F155" s="22">
        <v>138.068547713664</v>
      </c>
      <c r="G155" s="21">
        <v>0.997177006091026</v>
      </c>
      <c r="H155" t="e">
        <v>#N/A</v>
      </c>
      <c r="I155" t="e">
        <v>#N/A</v>
      </c>
      <c r="J155" t="e">
        <v>#N/A</v>
      </c>
    </row>
    <row r="156" spans="1:10" x14ac:dyDescent="0.25">
      <c r="A156" s="14">
        <v>42278</v>
      </c>
      <c r="B156" s="21">
        <v>140.22</v>
      </c>
      <c r="C156" s="7">
        <v>138.52000000000001</v>
      </c>
      <c r="E156" s="23">
        <v>138.520861727024</v>
      </c>
      <c r="F156" s="22">
        <v>137.56462055217099</v>
      </c>
      <c r="G156" s="21">
        <v>1.00695121442573</v>
      </c>
      <c r="H156" t="e">
        <v>#N/A</v>
      </c>
      <c r="I156" t="e">
        <v>#N/A</v>
      </c>
      <c r="J156" t="e">
        <v>#N/A</v>
      </c>
    </row>
    <row r="157" spans="1:10" x14ac:dyDescent="0.25">
      <c r="A157" s="14">
        <v>42309</v>
      </c>
      <c r="B157" s="21">
        <v>136.06</v>
      </c>
      <c r="C157" s="7">
        <v>136.69999999999999</v>
      </c>
      <c r="E157" s="23">
        <v>136.696105713462</v>
      </c>
      <c r="F157" s="22">
        <v>136.935021335328</v>
      </c>
      <c r="G157" s="21">
        <v>0.998255262828047</v>
      </c>
      <c r="H157" t="e">
        <v>#N/A</v>
      </c>
      <c r="I157" t="e">
        <v>#N/A</v>
      </c>
      <c r="J157" t="e">
        <v>#N/A</v>
      </c>
    </row>
    <row r="158" spans="1:10" x14ac:dyDescent="0.25">
      <c r="A158" s="14">
        <v>42339</v>
      </c>
      <c r="B158" s="21">
        <v>136.47999999999999</v>
      </c>
      <c r="C158" s="7">
        <v>136.21</v>
      </c>
      <c r="E158" s="23">
        <v>136.208805090053</v>
      </c>
      <c r="F158" s="22">
        <v>136.270447777345</v>
      </c>
      <c r="G158" s="21">
        <v>0.99954764449447597</v>
      </c>
      <c r="H158" t="e">
        <v>#N/A</v>
      </c>
      <c r="I158" t="e">
        <v>#N/A</v>
      </c>
      <c r="J158" t="e">
        <v>#N/A</v>
      </c>
    </row>
    <row r="159" spans="1:10" x14ac:dyDescent="0.25">
      <c r="A159" s="14">
        <v>42370</v>
      </c>
      <c r="B159" s="21">
        <v>128.47999999999999</v>
      </c>
      <c r="C159" s="7">
        <v>135.61000000000001</v>
      </c>
      <c r="E159" s="23">
        <v>135.60555298438999</v>
      </c>
      <c r="F159" s="22">
        <v>135.71986663055699</v>
      </c>
      <c r="G159" s="21">
        <v>0.99915772355952603</v>
      </c>
      <c r="H159" t="e">
        <v>#N/A</v>
      </c>
      <c r="I159" t="e">
        <v>#N/A</v>
      </c>
      <c r="J159" t="e">
        <v>#N/A</v>
      </c>
    </row>
    <row r="160" spans="1:10" x14ac:dyDescent="0.25">
      <c r="A160" s="14">
        <v>42401</v>
      </c>
      <c r="B160" s="21">
        <v>130.91999999999999</v>
      </c>
      <c r="C160" s="7">
        <v>135.53</v>
      </c>
      <c r="E160" s="23">
        <v>135.52502169444199</v>
      </c>
      <c r="F160" s="22">
        <v>135.28306024464001</v>
      </c>
      <c r="G160" s="21">
        <v>1.00178855689223</v>
      </c>
      <c r="H160" t="e">
        <v>#N/A</v>
      </c>
      <c r="I160" t="e">
        <v>#N/A</v>
      </c>
      <c r="J160" t="e">
        <v>#N/A</v>
      </c>
    </row>
    <row r="161" spans="1:10" x14ac:dyDescent="0.25">
      <c r="A161" s="14">
        <v>42430</v>
      </c>
      <c r="B161" s="21">
        <v>140.54</v>
      </c>
      <c r="C161" s="7">
        <v>134.80000000000001</v>
      </c>
      <c r="E161" s="23">
        <v>134.802041606659</v>
      </c>
      <c r="F161" s="22">
        <v>135.02066559352099</v>
      </c>
      <c r="G161" s="21">
        <v>0.99838081092326703</v>
      </c>
      <c r="H161" t="e">
        <v>#N/A</v>
      </c>
      <c r="I161" t="e">
        <v>#N/A</v>
      </c>
      <c r="J161" t="e">
        <v>#N/A</v>
      </c>
    </row>
    <row r="162" spans="1:10" x14ac:dyDescent="0.25">
      <c r="A162" s="14">
        <v>42461</v>
      </c>
      <c r="B162" s="21">
        <v>136.08000000000001</v>
      </c>
      <c r="C162" s="7">
        <v>134.97</v>
      </c>
      <c r="E162" s="23">
        <v>134.967024765258</v>
      </c>
      <c r="F162" s="22">
        <v>134.86603532392999</v>
      </c>
      <c r="G162" s="21">
        <v>1.00074881300607</v>
      </c>
      <c r="H162" t="e">
        <v>#N/A</v>
      </c>
      <c r="I162" t="e">
        <v>#N/A</v>
      </c>
      <c r="J162" t="e">
        <v>#N/A</v>
      </c>
    </row>
    <row r="163" spans="1:10" x14ac:dyDescent="0.25">
      <c r="A163" s="14">
        <v>42491</v>
      </c>
      <c r="B163" s="21">
        <v>133.72999999999999</v>
      </c>
      <c r="C163" s="7">
        <v>134.53</v>
      </c>
      <c r="E163" s="23">
        <v>134.53299960783599</v>
      </c>
      <c r="F163" s="22">
        <v>134.77663151794101</v>
      </c>
      <c r="G163" s="21">
        <v>0.99819232824443305</v>
      </c>
      <c r="H163" t="e">
        <v>#N/A</v>
      </c>
      <c r="I163" t="e">
        <v>#N/A</v>
      </c>
      <c r="J163" t="e">
        <v>#N/A</v>
      </c>
    </row>
    <row r="164" spans="1:10" x14ac:dyDescent="0.25">
      <c r="A164" s="14">
        <v>42522</v>
      </c>
      <c r="B164" s="21">
        <v>135.46</v>
      </c>
      <c r="C164" s="7">
        <v>134.96</v>
      </c>
      <c r="E164" s="23">
        <v>134.95619683527099</v>
      </c>
      <c r="F164" s="22">
        <v>134.658470796518</v>
      </c>
      <c r="G164" s="21">
        <v>1.0022109714820899</v>
      </c>
      <c r="H164" t="e">
        <v>#N/A</v>
      </c>
      <c r="I164" t="e">
        <v>#N/A</v>
      </c>
      <c r="J164" t="e">
        <v>#N/A</v>
      </c>
    </row>
    <row r="165" spans="1:10" x14ac:dyDescent="0.25">
      <c r="A165" s="14">
        <v>42552</v>
      </c>
      <c r="B165" s="21">
        <v>136.72999999999999</v>
      </c>
      <c r="C165" s="7">
        <v>134.54</v>
      </c>
      <c r="E165" s="23">
        <v>134.542437444065</v>
      </c>
      <c r="F165" s="22">
        <v>134.43880086610099</v>
      </c>
      <c r="G165" s="21">
        <v>1.0007708829392801</v>
      </c>
      <c r="H165" t="e">
        <v>#N/A</v>
      </c>
      <c r="I165" t="e">
        <v>#N/A</v>
      </c>
      <c r="J165" t="e">
        <v>#N/A</v>
      </c>
    </row>
    <row r="166" spans="1:10" x14ac:dyDescent="0.25">
      <c r="A166" s="14">
        <v>42583</v>
      </c>
      <c r="B166" s="21">
        <v>138.22</v>
      </c>
      <c r="C166" s="7">
        <v>133.84</v>
      </c>
      <c r="E166" s="23">
        <v>133.837117138846</v>
      </c>
      <c r="F166" s="22">
        <v>134.10895896866899</v>
      </c>
      <c r="G166" s="21">
        <v>0.99797297785387695</v>
      </c>
      <c r="H166" t="e">
        <v>#N/A</v>
      </c>
      <c r="I166" t="e">
        <v>#N/A</v>
      </c>
      <c r="J166" t="e">
        <v>#N/A</v>
      </c>
    </row>
    <row r="167" spans="1:10" x14ac:dyDescent="0.25">
      <c r="A167" s="14">
        <v>42614</v>
      </c>
      <c r="B167" s="21">
        <v>134.09</v>
      </c>
      <c r="C167" s="7">
        <v>133.84</v>
      </c>
      <c r="E167" s="23">
        <v>133.83877541284099</v>
      </c>
      <c r="F167" s="22">
        <v>133.67736834280299</v>
      </c>
      <c r="G167" s="21">
        <v>1.00120743751945</v>
      </c>
      <c r="H167" t="e">
        <v>#N/A</v>
      </c>
      <c r="I167" t="e">
        <v>#N/A</v>
      </c>
      <c r="J167" t="e">
        <v>#N/A</v>
      </c>
    </row>
    <row r="168" spans="1:10" x14ac:dyDescent="0.25">
      <c r="A168" s="14">
        <v>42644</v>
      </c>
      <c r="B168" s="21">
        <v>132.83000000000001</v>
      </c>
      <c r="C168" s="7">
        <v>133.31</v>
      </c>
      <c r="E168" s="23">
        <v>133.31463045849799</v>
      </c>
      <c r="F168" s="22">
        <v>133.17849270964101</v>
      </c>
      <c r="G168" s="21">
        <v>1.0010222202255601</v>
      </c>
      <c r="H168" t="e">
        <v>#N/A</v>
      </c>
      <c r="I168" t="e">
        <v>#N/A</v>
      </c>
      <c r="J168" t="e">
        <v>#N/A</v>
      </c>
    </row>
    <row r="169" spans="1:10" x14ac:dyDescent="0.25">
      <c r="A169" s="14">
        <v>42675</v>
      </c>
      <c r="B169" s="21">
        <v>132.55000000000001</v>
      </c>
      <c r="C169" s="7">
        <v>133.05000000000001</v>
      </c>
      <c r="E169" s="23">
        <v>133.04891484236501</v>
      </c>
      <c r="F169" s="22">
        <v>132.89964213966201</v>
      </c>
      <c r="G169" s="21">
        <v>1.00112319868059</v>
      </c>
      <c r="H169" t="e">
        <v>#N/A</v>
      </c>
      <c r="I169" t="e">
        <v>#N/A</v>
      </c>
      <c r="J169" t="e">
        <v>#N/A</v>
      </c>
    </row>
    <row r="170" spans="1:10" x14ac:dyDescent="0.25">
      <c r="A170" s="14">
        <v>42705</v>
      </c>
      <c r="B170" s="21">
        <v>133.56</v>
      </c>
      <c r="C170" s="7">
        <v>132.18</v>
      </c>
      <c r="E170" s="23">
        <v>132.18489168592299</v>
      </c>
      <c r="F170" s="22">
        <v>133.07127948438</v>
      </c>
      <c r="G170" s="21">
        <v>0.99333899995632302</v>
      </c>
      <c r="H170" t="e">
        <v>#N/A</v>
      </c>
      <c r="I170" t="e">
        <v>#N/A</v>
      </c>
      <c r="J170" t="e">
        <v>#N/A</v>
      </c>
    </row>
    <row r="171" spans="1:10" x14ac:dyDescent="0.25">
      <c r="A171" s="14">
        <v>42736</v>
      </c>
      <c r="B171" s="21">
        <v>128.62</v>
      </c>
      <c r="C171" s="7">
        <v>133.47999999999999</v>
      </c>
      <c r="E171" s="23">
        <v>133.476374592334</v>
      </c>
      <c r="F171" s="22">
        <v>133.79576714177401</v>
      </c>
      <c r="G171" s="21">
        <v>0.99761283517212196</v>
      </c>
      <c r="H171" t="e">
        <v>#N/A</v>
      </c>
      <c r="I171" t="e">
        <v>#N/A</v>
      </c>
      <c r="J171" t="e">
        <v>#N/A</v>
      </c>
    </row>
    <row r="172" spans="1:10" x14ac:dyDescent="0.25">
      <c r="A172" s="14">
        <v>42767</v>
      </c>
      <c r="B172" s="21">
        <v>129.54</v>
      </c>
      <c r="C172" s="7">
        <v>135.43</v>
      </c>
      <c r="E172" s="23">
        <v>135.433053108698</v>
      </c>
      <c r="F172" s="22">
        <v>134.75823814734699</v>
      </c>
      <c r="G172" s="21">
        <v>1.0050075970911201</v>
      </c>
      <c r="H172" t="e">
        <v>#N/A</v>
      </c>
      <c r="I172" t="e">
        <v>#N/A</v>
      </c>
      <c r="J172" t="e">
        <v>#N/A</v>
      </c>
    </row>
    <row r="173" spans="1:10" x14ac:dyDescent="0.25">
      <c r="A173" s="14">
        <v>42795</v>
      </c>
      <c r="B173" s="21">
        <v>142.03</v>
      </c>
      <c r="C173" s="7">
        <v>135.74</v>
      </c>
      <c r="E173" s="23">
        <v>135.74411073898801</v>
      </c>
      <c r="F173" s="22">
        <v>135.504562507679</v>
      </c>
      <c r="G173" s="21">
        <v>1.00176782410036</v>
      </c>
      <c r="H173" t="e">
        <v>#N/A</v>
      </c>
      <c r="I173" t="e">
        <v>#N/A</v>
      </c>
      <c r="J173" t="e">
        <v>#N/A</v>
      </c>
    </row>
    <row r="174" spans="1:10" x14ac:dyDescent="0.25">
      <c r="A174" s="14">
        <v>42826</v>
      </c>
      <c r="B174" s="21">
        <v>133.74</v>
      </c>
      <c r="C174" s="7">
        <v>136.07</v>
      </c>
      <c r="E174" s="23">
        <v>136.067085465004</v>
      </c>
      <c r="F174" s="22">
        <v>135.89499144416001</v>
      </c>
      <c r="G174" s="21">
        <v>1.0012663750077599</v>
      </c>
      <c r="H174" t="e">
        <v>#N/A</v>
      </c>
      <c r="I174" t="e">
        <v>#N/A</v>
      </c>
      <c r="J174" t="e">
        <v>#N/A</v>
      </c>
    </row>
    <row r="175" spans="1:10" x14ac:dyDescent="0.25">
      <c r="A175" s="14">
        <v>42856</v>
      </c>
      <c r="B175" s="21">
        <v>135.97999999999999</v>
      </c>
      <c r="C175" s="7">
        <v>135.30000000000001</v>
      </c>
      <c r="E175" s="23">
        <v>135.29870890638699</v>
      </c>
      <c r="F175" s="22">
        <v>135.99154731848299</v>
      </c>
      <c r="G175" s="21">
        <v>0.99490528326386496</v>
      </c>
      <c r="H175" t="e">
        <v>#N/A</v>
      </c>
      <c r="I175" t="e">
        <v>#N/A</v>
      </c>
      <c r="J175" t="e">
        <v>#N/A</v>
      </c>
    </row>
    <row r="176" spans="1:10" x14ac:dyDescent="0.25">
      <c r="A176" s="14">
        <v>42887</v>
      </c>
      <c r="B176" s="21">
        <v>135.03</v>
      </c>
      <c r="C176" s="7">
        <v>136.16</v>
      </c>
      <c r="E176" s="23">
        <v>136.16009506778099</v>
      </c>
      <c r="F176" s="22">
        <v>135.984605556189</v>
      </c>
      <c r="G176" s="21">
        <v>1.0012905101343901</v>
      </c>
      <c r="H176" t="e">
        <v>#N/A</v>
      </c>
      <c r="I176" t="e">
        <v>#N/A</v>
      </c>
      <c r="J176" t="e">
        <v>#N/A</v>
      </c>
    </row>
    <row r="177" spans="1:10" x14ac:dyDescent="0.25">
      <c r="A177" s="14">
        <v>42917</v>
      </c>
      <c r="B177" s="21">
        <v>138.35</v>
      </c>
      <c r="C177" s="7">
        <v>136.44999999999999</v>
      </c>
      <c r="E177" s="23">
        <v>136.445111196997</v>
      </c>
      <c r="F177" s="22">
        <v>135.898597315589</v>
      </c>
      <c r="G177" s="21">
        <v>1.0040214828718099</v>
      </c>
      <c r="H177" t="e">
        <v>#N/A</v>
      </c>
      <c r="I177" t="e">
        <v>#N/A</v>
      </c>
      <c r="J177" t="e">
        <v>#N/A</v>
      </c>
    </row>
    <row r="178" spans="1:10" x14ac:dyDescent="0.25">
      <c r="A178" s="14">
        <v>42948</v>
      </c>
      <c r="B178" s="21">
        <v>140.12</v>
      </c>
      <c r="C178" s="7">
        <v>135.38999999999999</v>
      </c>
      <c r="E178" s="23">
        <v>135.386792044879</v>
      </c>
      <c r="F178" s="22">
        <v>135.651304464443</v>
      </c>
      <c r="G178" s="21">
        <v>0.99805005620396703</v>
      </c>
      <c r="H178" t="e">
        <v>#N/A</v>
      </c>
      <c r="I178" t="e">
        <v>#N/A</v>
      </c>
      <c r="J178" t="e">
        <v>#N/A</v>
      </c>
    </row>
    <row r="179" spans="1:10" x14ac:dyDescent="0.25">
      <c r="A179" s="14">
        <v>42979</v>
      </c>
      <c r="B179" s="21">
        <v>134.99</v>
      </c>
      <c r="C179" s="7">
        <v>135.37</v>
      </c>
      <c r="E179" s="23">
        <v>135.36768354482899</v>
      </c>
      <c r="F179" s="22">
        <v>135.45140478760001</v>
      </c>
      <c r="G179" s="21">
        <v>0.99938190937995197</v>
      </c>
      <c r="H179" t="e">
        <v>#N/A</v>
      </c>
      <c r="I179" t="e">
        <v>#N/A</v>
      </c>
      <c r="J179" t="e">
        <v>#N/A</v>
      </c>
    </row>
    <row r="180" spans="1:10" x14ac:dyDescent="0.25">
      <c r="A180" s="14">
        <v>43009</v>
      </c>
      <c r="B180" s="21">
        <v>135.94</v>
      </c>
      <c r="C180" s="7">
        <v>135.33000000000001</v>
      </c>
      <c r="E180" s="23">
        <v>135.32524422870199</v>
      </c>
      <c r="F180" s="22">
        <v>135.53687102647999</v>
      </c>
      <c r="G180" s="21">
        <v>0.99843860348718905</v>
      </c>
      <c r="H180" t="e">
        <v>#N/A</v>
      </c>
      <c r="I180" t="e">
        <v>#N/A</v>
      </c>
      <c r="J180" t="e">
        <v>#N/A</v>
      </c>
    </row>
    <row r="181" spans="1:10" x14ac:dyDescent="0.25">
      <c r="A181" s="14">
        <v>43040</v>
      </c>
      <c r="B181" s="21">
        <v>135.11000000000001</v>
      </c>
      <c r="C181" s="7">
        <v>135.38</v>
      </c>
      <c r="E181" s="23">
        <v>135.38165882789201</v>
      </c>
      <c r="F181" s="22">
        <v>135.917152143398</v>
      </c>
      <c r="G181" s="21">
        <v>0.99606014909037299</v>
      </c>
      <c r="H181" t="e">
        <v>#N/A</v>
      </c>
      <c r="I181" t="e">
        <v>#N/A</v>
      </c>
      <c r="J181" t="e">
        <v>#N/A</v>
      </c>
    </row>
    <row r="182" spans="1:10" x14ac:dyDescent="0.25">
      <c r="A182" s="14">
        <v>43070</v>
      </c>
      <c r="B182" s="21">
        <v>135.88</v>
      </c>
      <c r="C182" s="7">
        <v>137.04</v>
      </c>
      <c r="E182" s="23">
        <v>137.03906697707299</v>
      </c>
      <c r="F182" s="22">
        <v>136.35586640135699</v>
      </c>
      <c r="G182" s="21">
        <v>1.0050104230477701</v>
      </c>
      <c r="H182" t="e">
        <v>#N/A</v>
      </c>
      <c r="I182" t="e">
        <v>#N/A</v>
      </c>
      <c r="J182" t="e">
        <v>#N/A</v>
      </c>
    </row>
    <row r="183" spans="1:10" x14ac:dyDescent="0.25">
      <c r="A183" s="14">
        <v>43101</v>
      </c>
      <c r="B183" s="21">
        <v>132.03</v>
      </c>
      <c r="C183" s="7">
        <v>136.65</v>
      </c>
      <c r="E183" s="23">
        <v>136.646233150347</v>
      </c>
      <c r="F183" s="22">
        <v>136.663436412404</v>
      </c>
      <c r="G183" s="21">
        <v>0.99987411949744398</v>
      </c>
      <c r="H183" t="e">
        <v>#N/A</v>
      </c>
      <c r="I183" t="e">
        <v>#N/A</v>
      </c>
      <c r="J183" t="e">
        <v>#N/A</v>
      </c>
    </row>
    <row r="184" spans="1:10" x14ac:dyDescent="0.25">
      <c r="A184" s="14">
        <v>43132</v>
      </c>
      <c r="B184" s="21">
        <v>129.85</v>
      </c>
      <c r="C184" s="7">
        <v>136.4</v>
      </c>
      <c r="E184" s="23">
        <v>136.40179766518699</v>
      </c>
      <c r="F184" s="22">
        <v>136.90721053540801</v>
      </c>
      <c r="G184" s="21">
        <v>0.99630835462760103</v>
      </c>
      <c r="H184" t="e">
        <v>#N/A</v>
      </c>
      <c r="I184" t="e">
        <v>#N/A</v>
      </c>
      <c r="J184" t="e">
        <v>#N/A</v>
      </c>
    </row>
    <row r="185" spans="1:10" x14ac:dyDescent="0.25">
      <c r="A185" s="14">
        <v>43160</v>
      </c>
      <c r="B185" s="21">
        <v>141.63</v>
      </c>
      <c r="C185" s="7">
        <v>137.38</v>
      </c>
      <c r="E185" s="23">
        <v>137.382405372276</v>
      </c>
      <c r="F185" s="22">
        <v>137.147891868556</v>
      </c>
      <c r="G185" s="21">
        <v>1.0017099315237401</v>
      </c>
      <c r="H185" t="e">
        <v>#N/A</v>
      </c>
      <c r="I185" t="e">
        <v>#N/A</v>
      </c>
      <c r="J185" t="e">
        <v>#N/A</v>
      </c>
    </row>
    <row r="186" spans="1:10" x14ac:dyDescent="0.25">
      <c r="A186" s="14">
        <v>43191</v>
      </c>
      <c r="B186" s="21">
        <v>139.02000000000001</v>
      </c>
      <c r="C186" s="7">
        <v>138.82</v>
      </c>
      <c r="E186" s="23">
        <v>138.81930989179301</v>
      </c>
      <c r="F186" s="22">
        <v>137.424543144127</v>
      </c>
      <c r="G186" s="21">
        <v>1.01014932788391</v>
      </c>
      <c r="H186" t="e">
        <v>#N/A</v>
      </c>
      <c r="I186" t="e">
        <v>#N/A</v>
      </c>
      <c r="J186" t="e">
        <v>#N/A</v>
      </c>
    </row>
    <row r="187" spans="1:10" x14ac:dyDescent="0.25">
      <c r="A187" s="14">
        <v>43221</v>
      </c>
      <c r="B187" s="21">
        <v>132.29</v>
      </c>
      <c r="C187" s="7">
        <v>133.59</v>
      </c>
      <c r="E187" s="23">
        <v>133.59212874570301</v>
      </c>
      <c r="F187" s="22">
        <v>137.75400122974301</v>
      </c>
      <c r="G187" s="21">
        <v>0.969787647205265</v>
      </c>
      <c r="H187" t="e">
        <v>#N/A</v>
      </c>
      <c r="I187" t="e">
        <v>#N/A</v>
      </c>
      <c r="J187" t="e">
        <v>#N/A</v>
      </c>
    </row>
    <row r="188" spans="1:10" x14ac:dyDescent="0.25">
      <c r="A188" s="14">
        <v>43252</v>
      </c>
      <c r="B188" s="21">
        <v>137.06</v>
      </c>
      <c r="C188" s="7">
        <v>137.71</v>
      </c>
      <c r="E188" s="23">
        <v>137.709438533134</v>
      </c>
      <c r="F188" s="22">
        <v>137.998987736522</v>
      </c>
      <c r="G188" s="21">
        <v>0.99790180197596201</v>
      </c>
      <c r="H188" t="e">
        <v>#N/A</v>
      </c>
      <c r="I188" t="e">
        <v>#N/A</v>
      </c>
      <c r="J188" t="e">
        <v>#N/A</v>
      </c>
    </row>
    <row r="189" spans="1:10" x14ac:dyDescent="0.25">
      <c r="A189" s="14">
        <v>43282</v>
      </c>
      <c r="B189" s="21">
        <v>140.97</v>
      </c>
      <c r="C189" s="7">
        <v>138.06</v>
      </c>
      <c r="E189" s="23">
        <v>138.06433406425799</v>
      </c>
      <c r="F189" s="22">
        <v>138.08643564037601</v>
      </c>
      <c r="G189" s="21">
        <v>0.99983994390169395</v>
      </c>
      <c r="H189" t="e">
        <v>#N/A</v>
      </c>
      <c r="I189" t="e">
        <v>#N/A</v>
      </c>
      <c r="J189" t="e">
        <v>#N/A</v>
      </c>
    </row>
    <row r="190" spans="1:10" x14ac:dyDescent="0.25">
      <c r="A190" s="14">
        <v>43313</v>
      </c>
      <c r="B190" s="21">
        <v>143.33000000000001</v>
      </c>
      <c r="C190" s="7">
        <v>138.54</v>
      </c>
      <c r="E190" s="23">
        <v>138.542143455191</v>
      </c>
      <c r="F190" s="22">
        <v>137.987530253318</v>
      </c>
      <c r="G190" s="21">
        <v>1.00401929943129</v>
      </c>
      <c r="H190" t="e">
        <v>#N/A</v>
      </c>
      <c r="I190" t="e">
        <v>#N/A</v>
      </c>
      <c r="J190" t="e">
        <v>#N/A</v>
      </c>
    </row>
    <row r="191" spans="1:10" x14ac:dyDescent="0.25">
      <c r="A191" s="14">
        <v>43344</v>
      </c>
      <c r="B191" s="21">
        <v>135.87</v>
      </c>
      <c r="C191" s="7">
        <v>137.59</v>
      </c>
      <c r="E191" s="23">
        <v>137.59317088048999</v>
      </c>
      <c r="F191" s="22">
        <v>137.75457198073499</v>
      </c>
      <c r="G191" s="21">
        <v>0.99882834306023804</v>
      </c>
      <c r="H191" t="e">
        <v>#N/A</v>
      </c>
      <c r="I191" t="e">
        <v>#N/A</v>
      </c>
      <c r="J191" t="e">
        <v>#N/A</v>
      </c>
    </row>
    <row r="192" spans="1:10" x14ac:dyDescent="0.25">
      <c r="A192" s="14">
        <v>43374</v>
      </c>
      <c r="B192" s="21">
        <v>139.75</v>
      </c>
      <c r="C192" s="7">
        <v>137.22</v>
      </c>
      <c r="E192" s="23">
        <v>137.221230660499</v>
      </c>
      <c r="F192" s="22">
        <v>137.59355720884699</v>
      </c>
      <c r="G192" s="21">
        <v>0.99729401175534604</v>
      </c>
      <c r="H192" t="e">
        <v>#N/A</v>
      </c>
      <c r="I192" t="e">
        <v>#N/A</v>
      </c>
      <c r="J192" t="e">
        <v>#N/A</v>
      </c>
    </row>
    <row r="193" spans="1:10" x14ac:dyDescent="0.25">
      <c r="A193" s="14">
        <v>43405</v>
      </c>
      <c r="B193" s="21">
        <v>137.62</v>
      </c>
      <c r="C193" s="7">
        <v>137.55000000000001</v>
      </c>
      <c r="E193" s="23">
        <v>137.548349655447</v>
      </c>
      <c r="F193" s="22">
        <v>137.606909908392</v>
      </c>
      <c r="G193" s="21">
        <v>0.99957443813698099</v>
      </c>
      <c r="H193" t="e">
        <v>#N/A</v>
      </c>
      <c r="I193" t="e">
        <v>#N/A</v>
      </c>
      <c r="J193" t="e">
        <v>#N/A</v>
      </c>
    </row>
    <row r="194" spans="1:10" x14ac:dyDescent="0.25">
      <c r="A194" s="14">
        <v>43435</v>
      </c>
      <c r="B194" s="21">
        <v>136.33000000000001</v>
      </c>
      <c r="C194" s="7">
        <v>138.08000000000001</v>
      </c>
      <c r="E194" s="23">
        <v>138.07615759886701</v>
      </c>
      <c r="F194" s="22">
        <v>137.81324320243499</v>
      </c>
      <c r="G194" s="21">
        <v>1.00190775857474</v>
      </c>
      <c r="H194" t="e">
        <v>#N/A</v>
      </c>
      <c r="I194" t="e">
        <v>#N/A</v>
      </c>
      <c r="J194" t="e">
        <v>#N/A</v>
      </c>
    </row>
    <row r="195" spans="1:10" x14ac:dyDescent="0.25">
      <c r="A195" s="14">
        <v>43466</v>
      </c>
      <c r="B195" s="21">
        <v>133.43</v>
      </c>
      <c r="C195" s="7">
        <v>138.19</v>
      </c>
      <c r="E195" s="23">
        <v>138.18627043504699</v>
      </c>
      <c r="F195" s="22">
        <v>138.07545436442001</v>
      </c>
      <c r="G195" s="21">
        <v>1.00080257617935</v>
      </c>
      <c r="H195" t="e">
        <v>#N/A</v>
      </c>
      <c r="I195" t="e">
        <v>#N/A</v>
      </c>
      <c r="J195" t="e">
        <v>#N/A</v>
      </c>
    </row>
    <row r="196" spans="1:10" x14ac:dyDescent="0.25">
      <c r="A196" s="14">
        <v>43497</v>
      </c>
      <c r="B196" s="21">
        <v>133.75</v>
      </c>
      <c r="C196" s="7">
        <v>137.16</v>
      </c>
      <c r="E196" s="23">
        <v>137.15531150242001</v>
      </c>
      <c r="F196" s="22">
        <v>138.29120278871099</v>
      </c>
      <c r="G196" s="21">
        <v>0.99178623612070005</v>
      </c>
      <c r="H196" t="e">
        <v>#N/A</v>
      </c>
      <c r="I196" t="e">
        <v>#N/A</v>
      </c>
      <c r="J196" t="e">
        <v>#N/A</v>
      </c>
    </row>
    <row r="197" spans="1:10" x14ac:dyDescent="0.25">
      <c r="A197" s="14">
        <v>43525</v>
      </c>
      <c r="B197" s="21">
        <v>138.99</v>
      </c>
      <c r="C197" s="7">
        <v>138.53</v>
      </c>
      <c r="E197" s="23">
        <v>138.53019158757999</v>
      </c>
      <c r="F197" s="22">
        <v>138.55364548190201</v>
      </c>
      <c r="G197" s="21">
        <v>0.99983072336898704</v>
      </c>
      <c r="H197" t="e">
        <v>#N/A</v>
      </c>
      <c r="I197" t="e">
        <v>#N/A</v>
      </c>
      <c r="J197" t="e">
        <v>#N/A</v>
      </c>
    </row>
    <row r="198" spans="1:10" x14ac:dyDescent="0.25">
      <c r="A198" s="14">
        <v>43556</v>
      </c>
      <c r="B198" s="21">
        <v>139.46</v>
      </c>
      <c r="C198" s="7">
        <v>138.80000000000001</v>
      </c>
      <c r="E198" s="23">
        <v>138.799573433707</v>
      </c>
      <c r="F198" s="22">
        <v>138.85033639716099</v>
      </c>
      <c r="G198" s="21">
        <v>0.99963440518207503</v>
      </c>
      <c r="H198" t="e">
        <v>#N/A</v>
      </c>
      <c r="I198" t="e">
        <v>#N/A</v>
      </c>
      <c r="J198" t="e">
        <v>#N/A</v>
      </c>
    </row>
    <row r="199" spans="1:10" x14ac:dyDescent="0.25">
      <c r="A199" s="14">
        <v>43586</v>
      </c>
      <c r="B199" s="21">
        <v>139.26</v>
      </c>
      <c r="C199" s="7">
        <v>139.16999999999999</v>
      </c>
      <c r="E199" s="23">
        <v>139.17016690308799</v>
      </c>
      <c r="F199" s="22">
        <v>139.001263224783</v>
      </c>
      <c r="G199" s="21">
        <v>1.00121512333332</v>
      </c>
      <c r="H199" t="e">
        <v>#N/A</v>
      </c>
      <c r="I199" t="e">
        <v>#N/A</v>
      </c>
      <c r="J199" t="e">
        <v>#N/A</v>
      </c>
    </row>
    <row r="200" spans="1:10" x14ac:dyDescent="0.25">
      <c r="A200" s="14">
        <v>43617</v>
      </c>
      <c r="B200" s="21">
        <v>135.01</v>
      </c>
      <c r="C200" s="7">
        <v>139.16</v>
      </c>
      <c r="E200" s="23">
        <v>139.16253487465099</v>
      </c>
      <c r="F200" s="22">
        <v>138.876150425611</v>
      </c>
      <c r="G200" s="21">
        <v>1.0020621571678301</v>
      </c>
      <c r="H200" t="e">
        <v>#N/A</v>
      </c>
      <c r="I200" t="e">
        <v>#N/A</v>
      </c>
      <c r="J200" t="e">
        <v>#N/A</v>
      </c>
    </row>
    <row r="201" spans="1:10" x14ac:dyDescent="0.25">
      <c r="A201" s="14">
        <v>43647</v>
      </c>
      <c r="B201" s="21">
        <v>142.91999999999999</v>
      </c>
      <c r="C201" s="7">
        <v>138.43</v>
      </c>
      <c r="E201" s="23">
        <v>138.42654936777799</v>
      </c>
      <c r="F201" s="22">
        <v>138.59556848952499</v>
      </c>
      <c r="G201" s="21">
        <v>0.99878048682515796</v>
      </c>
      <c r="H201" t="e">
        <v>#N/A</v>
      </c>
      <c r="I201" t="e">
        <v>#N/A</v>
      </c>
      <c r="J201" t="e">
        <v>#N/A</v>
      </c>
    </row>
    <row r="202" spans="1:10" x14ac:dyDescent="0.25">
      <c r="A202" s="14">
        <v>43678</v>
      </c>
      <c r="B202" s="21">
        <v>141.77000000000001</v>
      </c>
      <c r="C202" s="7">
        <v>137.62</v>
      </c>
      <c r="E202" s="23">
        <v>137.61994396778701</v>
      </c>
      <c r="F202" s="22">
        <v>138.397282636272</v>
      </c>
      <c r="G202" s="21">
        <v>0.99438328084426197</v>
      </c>
      <c r="H202" t="e">
        <v>#N/A</v>
      </c>
      <c r="I202" t="e">
        <v>#N/A</v>
      </c>
      <c r="J202" t="e">
        <v>#N/A</v>
      </c>
    </row>
    <row r="203" spans="1:10" x14ac:dyDescent="0.25">
      <c r="A203" s="14">
        <v>43709</v>
      </c>
      <c r="B203" s="21">
        <v>138.30000000000001</v>
      </c>
      <c r="C203" s="7">
        <v>138.34</v>
      </c>
      <c r="E203" s="23">
        <v>138.33590392966801</v>
      </c>
      <c r="F203" s="22">
        <v>138.347313824715</v>
      </c>
      <c r="G203" s="21">
        <v>0.99991752716599902</v>
      </c>
      <c r="H203" t="e">
        <v>#N/A</v>
      </c>
      <c r="I203" t="e">
        <v>#N/A</v>
      </c>
      <c r="J203" t="e">
        <v>#N/A</v>
      </c>
    </row>
    <row r="204" spans="1:10" x14ac:dyDescent="0.25">
      <c r="A204" s="14">
        <v>43739</v>
      </c>
      <c r="B204" s="21">
        <v>142.76</v>
      </c>
      <c r="C204" s="7">
        <v>138.66999999999999</v>
      </c>
      <c r="E204" s="23">
        <v>138.67146614261699</v>
      </c>
      <c r="F204" s="22">
        <v>138.332807312245</v>
      </c>
      <c r="G204" s="21">
        <v>1.0024481454323999</v>
      </c>
      <c r="H204" t="e">
        <v>#N/A</v>
      </c>
      <c r="I204" t="e">
        <v>#N/A</v>
      </c>
      <c r="J204" t="e">
        <v>#N/A</v>
      </c>
    </row>
    <row r="205" spans="1:10" x14ac:dyDescent="0.25">
      <c r="A205" s="14">
        <v>43770</v>
      </c>
      <c r="B205" s="21">
        <v>138.84</v>
      </c>
      <c r="C205" s="7">
        <v>138.44999999999999</v>
      </c>
      <c r="E205" s="23">
        <v>138.45029768281699</v>
      </c>
      <c r="F205" s="22">
        <v>138.310137340528</v>
      </c>
      <c r="G205" s="21">
        <v>1.00101337721865</v>
      </c>
      <c r="H205" t="e">
        <v>#N/A</v>
      </c>
      <c r="I205" t="e">
        <v>#N/A</v>
      </c>
      <c r="J205" t="e">
        <v>#N/A</v>
      </c>
    </row>
    <row r="206" spans="1:10" x14ac:dyDescent="0.25">
      <c r="A206" s="14">
        <v>43800</v>
      </c>
      <c r="B206" s="21">
        <v>137.54</v>
      </c>
      <c r="C206" s="7">
        <v>138</v>
      </c>
      <c r="E206" s="23">
        <v>138.00226370515799</v>
      </c>
      <c r="F206" s="22">
        <v>138.32640623400499</v>
      </c>
      <c r="G206" s="21">
        <v>0.99765668365374804</v>
      </c>
      <c r="H206" t="e">
        <v>#N/A</v>
      </c>
      <c r="I206" t="e">
        <v>#N/A</v>
      </c>
      <c r="J206" t="e">
        <v>#N/A</v>
      </c>
    </row>
    <row r="207" spans="1:10" x14ac:dyDescent="0.25">
      <c r="A207" s="14">
        <v>43831</v>
      </c>
      <c r="B207" s="21">
        <v>133.6</v>
      </c>
      <c r="C207" s="7">
        <v>138.19999999999999</v>
      </c>
      <c r="E207" s="23">
        <v>138.19874830255401</v>
      </c>
      <c r="F207" s="22">
        <v>138.45953375744301</v>
      </c>
      <c r="G207" s="21">
        <v>0.99811652222268299</v>
      </c>
      <c r="H207" t="e">
        <v>#N/A</v>
      </c>
      <c r="I207" t="e">
        <v>#N/A</v>
      </c>
      <c r="J207" t="e">
        <v>#N/A</v>
      </c>
    </row>
    <row r="208" spans="1:10" x14ac:dyDescent="0.25">
      <c r="A208" s="14">
        <v>43862</v>
      </c>
      <c r="B208" s="21">
        <v>134.63</v>
      </c>
      <c r="C208" s="7">
        <v>139.35</v>
      </c>
      <c r="E208" s="23">
        <v>139.34958134024399</v>
      </c>
      <c r="F208" s="22">
        <v>138.811249407449</v>
      </c>
      <c r="G208" s="21">
        <v>1.0038781578228999</v>
      </c>
      <c r="H208" t="e">
        <v>#N/A</v>
      </c>
      <c r="I208" t="e">
        <v>#N/A</v>
      </c>
      <c r="J208" t="e">
        <v>#N/A</v>
      </c>
    </row>
    <row r="209" spans="1:10" x14ac:dyDescent="0.25">
      <c r="A209" s="14">
        <v>43891</v>
      </c>
      <c r="B209" s="21">
        <v>136.72</v>
      </c>
      <c r="C209" s="7">
        <v>133.07</v>
      </c>
      <c r="E209" s="23">
        <v>133.06887940142499</v>
      </c>
      <c r="F209" s="22">
        <v>139.26331071205499</v>
      </c>
      <c r="G209" s="21">
        <v>0.955520005384351</v>
      </c>
      <c r="H209" t="e">
        <v>#N/A</v>
      </c>
      <c r="I209" t="e">
        <v>#N/A</v>
      </c>
      <c r="J209" t="e">
        <v>#N/A</v>
      </c>
    </row>
    <row r="210" spans="1:10" x14ac:dyDescent="0.25">
      <c r="A210" s="14">
        <v>43922</v>
      </c>
      <c r="B210" s="21">
        <v>119.13</v>
      </c>
      <c r="C210" s="7">
        <v>120.43</v>
      </c>
      <c r="E210" s="23">
        <v>120.429200208701</v>
      </c>
      <c r="F210" s="22">
        <v>120.796872101186</v>
      </c>
      <c r="G210" s="21">
        <v>0.99695627969425205</v>
      </c>
      <c r="H210" t="e">
        <v>#N/A</v>
      </c>
      <c r="I210" t="e">
        <v>#N/A</v>
      </c>
      <c r="J210" t="e">
        <v>#N/A</v>
      </c>
    </row>
    <row r="211" spans="1:10" x14ac:dyDescent="0.25">
      <c r="A211" s="14">
        <v>43952</v>
      </c>
      <c r="B211" s="21">
        <v>119.79</v>
      </c>
      <c r="C211" s="7">
        <v>121.92</v>
      </c>
      <c r="E211" s="23">
        <v>121.91797589413601</v>
      </c>
      <c r="F211" s="22">
        <v>121.701290455988</v>
      </c>
      <c r="G211" s="21">
        <v>1.00178046951956</v>
      </c>
      <c r="H211" t="e">
        <v>#N/A</v>
      </c>
      <c r="I211" t="e">
        <v>#N/A</v>
      </c>
      <c r="J211" t="e">
        <v>#N/A</v>
      </c>
    </row>
    <row r="212" spans="1:10" x14ac:dyDescent="0.25">
      <c r="A212" s="14">
        <v>43983</v>
      </c>
      <c r="B212" s="21">
        <v>126.18</v>
      </c>
      <c r="C212" s="7">
        <v>128.25</v>
      </c>
      <c r="E212" s="23">
        <v>128.246806138322</v>
      </c>
      <c r="F212" s="22">
        <v>129.04283425926701</v>
      </c>
      <c r="G212" s="21">
        <v>0.99383128768432605</v>
      </c>
      <c r="H212" t="e">
        <v>#N/A</v>
      </c>
      <c r="I212" t="e">
        <v>#N/A</v>
      </c>
      <c r="J212" t="e">
        <v>#N/A</v>
      </c>
    </row>
    <row r="213" spans="1:10" x14ac:dyDescent="0.25">
      <c r="A213" s="14">
        <v>44013</v>
      </c>
      <c r="B213" s="21">
        <v>135.82</v>
      </c>
      <c r="C213" s="7">
        <v>131.47999999999999</v>
      </c>
      <c r="E213" s="23">
        <v>131.47770898028401</v>
      </c>
      <c r="F213" s="22">
        <v>131.07875108496501</v>
      </c>
      <c r="G213" s="21">
        <v>1.00304365041639</v>
      </c>
      <c r="H213" t="e">
        <v>#N/A</v>
      </c>
      <c r="I213" t="e">
        <v>#N/A</v>
      </c>
      <c r="J213" t="e">
        <v>#N/A</v>
      </c>
    </row>
    <row r="214" spans="1:10" x14ac:dyDescent="0.25">
      <c r="A214" s="14">
        <v>44044</v>
      </c>
      <c r="B214" s="21">
        <v>135.5</v>
      </c>
      <c r="C214" s="7">
        <v>133.19999999999999</v>
      </c>
      <c r="E214" s="23">
        <v>133.200231246546</v>
      </c>
      <c r="F214" s="22">
        <v>133.226539969268</v>
      </c>
      <c r="G214" s="21">
        <v>0.99980252641306699</v>
      </c>
      <c r="H214" t="e">
        <v>#N/A</v>
      </c>
      <c r="I214" t="e">
        <v>#N/A</v>
      </c>
      <c r="J214" t="e">
        <v>#N/A</v>
      </c>
    </row>
    <row r="215" spans="1:10" x14ac:dyDescent="0.25">
      <c r="A215" s="14">
        <v>44075</v>
      </c>
      <c r="B215" s="21">
        <v>137.13999999999999</v>
      </c>
      <c r="C215" s="7">
        <v>135.36000000000001</v>
      </c>
      <c r="E215" s="23">
        <v>135.35974885017001</v>
      </c>
      <c r="F215" s="22">
        <v>135.11540656438299</v>
      </c>
      <c r="G215" s="21">
        <v>1.00180839692527</v>
      </c>
      <c r="H215" t="e">
        <v>#N/A</v>
      </c>
      <c r="I215" t="e">
        <v>#N/A</v>
      </c>
      <c r="J215" t="e">
        <v>#N/A</v>
      </c>
    </row>
    <row r="216" spans="1:10" x14ac:dyDescent="0.25">
      <c r="A216" s="14">
        <v>44105</v>
      </c>
      <c r="B216" s="21">
        <v>139.62</v>
      </c>
      <c r="C216" s="7">
        <v>136.63</v>
      </c>
      <c r="E216" s="23">
        <v>136.62712578475899</v>
      </c>
      <c r="F216" s="22">
        <v>136.53954558821101</v>
      </c>
      <c r="G216" s="21">
        <v>1.0006414273327999</v>
      </c>
      <c r="H216" t="e">
        <v>#N/A</v>
      </c>
      <c r="I216" t="e">
        <v>#N/A</v>
      </c>
      <c r="J216" t="e">
        <v>#N/A</v>
      </c>
    </row>
    <row r="217" spans="1:10" x14ac:dyDescent="0.25">
      <c r="A217" s="14">
        <v>44136</v>
      </c>
      <c r="B217" s="21">
        <v>138.1</v>
      </c>
      <c r="C217" s="7">
        <v>137.46</v>
      </c>
      <c r="E217" s="23">
        <v>137.46380126685801</v>
      </c>
      <c r="F217" s="22">
        <v>137.56488916134299</v>
      </c>
      <c r="G217" s="21">
        <v>0.99926516209840199</v>
      </c>
      <c r="H217" t="e">
        <v>#N/A</v>
      </c>
      <c r="I217" t="e">
        <v>#N/A</v>
      </c>
      <c r="J217" t="e">
        <v>#N/A</v>
      </c>
    </row>
    <row r="218" spans="1:10" x14ac:dyDescent="0.25">
      <c r="A218" s="14">
        <v>44166</v>
      </c>
      <c r="B218" s="21">
        <v>139.53</v>
      </c>
      <c r="C218" s="7">
        <v>138.16999999999999</v>
      </c>
      <c r="E218" s="23">
        <v>138.17224008997101</v>
      </c>
      <c r="F218" s="22">
        <v>138.34345641490501</v>
      </c>
      <c r="G218" s="21">
        <v>0.99876238219449698</v>
      </c>
      <c r="H218" t="e">
        <v>#N/A</v>
      </c>
      <c r="I218" t="e">
        <v>#N/A</v>
      </c>
      <c r="J218" t="e">
        <v>#N/A</v>
      </c>
    </row>
    <row r="219" spans="1:10" x14ac:dyDescent="0.25">
      <c r="A219" s="14">
        <v>44197</v>
      </c>
      <c r="B219" s="21">
        <v>132.1</v>
      </c>
      <c r="C219" s="7">
        <v>139.01</v>
      </c>
      <c r="E219" s="23">
        <v>139.00892576662901</v>
      </c>
      <c r="F219" s="22">
        <v>138.830323508135</v>
      </c>
      <c r="G219" s="21">
        <v>1.00128647873159</v>
      </c>
      <c r="H219" t="e">
        <v>#N/A</v>
      </c>
      <c r="I219" t="e">
        <v>#N/A</v>
      </c>
      <c r="J219" t="e">
        <v>#N/A</v>
      </c>
    </row>
    <row r="220" spans="1:10" x14ac:dyDescent="0.25">
      <c r="A220" s="14">
        <v>44228</v>
      </c>
      <c r="B220" s="21">
        <v>134.87</v>
      </c>
      <c r="C220" s="7">
        <v>141.31</v>
      </c>
      <c r="E220" s="23">
        <v>141.31308919591501</v>
      </c>
      <c r="F220" s="22">
        <v>139.20087308752801</v>
      </c>
      <c r="G220" s="21">
        <v>1.0151738711226299</v>
      </c>
      <c r="H220" t="e">
        <v>#N/A</v>
      </c>
      <c r="I220" t="e">
        <v>#N/A</v>
      </c>
      <c r="J220" t="e">
        <v>#N/A</v>
      </c>
    </row>
    <row r="221" spans="1:10" x14ac:dyDescent="0.25">
      <c r="A221" s="14">
        <v>44256</v>
      </c>
      <c r="B221" s="21">
        <v>144.02000000000001</v>
      </c>
      <c r="C221" s="7">
        <v>139.04</v>
      </c>
      <c r="E221" s="23">
        <v>139.039440492431</v>
      </c>
      <c r="F221" s="22">
        <v>139.466392549414</v>
      </c>
      <c r="G221" s="21">
        <v>0.99693867426282001</v>
      </c>
      <c r="H221" t="e">
        <v>#N/A</v>
      </c>
      <c r="I221" t="e">
        <v>#N/A</v>
      </c>
      <c r="J221" t="e">
        <v>#N/A</v>
      </c>
    </row>
    <row r="222" spans="1:10" x14ac:dyDescent="0.25">
      <c r="A222" s="14">
        <v>44287</v>
      </c>
      <c r="B222" s="21">
        <v>138.09</v>
      </c>
      <c r="C222" s="7">
        <v>139.65</v>
      </c>
      <c r="E222" s="23">
        <v>139.65292720972101</v>
      </c>
      <c r="F222" s="22">
        <v>139.75517793539899</v>
      </c>
      <c r="G222" s="21">
        <v>0.99926835823052096</v>
      </c>
      <c r="H222" t="e">
        <v>#N/A</v>
      </c>
      <c r="I222" t="e">
        <v>#N/A</v>
      </c>
      <c r="J222" t="e">
        <v>#N/A</v>
      </c>
    </row>
    <row r="223" spans="1:10" x14ac:dyDescent="0.25">
      <c r="E223" s="23"/>
      <c r="F223" s="19"/>
      <c r="G223" s="19"/>
    </row>
    <row r="224" spans="1:10" x14ac:dyDescent="0.25">
      <c r="A224" s="14"/>
      <c r="B224" s="22"/>
      <c r="C224" s="7"/>
      <c r="E224" s="23"/>
      <c r="F224" s="19"/>
      <c r="G224" s="19"/>
    </row>
    <row r="225" spans="1:7" x14ac:dyDescent="0.25">
      <c r="A225" s="1"/>
      <c r="B225" s="19"/>
      <c r="C225" s="19"/>
      <c r="E225" s="23"/>
      <c r="F225" s="19"/>
      <c r="G225" s="19"/>
    </row>
    <row r="226" spans="1:7" x14ac:dyDescent="0.25">
      <c r="A226" s="1"/>
      <c r="B226" s="19"/>
      <c r="C226" s="19"/>
      <c r="E226" s="23"/>
      <c r="F226" s="19"/>
      <c r="G226" s="19"/>
    </row>
    <row r="227" spans="1:7" x14ac:dyDescent="0.25">
      <c r="A227" s="1"/>
      <c r="E227" s="23"/>
    </row>
    <row r="228" spans="1:7" x14ac:dyDescent="0.25">
      <c r="A228" s="1"/>
    </row>
    <row r="229" spans="1:7" x14ac:dyDescent="0.25">
      <c r="A229" s="1"/>
    </row>
    <row r="230" spans="1:7" x14ac:dyDescent="0.25">
      <c r="A230" s="1"/>
    </row>
    <row r="231" spans="1:7" x14ac:dyDescent="0.25">
      <c r="A231" s="1"/>
    </row>
    <row r="232" spans="1:7" x14ac:dyDescent="0.25">
      <c r="A232" s="1"/>
    </row>
    <row r="233" spans="1:7" x14ac:dyDescent="0.25">
      <c r="A233" s="1"/>
    </row>
    <row r="234" spans="1:7" x14ac:dyDescent="0.25">
      <c r="A234" s="1"/>
    </row>
    <row r="235" spans="1:7" x14ac:dyDescent="0.25">
      <c r="A235" s="1"/>
    </row>
    <row r="236" spans="1:7" x14ac:dyDescent="0.25">
      <c r="A236" s="1"/>
    </row>
    <row r="237" spans="1:7" x14ac:dyDescent="0.25">
      <c r="A237" s="1"/>
    </row>
    <row r="238" spans="1:7" x14ac:dyDescent="0.25">
      <c r="A238" s="1"/>
    </row>
    <row r="239" spans="1:7" x14ac:dyDescent="0.25">
      <c r="A239" s="1"/>
    </row>
    <row r="240" spans="1:7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50DFA-1C06-49EF-BEC9-B4F927666138}">
  <sheetPr codeName="Planilha6"/>
  <dimension ref="A1:AI246"/>
  <sheetViews>
    <sheetView zoomScale="115" zoomScaleNormal="115" workbookViewId="0">
      <selection activeCell="E4" sqref="E4"/>
    </sheetView>
  </sheetViews>
  <sheetFormatPr defaultRowHeight="15" x14ac:dyDescent="0.25"/>
  <cols>
    <col min="1" max="1" width="11.85546875" bestFit="1" customWidth="1"/>
    <col min="2" max="2" width="19.85546875" bestFit="1" customWidth="1"/>
    <col min="3" max="3" width="15.140625" bestFit="1" customWidth="1"/>
    <col min="4" max="4" width="5.140625" customWidth="1"/>
    <col min="5" max="5" width="9.7109375" customWidth="1"/>
    <col min="6" max="6" width="12.28515625" bestFit="1" customWidth="1"/>
    <col min="7" max="7" width="6.28515625" bestFit="1" customWidth="1"/>
    <col min="11" max="11" width="5" customWidth="1"/>
    <col min="12" max="12" width="10.42578125" bestFit="1" customWidth="1"/>
  </cols>
  <sheetData>
    <row r="1" spans="1:35" x14ac:dyDescent="0.25">
      <c r="A1" s="12" t="s">
        <v>23</v>
      </c>
      <c r="E1" s="12" t="s">
        <v>24</v>
      </c>
      <c r="F1" s="12"/>
      <c r="G1" s="12"/>
      <c r="W1" s="12" t="s">
        <v>30</v>
      </c>
    </row>
    <row r="2" spans="1:35" x14ac:dyDescent="0.25">
      <c r="A2" s="13" t="s">
        <v>13</v>
      </c>
      <c r="B2" s="13" t="s">
        <v>35</v>
      </c>
      <c r="C2" s="13" t="s">
        <v>25</v>
      </c>
      <c r="E2" s="13" t="s">
        <v>9</v>
      </c>
      <c r="F2" s="13" t="s">
        <v>31</v>
      </c>
      <c r="G2" s="13" t="s">
        <v>32</v>
      </c>
      <c r="H2" s="13" t="s">
        <v>11</v>
      </c>
      <c r="I2" s="13" t="s">
        <v>10</v>
      </c>
      <c r="J2" s="13" t="s">
        <v>12</v>
      </c>
      <c r="L2" s="13" t="s">
        <v>27</v>
      </c>
      <c r="W2" t="str" cm="1">
        <f t="array" ref="W2:AI21">xlDESSAZ_SeasonalPlot(A3:A222,G3:G222, 12)</f>
        <v/>
      </c>
      <c r="X2">
        <v>1</v>
      </c>
      <c r="Y2">
        <v>2</v>
      </c>
      <c r="Z2">
        <v>3</v>
      </c>
      <c r="AA2">
        <v>4</v>
      </c>
      <c r="AB2">
        <v>5</v>
      </c>
      <c r="AC2">
        <v>6</v>
      </c>
      <c r="AD2">
        <v>7</v>
      </c>
      <c r="AE2">
        <v>8</v>
      </c>
      <c r="AF2">
        <v>9</v>
      </c>
      <c r="AG2">
        <v>10</v>
      </c>
      <c r="AH2">
        <v>11</v>
      </c>
      <c r="AI2">
        <v>12</v>
      </c>
    </row>
    <row r="3" spans="1:35" x14ac:dyDescent="0.25">
      <c r="A3" s="14">
        <v>37257</v>
      </c>
      <c r="B3" s="22">
        <v>72.400000000000006</v>
      </c>
      <c r="C3" s="7">
        <v>77.7</v>
      </c>
      <c r="E3" s="23" cm="1">
        <f t="array" ref="E3:J242">ROUND(xlDESSAZ($A$3:$A$242,$B$3:$B$242,$E$2:$J$2,,,Specs!$B$5),1)</f>
        <v>77.7</v>
      </c>
      <c r="F3" s="22">
        <v>79.7</v>
      </c>
      <c r="G3" s="21">
        <v>-2</v>
      </c>
      <c r="H3" s="7">
        <v>77.3</v>
      </c>
      <c r="I3" s="7">
        <v>77.7</v>
      </c>
      <c r="J3" s="7">
        <v>78.099999999999994</v>
      </c>
      <c r="L3" s="9">
        <f t="shared" ref="L3:L67" si="0">(E3-C3)/C3</f>
        <v>0</v>
      </c>
      <c r="W3">
        <v>2002</v>
      </c>
      <c r="X3">
        <v>-2</v>
      </c>
      <c r="Y3">
        <v>0.4</v>
      </c>
      <c r="Z3">
        <v>0.2</v>
      </c>
      <c r="AA3">
        <v>0</v>
      </c>
      <c r="AB3">
        <v>-0.4</v>
      </c>
      <c r="AC3">
        <v>0.1</v>
      </c>
      <c r="AD3">
        <v>0.4</v>
      </c>
      <c r="AE3">
        <v>-0.9</v>
      </c>
      <c r="AF3">
        <v>0</v>
      </c>
      <c r="AG3">
        <v>0.4</v>
      </c>
      <c r="AH3">
        <v>0.4</v>
      </c>
      <c r="AI3">
        <v>-0.4</v>
      </c>
    </row>
    <row r="4" spans="1:35" x14ac:dyDescent="0.25">
      <c r="A4" s="14">
        <v>37288</v>
      </c>
      <c r="B4" s="22">
        <v>69.7</v>
      </c>
      <c r="C4" s="7">
        <v>80.2</v>
      </c>
      <c r="E4" s="23">
        <v>80.2</v>
      </c>
      <c r="F4" s="22">
        <v>79.7</v>
      </c>
      <c r="G4" s="21">
        <v>0.4</v>
      </c>
      <c r="H4" s="7">
        <v>75.400000000000006</v>
      </c>
      <c r="I4" s="7">
        <v>76</v>
      </c>
      <c r="J4" s="7">
        <v>76.5</v>
      </c>
      <c r="L4" s="9">
        <f t="shared" si="0"/>
        <v>0</v>
      </c>
      <c r="W4">
        <v>2003</v>
      </c>
      <c r="X4">
        <v>-0.1</v>
      </c>
      <c r="Y4">
        <v>0</v>
      </c>
      <c r="Z4">
        <v>0.5</v>
      </c>
      <c r="AA4">
        <v>0.6</v>
      </c>
      <c r="AB4">
        <v>-0.6</v>
      </c>
      <c r="AC4">
        <v>-0.2</v>
      </c>
      <c r="AD4">
        <v>-1.2</v>
      </c>
      <c r="AE4">
        <v>-0.7</v>
      </c>
      <c r="AF4">
        <v>1.2</v>
      </c>
      <c r="AG4">
        <v>0.6</v>
      </c>
      <c r="AH4">
        <v>0.8</v>
      </c>
      <c r="AI4">
        <v>-1.3</v>
      </c>
    </row>
    <row r="5" spans="1:35" x14ac:dyDescent="0.25">
      <c r="A5" s="14">
        <v>37316</v>
      </c>
      <c r="B5" s="22">
        <v>77.400000000000006</v>
      </c>
      <c r="C5" s="7">
        <v>79.8</v>
      </c>
      <c r="E5" s="23">
        <v>79.8</v>
      </c>
      <c r="F5" s="22">
        <v>79.7</v>
      </c>
      <c r="G5" s="21">
        <v>0.2</v>
      </c>
      <c r="H5" s="7">
        <v>83.1</v>
      </c>
      <c r="I5" s="7">
        <v>83.7</v>
      </c>
      <c r="J5" s="7">
        <v>84.4</v>
      </c>
      <c r="L5" s="9">
        <f t="shared" si="0"/>
        <v>0</v>
      </c>
      <c r="W5">
        <v>2004</v>
      </c>
      <c r="X5">
        <v>-0.5</v>
      </c>
      <c r="Y5">
        <v>0.3</v>
      </c>
      <c r="Z5">
        <v>0.1</v>
      </c>
      <c r="AA5">
        <v>0</v>
      </c>
      <c r="AB5">
        <v>0.1</v>
      </c>
      <c r="AC5">
        <v>-0.3</v>
      </c>
      <c r="AD5">
        <v>-0.2</v>
      </c>
      <c r="AE5">
        <v>0.3</v>
      </c>
      <c r="AF5">
        <v>0.5</v>
      </c>
      <c r="AG5">
        <v>-0.3</v>
      </c>
      <c r="AH5">
        <v>-0.5</v>
      </c>
      <c r="AI5">
        <v>0.3</v>
      </c>
    </row>
    <row r="6" spans="1:35" x14ac:dyDescent="0.25">
      <c r="A6" s="14">
        <v>37347</v>
      </c>
      <c r="B6" s="22">
        <v>79.599999999999994</v>
      </c>
      <c r="C6" s="7">
        <v>79.599999999999994</v>
      </c>
      <c r="E6" s="23">
        <v>79.599999999999994</v>
      </c>
      <c r="F6" s="22">
        <v>79.599999999999994</v>
      </c>
      <c r="G6" s="21">
        <v>0</v>
      </c>
      <c r="H6" s="7">
        <v>78.5</v>
      </c>
      <c r="I6" s="7">
        <v>79.3</v>
      </c>
      <c r="J6" s="7">
        <v>80</v>
      </c>
      <c r="L6" s="9">
        <f t="shared" si="0"/>
        <v>0</v>
      </c>
      <c r="W6">
        <v>2005</v>
      </c>
      <c r="X6">
        <v>0.7</v>
      </c>
      <c r="Y6">
        <v>-0.7</v>
      </c>
      <c r="Z6">
        <v>-0.1</v>
      </c>
      <c r="AA6">
        <v>-0.2</v>
      </c>
      <c r="AB6">
        <v>2.6</v>
      </c>
      <c r="AC6">
        <v>0.6</v>
      </c>
      <c r="AD6">
        <v>0</v>
      </c>
      <c r="AE6">
        <v>0.3</v>
      </c>
      <c r="AF6">
        <v>-0.5</v>
      </c>
      <c r="AG6">
        <v>-1.4</v>
      </c>
      <c r="AH6">
        <v>-0.7</v>
      </c>
      <c r="AI6">
        <v>0.6</v>
      </c>
    </row>
    <row r="7" spans="1:35" x14ac:dyDescent="0.25">
      <c r="A7" s="14">
        <v>37377</v>
      </c>
      <c r="B7" s="22">
        <v>80.400000000000006</v>
      </c>
      <c r="C7" s="7">
        <v>79.099999999999994</v>
      </c>
      <c r="E7" s="23">
        <v>79.099999999999994</v>
      </c>
      <c r="F7" s="22">
        <v>79.400000000000006</v>
      </c>
      <c r="G7" s="21">
        <v>-0.4</v>
      </c>
      <c r="H7" s="7">
        <v>85.8</v>
      </c>
      <c r="I7" s="7">
        <v>86.7</v>
      </c>
      <c r="J7" s="7">
        <v>87.5</v>
      </c>
      <c r="L7" s="9">
        <f t="shared" si="0"/>
        <v>0</v>
      </c>
      <c r="W7">
        <v>2006</v>
      </c>
      <c r="X7">
        <v>0.3</v>
      </c>
      <c r="Y7">
        <v>0.4</v>
      </c>
      <c r="Z7">
        <v>-0.6</v>
      </c>
      <c r="AA7">
        <v>0</v>
      </c>
      <c r="AB7">
        <v>0.8</v>
      </c>
      <c r="AC7">
        <v>-0.7</v>
      </c>
      <c r="AD7">
        <v>0.4</v>
      </c>
      <c r="AE7">
        <v>0.3</v>
      </c>
      <c r="AF7">
        <v>-0.8</v>
      </c>
      <c r="AG7">
        <v>-0.7</v>
      </c>
      <c r="AH7">
        <v>0.2</v>
      </c>
      <c r="AI7">
        <v>0.8</v>
      </c>
    </row>
    <row r="8" spans="1:35" x14ac:dyDescent="0.25">
      <c r="A8" s="14">
        <v>37408</v>
      </c>
      <c r="B8" s="22">
        <v>77.5</v>
      </c>
      <c r="C8" s="7">
        <v>79.400000000000006</v>
      </c>
      <c r="E8" s="23">
        <v>79.400000000000006</v>
      </c>
      <c r="F8" s="22">
        <v>79.400000000000006</v>
      </c>
      <c r="G8" s="21">
        <v>0.1</v>
      </c>
      <c r="H8" s="7" t="e">
        <v>#N/A</v>
      </c>
      <c r="I8" s="7" t="e">
        <v>#N/A</v>
      </c>
      <c r="J8" s="7" t="e">
        <v>#N/A</v>
      </c>
      <c r="L8" s="9">
        <f t="shared" si="0"/>
        <v>0</v>
      </c>
      <c r="W8">
        <v>2007</v>
      </c>
      <c r="X8">
        <v>-0.6</v>
      </c>
      <c r="Y8">
        <v>-0.2</v>
      </c>
      <c r="Z8">
        <v>0</v>
      </c>
      <c r="AA8">
        <v>0.4</v>
      </c>
      <c r="AB8">
        <v>0.1</v>
      </c>
      <c r="AC8">
        <v>0.3</v>
      </c>
      <c r="AD8">
        <v>-0.6</v>
      </c>
      <c r="AE8">
        <v>0.4</v>
      </c>
      <c r="AF8">
        <v>-0.8</v>
      </c>
      <c r="AG8">
        <v>1</v>
      </c>
      <c r="AH8">
        <v>-0.4</v>
      </c>
      <c r="AI8">
        <v>-0.5</v>
      </c>
    </row>
    <row r="9" spans="1:35" x14ac:dyDescent="0.25">
      <c r="A9" s="14">
        <v>37438</v>
      </c>
      <c r="B9" s="22">
        <v>83.3</v>
      </c>
      <c r="C9" s="7">
        <v>79.7</v>
      </c>
      <c r="E9" s="23">
        <v>79.7</v>
      </c>
      <c r="F9" s="22">
        <v>79.400000000000006</v>
      </c>
      <c r="G9" s="21">
        <v>0.4</v>
      </c>
      <c r="H9" s="7" t="e">
        <v>#N/A</v>
      </c>
      <c r="I9" s="7" t="e">
        <v>#N/A</v>
      </c>
      <c r="J9" s="7" t="e">
        <v>#N/A</v>
      </c>
      <c r="L9" s="9">
        <f t="shared" si="0"/>
        <v>0</v>
      </c>
      <c r="W9">
        <v>2008</v>
      </c>
      <c r="X9">
        <v>0.9</v>
      </c>
      <c r="Y9">
        <v>0.1</v>
      </c>
      <c r="Z9">
        <v>-0.1</v>
      </c>
      <c r="AA9">
        <v>-0.7</v>
      </c>
      <c r="AB9">
        <v>-0.6</v>
      </c>
      <c r="AC9">
        <v>0.8</v>
      </c>
      <c r="AD9">
        <v>0.7</v>
      </c>
      <c r="AE9">
        <v>-0.6</v>
      </c>
      <c r="AF9">
        <v>1.1000000000000001</v>
      </c>
      <c r="AG9">
        <v>-1.7</v>
      </c>
      <c r="AH9">
        <v>-0.1</v>
      </c>
      <c r="AI9">
        <v>-10</v>
      </c>
    </row>
    <row r="10" spans="1:35" x14ac:dyDescent="0.25">
      <c r="A10" s="14">
        <v>37469</v>
      </c>
      <c r="B10" s="22">
        <v>83.6</v>
      </c>
      <c r="C10" s="7">
        <v>78.599999999999994</v>
      </c>
      <c r="E10" s="23">
        <v>78.599999999999994</v>
      </c>
      <c r="F10" s="22">
        <v>79.5</v>
      </c>
      <c r="G10" s="21">
        <v>-0.9</v>
      </c>
      <c r="H10" s="7" t="e">
        <v>#N/A</v>
      </c>
      <c r="I10" s="7" t="e">
        <v>#N/A</v>
      </c>
      <c r="J10" s="7" t="e">
        <v>#N/A</v>
      </c>
      <c r="L10" s="9">
        <f t="shared" si="0"/>
        <v>0</v>
      </c>
      <c r="W10">
        <v>2009</v>
      </c>
      <c r="X10">
        <v>-7.3</v>
      </c>
      <c r="Y10">
        <v>-4.8</v>
      </c>
      <c r="Z10">
        <v>-3.9</v>
      </c>
      <c r="AA10">
        <v>-2.8</v>
      </c>
      <c r="AB10">
        <v>-1.7</v>
      </c>
      <c r="AC10">
        <v>-1.1000000000000001</v>
      </c>
      <c r="AD10">
        <v>-1</v>
      </c>
      <c r="AE10">
        <v>-0.8</v>
      </c>
      <c r="AF10">
        <v>-0.5</v>
      </c>
      <c r="AG10">
        <v>0</v>
      </c>
      <c r="AH10">
        <v>0.4</v>
      </c>
      <c r="AI10">
        <v>-0.6</v>
      </c>
    </row>
    <row r="11" spans="1:35" x14ac:dyDescent="0.25">
      <c r="A11" s="14">
        <v>37500</v>
      </c>
      <c r="B11" s="22">
        <v>82.1</v>
      </c>
      <c r="C11" s="7">
        <v>79.599999999999994</v>
      </c>
      <c r="E11" s="23">
        <v>79.599999999999994</v>
      </c>
      <c r="F11" s="22">
        <v>79.599999999999994</v>
      </c>
      <c r="G11" s="21">
        <v>0</v>
      </c>
      <c r="H11" s="7" t="e">
        <v>#N/A</v>
      </c>
      <c r="I11" s="7" t="e">
        <v>#N/A</v>
      </c>
      <c r="J11" s="7" t="e">
        <v>#N/A</v>
      </c>
      <c r="L11" s="9">
        <f t="shared" si="0"/>
        <v>0</v>
      </c>
      <c r="W11">
        <v>2010</v>
      </c>
      <c r="X11">
        <v>0</v>
      </c>
      <c r="Y11">
        <v>-1.1000000000000001</v>
      </c>
      <c r="Z11">
        <v>0.7</v>
      </c>
      <c r="AA11">
        <v>0.5</v>
      </c>
      <c r="AB11">
        <v>0.3</v>
      </c>
      <c r="AC11">
        <v>-0.1</v>
      </c>
      <c r="AD11">
        <v>-0.2</v>
      </c>
      <c r="AE11">
        <v>-0.3</v>
      </c>
      <c r="AF11">
        <v>0.1</v>
      </c>
      <c r="AG11">
        <v>-0.4</v>
      </c>
      <c r="AH11">
        <v>0.1</v>
      </c>
      <c r="AI11">
        <v>0</v>
      </c>
    </row>
    <row r="12" spans="1:35" x14ac:dyDescent="0.25">
      <c r="A12" s="14">
        <v>37530</v>
      </c>
      <c r="B12" s="22">
        <v>89.2</v>
      </c>
      <c r="C12" s="7">
        <v>80.099999999999994</v>
      </c>
      <c r="E12" s="23">
        <v>80.099999999999994</v>
      </c>
      <c r="F12" s="22">
        <v>79.8</v>
      </c>
      <c r="G12" s="21">
        <v>0.4</v>
      </c>
      <c r="H12" s="7" t="e">
        <v>#N/A</v>
      </c>
      <c r="I12" s="7" t="e">
        <v>#N/A</v>
      </c>
      <c r="J12" s="7" t="e">
        <v>#N/A</v>
      </c>
      <c r="L12" s="9">
        <f t="shared" si="0"/>
        <v>0</v>
      </c>
      <c r="W12">
        <v>2011</v>
      </c>
      <c r="X12">
        <v>-0.5</v>
      </c>
      <c r="Y12">
        <v>0.3</v>
      </c>
      <c r="Z12">
        <v>0.6</v>
      </c>
      <c r="AA12">
        <v>-2.2000000000000002</v>
      </c>
      <c r="AB12">
        <v>1.2</v>
      </c>
      <c r="AC12">
        <v>-0.7</v>
      </c>
      <c r="AD12">
        <v>0.5</v>
      </c>
      <c r="AE12">
        <v>0.4</v>
      </c>
      <c r="AF12">
        <v>-0.6</v>
      </c>
      <c r="AG12">
        <v>-0.8</v>
      </c>
      <c r="AH12">
        <v>0.5</v>
      </c>
      <c r="AI12">
        <v>3.5</v>
      </c>
    </row>
    <row r="13" spans="1:35" x14ac:dyDescent="0.25">
      <c r="A13" s="14">
        <v>37561</v>
      </c>
      <c r="B13" s="22">
        <v>83.9</v>
      </c>
      <c r="C13" s="7">
        <v>80.3</v>
      </c>
      <c r="E13" s="23">
        <v>80.3</v>
      </c>
      <c r="F13" s="22">
        <v>79.900000000000006</v>
      </c>
      <c r="G13" s="21">
        <v>0.4</v>
      </c>
      <c r="H13" s="7" t="e">
        <v>#N/A</v>
      </c>
      <c r="I13" s="7" t="e">
        <v>#N/A</v>
      </c>
      <c r="J13" s="7" t="e">
        <v>#N/A</v>
      </c>
      <c r="L13" s="9">
        <f t="shared" si="0"/>
        <v>0</v>
      </c>
      <c r="W13">
        <v>2012</v>
      </c>
      <c r="X13">
        <v>-0.7</v>
      </c>
      <c r="Y13">
        <v>0.5</v>
      </c>
      <c r="Z13">
        <v>-0.2</v>
      </c>
      <c r="AA13">
        <v>-0.1</v>
      </c>
      <c r="AB13">
        <v>0</v>
      </c>
      <c r="AC13">
        <v>-0.5</v>
      </c>
      <c r="AD13">
        <v>0.5</v>
      </c>
      <c r="AE13">
        <v>2</v>
      </c>
      <c r="AF13">
        <v>-0.4</v>
      </c>
      <c r="AG13">
        <v>0.9</v>
      </c>
      <c r="AH13">
        <v>-0.8</v>
      </c>
      <c r="AI13">
        <v>-0.1</v>
      </c>
    </row>
    <row r="14" spans="1:35" x14ac:dyDescent="0.25">
      <c r="A14" s="14">
        <v>37591</v>
      </c>
      <c r="B14" s="22">
        <v>74.599999999999994</v>
      </c>
      <c r="C14" s="7">
        <v>79.599999999999994</v>
      </c>
      <c r="E14" s="23">
        <v>79.599999999999994</v>
      </c>
      <c r="F14" s="22">
        <v>79.900000000000006</v>
      </c>
      <c r="G14" s="21">
        <v>-0.4</v>
      </c>
      <c r="H14" s="7" t="e">
        <v>#N/A</v>
      </c>
      <c r="I14" s="7" t="e">
        <v>#N/A</v>
      </c>
      <c r="J14" s="7" t="e">
        <v>#N/A</v>
      </c>
      <c r="L14" s="9">
        <f t="shared" si="0"/>
        <v>0</v>
      </c>
      <c r="W14">
        <v>2013</v>
      </c>
      <c r="X14">
        <v>0.6</v>
      </c>
      <c r="Y14">
        <v>-2.1</v>
      </c>
      <c r="Z14">
        <v>-0.8</v>
      </c>
      <c r="AA14">
        <v>0.7</v>
      </c>
      <c r="AB14">
        <v>-0.1</v>
      </c>
      <c r="AC14">
        <v>0.4</v>
      </c>
      <c r="AD14">
        <v>-0.6</v>
      </c>
      <c r="AE14">
        <v>-0.1</v>
      </c>
      <c r="AF14">
        <v>0.6</v>
      </c>
      <c r="AG14">
        <v>-0.3</v>
      </c>
      <c r="AH14">
        <v>0.6</v>
      </c>
      <c r="AI14">
        <v>-2.9</v>
      </c>
    </row>
    <row r="15" spans="1:35" x14ac:dyDescent="0.25">
      <c r="A15" s="14">
        <v>37622</v>
      </c>
      <c r="B15" s="22">
        <v>74</v>
      </c>
      <c r="C15" s="7">
        <v>79.7</v>
      </c>
      <c r="E15" s="23">
        <v>79.7</v>
      </c>
      <c r="F15" s="22">
        <v>79.900000000000006</v>
      </c>
      <c r="G15" s="21">
        <v>-0.1</v>
      </c>
      <c r="H15" s="7" t="e">
        <v>#N/A</v>
      </c>
      <c r="I15" s="7" t="e">
        <v>#N/A</v>
      </c>
      <c r="J15" s="7" t="e">
        <v>#N/A</v>
      </c>
      <c r="L15" s="9">
        <f t="shared" si="0"/>
        <v>0</v>
      </c>
      <c r="W15">
        <v>2014</v>
      </c>
      <c r="X15">
        <v>-0.9</v>
      </c>
      <c r="Y15">
        <v>0.3</v>
      </c>
      <c r="Z15">
        <v>0.6</v>
      </c>
      <c r="AA15">
        <v>0.3</v>
      </c>
      <c r="AB15">
        <v>-0.6</v>
      </c>
      <c r="AC15">
        <v>-3</v>
      </c>
      <c r="AD15">
        <v>-0.7</v>
      </c>
      <c r="AE15">
        <v>0.1</v>
      </c>
      <c r="AF15">
        <v>0.3</v>
      </c>
      <c r="AG15">
        <v>0.7</v>
      </c>
      <c r="AH15">
        <v>0.2</v>
      </c>
      <c r="AI15">
        <v>-2.1</v>
      </c>
    </row>
    <row r="16" spans="1:35" x14ac:dyDescent="0.25">
      <c r="A16" s="14">
        <v>37653</v>
      </c>
      <c r="B16" s="22">
        <v>71.8</v>
      </c>
      <c r="C16" s="7">
        <v>79.7</v>
      </c>
      <c r="E16" s="23">
        <v>79.7</v>
      </c>
      <c r="F16" s="22">
        <v>79.7</v>
      </c>
      <c r="G16" s="21">
        <v>0</v>
      </c>
      <c r="H16" s="7" t="e">
        <v>#N/A</v>
      </c>
      <c r="I16" s="7" t="e">
        <v>#N/A</v>
      </c>
      <c r="J16" s="7" t="e">
        <v>#N/A</v>
      </c>
      <c r="L16" s="9">
        <f t="shared" si="0"/>
        <v>0</v>
      </c>
      <c r="W16">
        <v>2015</v>
      </c>
      <c r="X16">
        <v>-0.5</v>
      </c>
      <c r="Y16">
        <v>0</v>
      </c>
      <c r="Z16">
        <v>0.7</v>
      </c>
      <c r="AA16">
        <v>-0.3</v>
      </c>
      <c r="AB16">
        <v>0</v>
      </c>
      <c r="AC16">
        <v>0</v>
      </c>
      <c r="AD16">
        <v>-0.8</v>
      </c>
      <c r="AE16">
        <v>0.9</v>
      </c>
      <c r="AF16">
        <v>-0.2</v>
      </c>
      <c r="AG16">
        <v>0.6</v>
      </c>
      <c r="AH16">
        <v>-0.2</v>
      </c>
      <c r="AI16">
        <v>-1.1000000000000001</v>
      </c>
    </row>
    <row r="17" spans="1:35" x14ac:dyDescent="0.25">
      <c r="A17" s="14">
        <v>37681</v>
      </c>
      <c r="B17" s="22">
        <v>77.400000000000006</v>
      </c>
      <c r="C17" s="7">
        <v>79.8</v>
      </c>
      <c r="E17" s="23">
        <v>79.8</v>
      </c>
      <c r="F17" s="22">
        <v>79.3</v>
      </c>
      <c r="G17" s="21">
        <v>0.5</v>
      </c>
      <c r="H17" s="7" t="e">
        <v>#N/A</v>
      </c>
      <c r="I17" s="7" t="e">
        <v>#N/A</v>
      </c>
      <c r="J17" s="7" t="e">
        <v>#N/A</v>
      </c>
      <c r="L17" s="9">
        <f t="shared" si="0"/>
        <v>0</v>
      </c>
      <c r="W17">
        <v>2016</v>
      </c>
      <c r="X17">
        <v>0.6</v>
      </c>
      <c r="Y17">
        <v>-0.5</v>
      </c>
      <c r="Z17">
        <v>0.2</v>
      </c>
      <c r="AA17">
        <v>0</v>
      </c>
      <c r="AB17">
        <v>0.5</v>
      </c>
      <c r="AC17">
        <v>-0.3</v>
      </c>
      <c r="AD17">
        <v>0.9</v>
      </c>
      <c r="AE17">
        <v>-0.8</v>
      </c>
      <c r="AF17">
        <v>0.3</v>
      </c>
      <c r="AG17">
        <v>-0.9</v>
      </c>
      <c r="AH17">
        <v>-0.6</v>
      </c>
      <c r="AI17">
        <v>0.4</v>
      </c>
    </row>
    <row r="18" spans="1:35" x14ac:dyDescent="0.25">
      <c r="A18" s="14">
        <v>37712</v>
      </c>
      <c r="B18" s="22">
        <v>76.5</v>
      </c>
      <c r="C18" s="7">
        <v>79.400000000000006</v>
      </c>
      <c r="E18" s="23">
        <v>79.400000000000006</v>
      </c>
      <c r="F18" s="22">
        <v>78.8</v>
      </c>
      <c r="G18" s="21">
        <v>0.6</v>
      </c>
      <c r="H18" s="7" t="e">
        <v>#N/A</v>
      </c>
      <c r="I18" s="7" t="e">
        <v>#N/A</v>
      </c>
      <c r="J18" s="7" t="e">
        <v>#N/A</v>
      </c>
      <c r="L18" s="9">
        <f t="shared" si="0"/>
        <v>0</v>
      </c>
      <c r="W18">
        <v>2017</v>
      </c>
      <c r="X18">
        <v>0.8</v>
      </c>
      <c r="Y18">
        <v>1.5</v>
      </c>
      <c r="Z18">
        <v>-0.5</v>
      </c>
      <c r="AA18">
        <v>-0.4</v>
      </c>
      <c r="AB18">
        <v>-0.2</v>
      </c>
      <c r="AC18">
        <v>0.3</v>
      </c>
      <c r="AD18">
        <v>0.3</v>
      </c>
      <c r="AE18">
        <v>-0.3</v>
      </c>
      <c r="AF18">
        <v>-0.3</v>
      </c>
      <c r="AG18">
        <v>0.1</v>
      </c>
      <c r="AH18">
        <v>0.1</v>
      </c>
      <c r="AI18">
        <v>2.7</v>
      </c>
    </row>
    <row r="19" spans="1:35" x14ac:dyDescent="0.25">
      <c r="A19" s="14">
        <v>37742</v>
      </c>
      <c r="B19" s="22">
        <v>79.7</v>
      </c>
      <c r="C19" s="7">
        <v>77.8</v>
      </c>
      <c r="E19" s="23">
        <v>77.8</v>
      </c>
      <c r="F19" s="22">
        <v>78.5</v>
      </c>
      <c r="G19" s="21">
        <v>-0.6</v>
      </c>
      <c r="H19" s="7" t="e">
        <v>#N/A</v>
      </c>
      <c r="I19" s="7" t="e">
        <v>#N/A</v>
      </c>
      <c r="J19" s="7" t="e">
        <v>#N/A</v>
      </c>
      <c r="L19" s="9">
        <f t="shared" si="0"/>
        <v>0</v>
      </c>
      <c r="W19">
        <v>2018</v>
      </c>
      <c r="X19">
        <v>0</v>
      </c>
      <c r="Y19">
        <v>-0.7</v>
      </c>
      <c r="Z19">
        <v>0.1</v>
      </c>
      <c r="AA19">
        <v>0.2</v>
      </c>
      <c r="AB19">
        <v>-9.8000000000000007</v>
      </c>
      <c r="AC19">
        <v>0.3</v>
      </c>
      <c r="AD19">
        <v>0.4</v>
      </c>
      <c r="AE19">
        <v>-0.2</v>
      </c>
      <c r="AF19">
        <v>-2</v>
      </c>
      <c r="AG19">
        <v>-0.5</v>
      </c>
      <c r="AH19">
        <v>-0.1</v>
      </c>
      <c r="AI19">
        <v>0.5</v>
      </c>
    </row>
    <row r="20" spans="1:35" x14ac:dyDescent="0.25">
      <c r="A20" s="14">
        <v>37773</v>
      </c>
      <c r="B20" s="22">
        <v>76.3</v>
      </c>
      <c r="C20" s="7">
        <v>78.2</v>
      </c>
      <c r="E20" s="23">
        <v>78.2</v>
      </c>
      <c r="F20" s="22">
        <v>78.3</v>
      </c>
      <c r="G20" s="21">
        <v>-0.2</v>
      </c>
      <c r="H20" s="7" t="e">
        <v>#N/A</v>
      </c>
      <c r="I20" s="7" t="e">
        <v>#N/A</v>
      </c>
      <c r="J20" s="7" t="e">
        <v>#N/A</v>
      </c>
      <c r="L20" s="9">
        <f t="shared" si="0"/>
        <v>0</v>
      </c>
      <c r="W20">
        <v>2019</v>
      </c>
      <c r="X20">
        <v>-0.5</v>
      </c>
      <c r="Y20">
        <v>0.1</v>
      </c>
      <c r="Z20">
        <v>-0.1</v>
      </c>
      <c r="AA20">
        <v>0.4</v>
      </c>
      <c r="AB20">
        <v>0.4</v>
      </c>
      <c r="AC20">
        <v>-0.3</v>
      </c>
      <c r="AD20">
        <v>-0.8</v>
      </c>
      <c r="AE20">
        <v>0.4</v>
      </c>
      <c r="AF20">
        <v>0.3</v>
      </c>
      <c r="AG20">
        <v>2.1</v>
      </c>
      <c r="AH20">
        <v>0.3</v>
      </c>
      <c r="AI20">
        <v>-0.6</v>
      </c>
    </row>
    <row r="21" spans="1:35" x14ac:dyDescent="0.25">
      <c r="A21" s="14">
        <v>37803</v>
      </c>
      <c r="B21" s="22">
        <v>81.3</v>
      </c>
      <c r="C21" s="7">
        <v>77.400000000000006</v>
      </c>
      <c r="E21" s="23">
        <v>77.400000000000006</v>
      </c>
      <c r="F21" s="22">
        <v>78.599999999999994</v>
      </c>
      <c r="G21" s="21">
        <v>-1.2</v>
      </c>
      <c r="H21" s="7" t="e">
        <v>#N/A</v>
      </c>
      <c r="I21" s="7" t="e">
        <v>#N/A</v>
      </c>
      <c r="J21" s="7" t="e">
        <v>#N/A</v>
      </c>
      <c r="L21" s="9">
        <f t="shared" si="0"/>
        <v>0</v>
      </c>
      <c r="W21">
        <v>2020</v>
      </c>
      <c r="X21">
        <v>-0.3</v>
      </c>
      <c r="Y21">
        <v>0.4</v>
      </c>
      <c r="Z21">
        <v>-7</v>
      </c>
      <c r="AA21">
        <v>-23.5</v>
      </c>
      <c r="AB21" t="e">
        <v>#N/A</v>
      </c>
      <c r="AC21" t="e">
        <v>#N/A</v>
      </c>
      <c r="AD21" t="e">
        <v>#N/A</v>
      </c>
      <c r="AE21" t="e">
        <v>#N/A</v>
      </c>
      <c r="AF21" t="e">
        <v>#N/A</v>
      </c>
      <c r="AG21" t="e">
        <v>#N/A</v>
      </c>
      <c r="AH21" t="e">
        <v>#N/A</v>
      </c>
      <c r="AI21" t="e">
        <v>#N/A</v>
      </c>
    </row>
    <row r="22" spans="1:35" x14ac:dyDescent="0.25">
      <c r="A22" s="14">
        <v>37834</v>
      </c>
      <c r="B22" s="22">
        <v>81.599999999999994</v>
      </c>
      <c r="C22" s="7">
        <v>78.5</v>
      </c>
      <c r="E22" s="23">
        <v>78.5</v>
      </c>
      <c r="F22" s="22">
        <v>79.2</v>
      </c>
      <c r="G22" s="21">
        <v>-0.7</v>
      </c>
      <c r="H22" s="7" t="e">
        <v>#N/A</v>
      </c>
      <c r="I22" s="7" t="e">
        <v>#N/A</v>
      </c>
      <c r="J22" s="7" t="e">
        <v>#N/A</v>
      </c>
      <c r="L22" s="9">
        <f t="shared" si="0"/>
        <v>0</v>
      </c>
    </row>
    <row r="23" spans="1:35" x14ac:dyDescent="0.25">
      <c r="A23" s="14">
        <v>37865</v>
      </c>
      <c r="B23" s="22">
        <v>85.7</v>
      </c>
      <c r="C23" s="7">
        <v>81.3</v>
      </c>
      <c r="E23" s="23">
        <v>81.3</v>
      </c>
      <c r="F23" s="22">
        <v>80.099999999999994</v>
      </c>
      <c r="G23" s="21">
        <v>1.2</v>
      </c>
      <c r="H23" s="7" t="e">
        <v>#N/A</v>
      </c>
      <c r="I23" s="7" t="e">
        <v>#N/A</v>
      </c>
      <c r="J23" s="7" t="e">
        <v>#N/A</v>
      </c>
      <c r="L23" s="9">
        <f t="shared" si="0"/>
        <v>0</v>
      </c>
    </row>
    <row r="24" spans="1:35" x14ac:dyDescent="0.25">
      <c r="A24" s="14">
        <v>37895</v>
      </c>
      <c r="B24" s="22">
        <v>90</v>
      </c>
      <c r="C24" s="7">
        <v>81.599999999999994</v>
      </c>
      <c r="E24" s="23">
        <v>81.599999999999994</v>
      </c>
      <c r="F24" s="22">
        <v>81</v>
      </c>
      <c r="G24" s="21">
        <v>0.6</v>
      </c>
      <c r="H24" s="7" t="e">
        <v>#N/A</v>
      </c>
      <c r="I24" s="7" t="e">
        <v>#N/A</v>
      </c>
      <c r="J24" s="7" t="e">
        <v>#N/A</v>
      </c>
      <c r="L24" s="9">
        <f t="shared" si="0"/>
        <v>0</v>
      </c>
    </row>
    <row r="25" spans="1:35" x14ac:dyDescent="0.25">
      <c r="A25" s="14">
        <v>37926</v>
      </c>
      <c r="B25" s="22">
        <v>84.6</v>
      </c>
      <c r="C25" s="7">
        <v>82.6</v>
      </c>
      <c r="E25" s="23">
        <v>82.6</v>
      </c>
      <c r="F25" s="22">
        <v>81.8</v>
      </c>
      <c r="G25" s="21">
        <v>0.8</v>
      </c>
      <c r="H25" s="7" t="e">
        <v>#N/A</v>
      </c>
      <c r="I25" s="7" t="e">
        <v>#N/A</v>
      </c>
      <c r="J25" s="7" t="e">
        <v>#N/A</v>
      </c>
      <c r="L25" s="9">
        <f t="shared" si="0"/>
        <v>0</v>
      </c>
    </row>
    <row r="26" spans="1:35" x14ac:dyDescent="0.25">
      <c r="A26" s="14">
        <v>37956</v>
      </c>
      <c r="B26" s="22">
        <v>77.900000000000006</v>
      </c>
      <c r="C26" s="7">
        <v>81.2</v>
      </c>
      <c r="E26" s="23">
        <v>81.2</v>
      </c>
      <c r="F26" s="22">
        <v>82.5</v>
      </c>
      <c r="G26" s="21">
        <v>-1.3</v>
      </c>
      <c r="H26" s="7" t="e">
        <v>#N/A</v>
      </c>
      <c r="I26" s="7" t="e">
        <v>#N/A</v>
      </c>
      <c r="J26" s="7" t="e">
        <v>#N/A</v>
      </c>
      <c r="L26" s="9">
        <f t="shared" si="0"/>
        <v>0</v>
      </c>
    </row>
    <row r="27" spans="1:35" x14ac:dyDescent="0.25">
      <c r="A27" s="14">
        <v>37987</v>
      </c>
      <c r="B27" s="22">
        <v>76.8</v>
      </c>
      <c r="C27" s="7">
        <v>82.7</v>
      </c>
      <c r="E27" s="23">
        <v>82.7</v>
      </c>
      <c r="F27" s="22">
        <v>83.1</v>
      </c>
      <c r="G27" s="21">
        <v>-0.5</v>
      </c>
      <c r="H27" s="7" t="e">
        <v>#N/A</v>
      </c>
      <c r="I27" s="7" t="e">
        <v>#N/A</v>
      </c>
      <c r="J27" s="7" t="e">
        <v>#N/A</v>
      </c>
      <c r="L27" s="9">
        <f t="shared" si="0"/>
        <v>0</v>
      </c>
    </row>
    <row r="28" spans="1:35" x14ac:dyDescent="0.25">
      <c r="A28" s="14">
        <v>38018</v>
      </c>
      <c r="B28" s="22">
        <v>74</v>
      </c>
      <c r="C28" s="7">
        <v>84</v>
      </c>
      <c r="E28" s="23">
        <v>84</v>
      </c>
      <c r="F28" s="22">
        <v>83.8</v>
      </c>
      <c r="G28" s="21">
        <v>0.3</v>
      </c>
      <c r="H28" s="7" t="e">
        <v>#N/A</v>
      </c>
      <c r="I28" s="7" t="e">
        <v>#N/A</v>
      </c>
      <c r="J28" s="7" t="e">
        <v>#N/A</v>
      </c>
      <c r="L28" s="9">
        <f t="shared" si="0"/>
        <v>0</v>
      </c>
    </row>
    <row r="29" spans="1:35" x14ac:dyDescent="0.25">
      <c r="A29" s="14">
        <v>38047</v>
      </c>
      <c r="B29" s="22">
        <v>86.9</v>
      </c>
      <c r="C29" s="7">
        <v>84.5</v>
      </c>
      <c r="E29" s="23">
        <v>84.5</v>
      </c>
      <c r="F29" s="22">
        <v>84.4</v>
      </c>
      <c r="G29" s="21">
        <v>0.1</v>
      </c>
      <c r="H29" s="7" t="e">
        <v>#N/A</v>
      </c>
      <c r="I29" s="7" t="e">
        <v>#N/A</v>
      </c>
      <c r="J29" s="7" t="e">
        <v>#N/A</v>
      </c>
      <c r="L29" s="9">
        <f t="shared" si="0"/>
        <v>0</v>
      </c>
    </row>
    <row r="30" spans="1:35" x14ac:dyDescent="0.25">
      <c r="A30" s="14">
        <v>38078</v>
      </c>
      <c r="B30" s="22">
        <v>82.2</v>
      </c>
      <c r="C30" s="7">
        <v>85.1</v>
      </c>
      <c r="E30" s="23">
        <v>85.1</v>
      </c>
      <c r="F30" s="22">
        <v>85.1</v>
      </c>
      <c r="G30" s="21">
        <v>0</v>
      </c>
      <c r="H30" s="7" t="e">
        <v>#N/A</v>
      </c>
      <c r="I30" s="7" t="e">
        <v>#N/A</v>
      </c>
      <c r="J30" s="7" t="e">
        <v>#N/A</v>
      </c>
      <c r="L30" s="9">
        <f t="shared" si="0"/>
        <v>0</v>
      </c>
    </row>
    <row r="31" spans="1:35" x14ac:dyDescent="0.25">
      <c r="A31" s="14">
        <v>38108</v>
      </c>
      <c r="B31" s="22">
        <v>86.3</v>
      </c>
      <c r="C31" s="7">
        <v>85.9</v>
      </c>
      <c r="E31" s="23">
        <v>85.9</v>
      </c>
      <c r="F31" s="22">
        <v>85.8</v>
      </c>
      <c r="G31" s="21">
        <v>0.1</v>
      </c>
      <c r="H31" s="7" t="e">
        <v>#N/A</v>
      </c>
      <c r="I31" s="7" t="e">
        <v>#N/A</v>
      </c>
      <c r="J31" s="7" t="e">
        <v>#N/A</v>
      </c>
      <c r="L31" s="9">
        <f t="shared" si="0"/>
        <v>0</v>
      </c>
    </row>
    <row r="32" spans="1:35" x14ac:dyDescent="0.25">
      <c r="A32" s="14">
        <v>38139</v>
      </c>
      <c r="B32" s="22">
        <v>86.1</v>
      </c>
      <c r="C32" s="7">
        <v>86.1</v>
      </c>
      <c r="E32" s="23">
        <v>86.1</v>
      </c>
      <c r="F32" s="22">
        <v>86.4</v>
      </c>
      <c r="G32" s="21">
        <v>-0.3</v>
      </c>
      <c r="H32" s="7" t="e">
        <v>#N/A</v>
      </c>
      <c r="I32" s="7" t="e">
        <v>#N/A</v>
      </c>
      <c r="J32" s="7" t="e">
        <v>#N/A</v>
      </c>
      <c r="L32" s="9">
        <f t="shared" si="0"/>
        <v>0</v>
      </c>
    </row>
    <row r="33" spans="1:12" x14ac:dyDescent="0.25">
      <c r="A33" s="14">
        <v>38169</v>
      </c>
      <c r="B33" s="22">
        <v>90.1</v>
      </c>
      <c r="C33" s="7">
        <v>86.7</v>
      </c>
      <c r="E33" s="23">
        <v>86.7</v>
      </c>
      <c r="F33" s="22">
        <v>86.9</v>
      </c>
      <c r="G33" s="21">
        <v>-0.2</v>
      </c>
      <c r="H33" s="7" t="e">
        <v>#N/A</v>
      </c>
      <c r="I33" s="7" t="e">
        <v>#N/A</v>
      </c>
      <c r="J33" s="7" t="e">
        <v>#N/A</v>
      </c>
      <c r="L33" s="9">
        <f t="shared" si="0"/>
        <v>0</v>
      </c>
    </row>
    <row r="34" spans="1:12" x14ac:dyDescent="0.25">
      <c r="A34" s="14">
        <v>38200</v>
      </c>
      <c r="B34" s="22">
        <v>92.1</v>
      </c>
      <c r="C34" s="7">
        <v>87.6</v>
      </c>
      <c r="E34" s="23">
        <v>87.6</v>
      </c>
      <c r="F34" s="22">
        <v>87.3</v>
      </c>
      <c r="G34" s="21">
        <v>0.3</v>
      </c>
      <c r="H34" s="7" t="e">
        <v>#N/A</v>
      </c>
      <c r="I34" s="7" t="e">
        <v>#N/A</v>
      </c>
      <c r="J34" s="7" t="e">
        <v>#N/A</v>
      </c>
      <c r="L34" s="9">
        <f t="shared" si="0"/>
        <v>0</v>
      </c>
    </row>
    <row r="35" spans="1:12" x14ac:dyDescent="0.25">
      <c r="A35" s="14">
        <v>38231</v>
      </c>
      <c r="B35" s="22">
        <v>92.1</v>
      </c>
      <c r="C35" s="7">
        <v>88.2</v>
      </c>
      <c r="E35" s="23">
        <v>88.2</v>
      </c>
      <c r="F35" s="22">
        <v>87.7</v>
      </c>
      <c r="G35" s="21">
        <v>0.5</v>
      </c>
      <c r="H35" s="7" t="e">
        <v>#N/A</v>
      </c>
      <c r="I35" s="7" t="e">
        <v>#N/A</v>
      </c>
      <c r="J35" s="7" t="e">
        <v>#N/A</v>
      </c>
      <c r="L35" s="9">
        <f t="shared" si="0"/>
        <v>0</v>
      </c>
    </row>
    <row r="36" spans="1:12" x14ac:dyDescent="0.25">
      <c r="A36" s="14">
        <v>38261</v>
      </c>
      <c r="B36" s="22">
        <v>93.5</v>
      </c>
      <c r="C36" s="7">
        <v>87.5</v>
      </c>
      <c r="E36" s="23">
        <v>87.5</v>
      </c>
      <c r="F36" s="22">
        <v>87.9</v>
      </c>
      <c r="G36" s="21">
        <v>-0.3</v>
      </c>
      <c r="H36" s="7" t="e">
        <v>#N/A</v>
      </c>
      <c r="I36" s="7" t="e">
        <v>#N/A</v>
      </c>
      <c r="J36" s="7" t="e">
        <v>#N/A</v>
      </c>
      <c r="L36" s="9">
        <f t="shared" si="0"/>
        <v>0</v>
      </c>
    </row>
    <row r="37" spans="1:12" x14ac:dyDescent="0.25">
      <c r="A37" s="14">
        <v>38292</v>
      </c>
      <c r="B37" s="22">
        <v>91.8</v>
      </c>
      <c r="C37" s="7">
        <v>87.5</v>
      </c>
      <c r="E37" s="23">
        <v>87.5</v>
      </c>
      <c r="F37" s="22">
        <v>88</v>
      </c>
      <c r="G37" s="21">
        <v>-0.5</v>
      </c>
      <c r="H37" s="7" t="e">
        <v>#N/A</v>
      </c>
      <c r="I37" s="7" t="e">
        <v>#N/A</v>
      </c>
      <c r="J37" s="7" t="e">
        <v>#N/A</v>
      </c>
      <c r="L37" s="9">
        <f t="shared" si="0"/>
        <v>0</v>
      </c>
    </row>
    <row r="38" spans="1:12" x14ac:dyDescent="0.25">
      <c r="A38" s="14">
        <v>38322</v>
      </c>
      <c r="B38" s="22">
        <v>84.7</v>
      </c>
      <c r="C38" s="7">
        <v>88.3</v>
      </c>
      <c r="E38" s="23">
        <v>88.3</v>
      </c>
      <c r="F38" s="22">
        <v>88</v>
      </c>
      <c r="G38" s="21">
        <v>0.3</v>
      </c>
      <c r="H38" s="7" t="e">
        <v>#N/A</v>
      </c>
      <c r="I38" s="7" t="e">
        <v>#N/A</v>
      </c>
      <c r="J38" s="7" t="e">
        <v>#N/A</v>
      </c>
      <c r="L38" s="9">
        <f t="shared" si="0"/>
        <v>0</v>
      </c>
    </row>
    <row r="39" spans="1:12" x14ac:dyDescent="0.25">
      <c r="A39" s="14">
        <v>38353</v>
      </c>
      <c r="B39" s="22">
        <v>81</v>
      </c>
      <c r="C39" s="7">
        <v>88.7</v>
      </c>
      <c r="E39" s="23">
        <v>88.7</v>
      </c>
      <c r="F39" s="22">
        <v>88</v>
      </c>
      <c r="G39" s="21">
        <v>0.7</v>
      </c>
      <c r="H39" s="7" t="e">
        <v>#N/A</v>
      </c>
      <c r="I39" s="7" t="e">
        <v>#N/A</v>
      </c>
      <c r="J39" s="7" t="e">
        <v>#N/A</v>
      </c>
      <c r="L39" s="9">
        <f t="shared" si="0"/>
        <v>0</v>
      </c>
    </row>
    <row r="40" spans="1:12" x14ac:dyDescent="0.25">
      <c r="A40" s="14">
        <v>38384</v>
      </c>
      <c r="B40" s="22">
        <v>76.400000000000006</v>
      </c>
      <c r="C40" s="7">
        <v>87.4</v>
      </c>
      <c r="E40" s="23">
        <v>87.4</v>
      </c>
      <c r="F40" s="22">
        <v>88.1</v>
      </c>
      <c r="G40" s="21">
        <v>-0.7</v>
      </c>
      <c r="H40" s="7" t="e">
        <v>#N/A</v>
      </c>
      <c r="I40" s="7" t="e">
        <v>#N/A</v>
      </c>
      <c r="J40" s="7" t="e">
        <v>#N/A</v>
      </c>
      <c r="L40" s="9">
        <f t="shared" si="0"/>
        <v>0</v>
      </c>
    </row>
    <row r="41" spans="1:12" x14ac:dyDescent="0.25">
      <c r="A41" s="14">
        <v>38412</v>
      </c>
      <c r="B41" s="22">
        <v>88</v>
      </c>
      <c r="C41" s="7">
        <v>88.2</v>
      </c>
      <c r="E41" s="23">
        <v>88.2</v>
      </c>
      <c r="F41" s="22">
        <v>88.3</v>
      </c>
      <c r="G41" s="21">
        <v>-0.1</v>
      </c>
      <c r="H41" s="7" t="e">
        <v>#N/A</v>
      </c>
      <c r="I41" s="7" t="e">
        <v>#N/A</v>
      </c>
      <c r="J41" s="7" t="e">
        <v>#N/A</v>
      </c>
      <c r="L41" s="9">
        <f t="shared" si="0"/>
        <v>0</v>
      </c>
    </row>
    <row r="42" spans="1:12" x14ac:dyDescent="0.25">
      <c r="A42" s="14">
        <v>38443</v>
      </c>
      <c r="B42" s="22">
        <v>87</v>
      </c>
      <c r="C42" s="7">
        <v>88.3</v>
      </c>
      <c r="E42" s="23">
        <v>88.3</v>
      </c>
      <c r="F42" s="22">
        <v>88.5</v>
      </c>
      <c r="G42" s="21">
        <v>-0.2</v>
      </c>
      <c r="H42" s="7" t="e">
        <v>#N/A</v>
      </c>
      <c r="I42" s="7" t="e">
        <v>#N/A</v>
      </c>
      <c r="J42" s="7" t="e">
        <v>#N/A</v>
      </c>
      <c r="L42" s="9">
        <f t="shared" si="0"/>
        <v>0</v>
      </c>
    </row>
    <row r="43" spans="1:12" x14ac:dyDescent="0.25">
      <c r="A43" s="14">
        <v>38473</v>
      </c>
      <c r="B43" s="22">
        <v>91.1</v>
      </c>
      <c r="C43" s="7">
        <v>91.3</v>
      </c>
      <c r="E43" s="23">
        <v>91.3</v>
      </c>
      <c r="F43" s="22">
        <v>88.8</v>
      </c>
      <c r="G43" s="21">
        <v>2.6</v>
      </c>
      <c r="H43" s="7" t="e">
        <v>#N/A</v>
      </c>
      <c r="I43" s="7" t="e">
        <v>#N/A</v>
      </c>
      <c r="J43" s="7" t="e">
        <v>#N/A</v>
      </c>
      <c r="L43" s="9">
        <f t="shared" si="0"/>
        <v>0</v>
      </c>
    </row>
    <row r="44" spans="1:12" x14ac:dyDescent="0.25">
      <c r="A44" s="14">
        <v>38504</v>
      </c>
      <c r="B44" s="22">
        <v>91.4</v>
      </c>
      <c r="C44" s="7">
        <v>89.5</v>
      </c>
      <c r="E44" s="23">
        <v>89.5</v>
      </c>
      <c r="F44" s="22">
        <v>88.9</v>
      </c>
      <c r="G44" s="21">
        <v>0.6</v>
      </c>
      <c r="H44" s="7" t="e">
        <v>#N/A</v>
      </c>
      <c r="I44" s="7" t="e">
        <v>#N/A</v>
      </c>
      <c r="J44" s="7" t="e">
        <v>#N/A</v>
      </c>
      <c r="L44" s="9">
        <f t="shared" si="0"/>
        <v>0</v>
      </c>
    </row>
    <row r="45" spans="1:12" x14ac:dyDescent="0.25">
      <c r="A45" s="14">
        <v>38534</v>
      </c>
      <c r="B45" s="22">
        <v>90.5</v>
      </c>
      <c r="C45" s="7">
        <v>88.9</v>
      </c>
      <c r="E45" s="23">
        <v>88.9</v>
      </c>
      <c r="F45" s="22">
        <v>88.9</v>
      </c>
      <c r="G45" s="21">
        <v>0</v>
      </c>
      <c r="H45" s="7" t="e">
        <v>#N/A</v>
      </c>
      <c r="I45" s="7" t="e">
        <v>#N/A</v>
      </c>
      <c r="J45" s="7" t="e">
        <v>#N/A</v>
      </c>
      <c r="L45" s="9">
        <f t="shared" si="0"/>
        <v>0</v>
      </c>
    </row>
    <row r="46" spans="1:12" x14ac:dyDescent="0.25">
      <c r="A46" s="14">
        <v>38565</v>
      </c>
      <c r="B46" s="22">
        <v>95.6</v>
      </c>
      <c r="C46" s="7">
        <v>89.1</v>
      </c>
      <c r="E46" s="23">
        <v>89.1</v>
      </c>
      <c r="F46" s="22">
        <v>88.8</v>
      </c>
      <c r="G46" s="21">
        <v>0.3</v>
      </c>
      <c r="H46" s="7" t="e">
        <v>#N/A</v>
      </c>
      <c r="I46" s="7" t="e">
        <v>#N/A</v>
      </c>
      <c r="J46" s="7" t="e">
        <v>#N/A</v>
      </c>
      <c r="L46" s="9">
        <f t="shared" si="0"/>
        <v>0</v>
      </c>
    </row>
    <row r="47" spans="1:12" x14ac:dyDescent="0.25">
      <c r="A47" s="14">
        <v>38596</v>
      </c>
      <c r="B47" s="22">
        <v>92</v>
      </c>
      <c r="C47" s="7">
        <v>88.3</v>
      </c>
      <c r="E47" s="23">
        <v>88.3</v>
      </c>
      <c r="F47" s="22">
        <v>88.7</v>
      </c>
      <c r="G47" s="21">
        <v>-0.5</v>
      </c>
      <c r="H47" s="7" t="e">
        <v>#N/A</v>
      </c>
      <c r="I47" s="7" t="e">
        <v>#N/A</v>
      </c>
      <c r="J47" s="7" t="e">
        <v>#N/A</v>
      </c>
      <c r="L47" s="9">
        <f t="shared" si="0"/>
        <v>0</v>
      </c>
    </row>
    <row r="48" spans="1:12" x14ac:dyDescent="0.25">
      <c r="A48" s="14">
        <v>38626</v>
      </c>
      <c r="B48" s="22">
        <v>93.7</v>
      </c>
      <c r="C48" s="7">
        <v>87.6</v>
      </c>
      <c r="E48" s="23">
        <v>87.6</v>
      </c>
      <c r="F48" s="22">
        <v>88.9</v>
      </c>
      <c r="G48" s="21">
        <v>-1.4</v>
      </c>
      <c r="H48" s="7" t="e">
        <v>#N/A</v>
      </c>
      <c r="I48" s="7" t="e">
        <v>#N/A</v>
      </c>
      <c r="J48" s="7" t="e">
        <v>#N/A</v>
      </c>
      <c r="L48" s="9">
        <f t="shared" si="0"/>
        <v>0</v>
      </c>
    </row>
    <row r="49" spans="1:12" x14ac:dyDescent="0.25">
      <c r="A49" s="14">
        <v>38657</v>
      </c>
      <c r="B49" s="22">
        <v>92.4</v>
      </c>
      <c r="C49" s="7">
        <v>88.6</v>
      </c>
      <c r="E49" s="23">
        <v>88.6</v>
      </c>
      <c r="F49" s="22">
        <v>89.3</v>
      </c>
      <c r="G49" s="21">
        <v>-0.7</v>
      </c>
      <c r="H49" s="7" t="e">
        <v>#N/A</v>
      </c>
      <c r="I49" s="7" t="e">
        <v>#N/A</v>
      </c>
      <c r="J49" s="7" t="e">
        <v>#N/A</v>
      </c>
      <c r="L49" s="9">
        <f t="shared" si="0"/>
        <v>0</v>
      </c>
    </row>
    <row r="50" spans="1:12" x14ac:dyDescent="0.25">
      <c r="A50" s="14">
        <v>38687</v>
      </c>
      <c r="B50" s="22">
        <v>86.6</v>
      </c>
      <c r="C50" s="7">
        <v>90.5</v>
      </c>
      <c r="E50" s="23">
        <v>90.5</v>
      </c>
      <c r="F50" s="22">
        <v>89.9</v>
      </c>
      <c r="G50" s="21">
        <v>0.6</v>
      </c>
      <c r="H50" s="7" t="e">
        <v>#N/A</v>
      </c>
      <c r="I50" s="7" t="e">
        <v>#N/A</v>
      </c>
      <c r="J50" s="7" t="e">
        <v>#N/A</v>
      </c>
      <c r="L50" s="9">
        <f t="shared" si="0"/>
        <v>0</v>
      </c>
    </row>
    <row r="51" spans="1:12" x14ac:dyDescent="0.25">
      <c r="A51" s="14">
        <v>38718</v>
      </c>
      <c r="B51" s="22">
        <v>83.7</v>
      </c>
      <c r="C51" s="7">
        <v>90.8</v>
      </c>
      <c r="E51" s="23">
        <v>90.8</v>
      </c>
      <c r="F51" s="22">
        <v>90.5</v>
      </c>
      <c r="G51" s="21">
        <v>0.3</v>
      </c>
      <c r="H51" s="7" t="e">
        <v>#N/A</v>
      </c>
      <c r="I51" s="7" t="e">
        <v>#N/A</v>
      </c>
      <c r="J51" s="7" t="e">
        <v>#N/A</v>
      </c>
      <c r="L51" s="9">
        <f t="shared" si="0"/>
        <v>0</v>
      </c>
    </row>
    <row r="52" spans="1:12" x14ac:dyDescent="0.25">
      <c r="A52" s="14">
        <v>38749</v>
      </c>
      <c r="B52" s="22">
        <v>80.2</v>
      </c>
      <c r="C52" s="7">
        <v>91.4</v>
      </c>
      <c r="E52" s="23">
        <v>91.4</v>
      </c>
      <c r="F52" s="22">
        <v>91</v>
      </c>
      <c r="G52" s="21">
        <v>0.4</v>
      </c>
      <c r="H52" s="7" t="e">
        <v>#N/A</v>
      </c>
      <c r="I52" s="7" t="e">
        <v>#N/A</v>
      </c>
      <c r="J52" s="7" t="e">
        <v>#N/A</v>
      </c>
      <c r="L52" s="9">
        <f t="shared" si="0"/>
        <v>0</v>
      </c>
    </row>
    <row r="53" spans="1:12" x14ac:dyDescent="0.25">
      <c r="A53" s="14">
        <v>38777</v>
      </c>
      <c r="B53" s="22">
        <v>92.4</v>
      </c>
      <c r="C53" s="7">
        <v>90.7</v>
      </c>
      <c r="E53" s="23">
        <v>90.7</v>
      </c>
      <c r="F53" s="22">
        <v>91.3</v>
      </c>
      <c r="G53" s="21">
        <v>-0.6</v>
      </c>
      <c r="H53" s="7" t="e">
        <v>#N/A</v>
      </c>
      <c r="I53" s="7" t="e">
        <v>#N/A</v>
      </c>
      <c r="J53" s="7" t="e">
        <v>#N/A</v>
      </c>
      <c r="L53" s="9">
        <f t="shared" si="0"/>
        <v>0</v>
      </c>
    </row>
    <row r="54" spans="1:12" x14ac:dyDescent="0.25">
      <c r="A54" s="14">
        <v>38808</v>
      </c>
      <c r="B54" s="22">
        <v>85.7</v>
      </c>
      <c r="C54" s="7">
        <v>91.4</v>
      </c>
      <c r="E54" s="23">
        <v>91.4</v>
      </c>
      <c r="F54" s="22">
        <v>91.4</v>
      </c>
      <c r="G54" s="21">
        <v>0</v>
      </c>
      <c r="H54" s="7" t="e">
        <v>#N/A</v>
      </c>
      <c r="I54" s="7" t="e">
        <v>#N/A</v>
      </c>
      <c r="J54" s="7" t="e">
        <v>#N/A</v>
      </c>
      <c r="L54" s="9">
        <f t="shared" si="0"/>
        <v>0</v>
      </c>
    </row>
    <row r="55" spans="1:12" x14ac:dyDescent="0.25">
      <c r="A55" s="14">
        <v>38838</v>
      </c>
      <c r="B55" s="22">
        <v>95.4</v>
      </c>
      <c r="C55" s="7">
        <v>92.2</v>
      </c>
      <c r="E55" s="23">
        <v>92.2</v>
      </c>
      <c r="F55" s="22">
        <v>91.4</v>
      </c>
      <c r="G55" s="21">
        <v>0.8</v>
      </c>
      <c r="H55" s="7" t="e">
        <v>#N/A</v>
      </c>
      <c r="I55" s="7" t="e">
        <v>#N/A</v>
      </c>
      <c r="J55" s="7" t="e">
        <v>#N/A</v>
      </c>
      <c r="L55" s="9">
        <f t="shared" si="0"/>
        <v>0</v>
      </c>
    </row>
    <row r="56" spans="1:12" x14ac:dyDescent="0.25">
      <c r="A56" s="14">
        <v>38869</v>
      </c>
      <c r="B56" s="22">
        <v>91.1</v>
      </c>
      <c r="C56" s="7">
        <v>90.6</v>
      </c>
      <c r="E56" s="23">
        <v>90.6</v>
      </c>
      <c r="F56" s="22">
        <v>91.3</v>
      </c>
      <c r="G56" s="21">
        <v>-0.7</v>
      </c>
      <c r="H56" s="7" t="e">
        <v>#N/A</v>
      </c>
      <c r="I56" s="7" t="e">
        <v>#N/A</v>
      </c>
      <c r="J56" s="7" t="e">
        <v>#N/A</v>
      </c>
      <c r="L56" s="9">
        <f t="shared" si="0"/>
        <v>0</v>
      </c>
    </row>
    <row r="57" spans="1:12" x14ac:dyDescent="0.25">
      <c r="A57" s="14">
        <v>38899</v>
      </c>
      <c r="B57" s="22">
        <v>93.8</v>
      </c>
      <c r="C57" s="7">
        <v>91.6</v>
      </c>
      <c r="E57" s="23">
        <v>91.6</v>
      </c>
      <c r="F57" s="22">
        <v>91.2</v>
      </c>
      <c r="G57" s="21">
        <v>0.4</v>
      </c>
      <c r="H57" s="7" t="e">
        <v>#N/A</v>
      </c>
      <c r="I57" s="7" t="e">
        <v>#N/A</v>
      </c>
      <c r="J57" s="7" t="e">
        <v>#N/A</v>
      </c>
      <c r="L57" s="9">
        <f t="shared" si="0"/>
        <v>0</v>
      </c>
    </row>
    <row r="58" spans="1:12" x14ac:dyDescent="0.25">
      <c r="A58" s="14">
        <v>38930</v>
      </c>
      <c r="B58" s="22">
        <v>98.6</v>
      </c>
      <c r="C58" s="7">
        <v>91.4</v>
      </c>
      <c r="E58" s="23">
        <v>91.4</v>
      </c>
      <c r="F58" s="22">
        <v>91.1</v>
      </c>
      <c r="G58" s="21">
        <v>0.3</v>
      </c>
      <c r="H58" s="7" t="e">
        <v>#N/A</v>
      </c>
      <c r="I58" s="7" t="e">
        <v>#N/A</v>
      </c>
      <c r="J58" s="7" t="e">
        <v>#N/A</v>
      </c>
      <c r="L58" s="9">
        <f t="shared" si="0"/>
        <v>0</v>
      </c>
    </row>
    <row r="59" spans="1:12" x14ac:dyDescent="0.25">
      <c r="A59" s="14">
        <v>38961</v>
      </c>
      <c r="B59" s="22">
        <v>93.2</v>
      </c>
      <c r="C59" s="7">
        <v>90.4</v>
      </c>
      <c r="E59" s="23">
        <v>90.4</v>
      </c>
      <c r="F59" s="22">
        <v>91.2</v>
      </c>
      <c r="G59" s="21">
        <v>-0.8</v>
      </c>
      <c r="H59" s="7" t="e">
        <v>#N/A</v>
      </c>
      <c r="I59" s="7" t="e">
        <v>#N/A</v>
      </c>
      <c r="J59" s="7" t="e">
        <v>#N/A</v>
      </c>
      <c r="L59" s="9">
        <f t="shared" si="0"/>
        <v>0</v>
      </c>
    </row>
    <row r="60" spans="1:12" x14ac:dyDescent="0.25">
      <c r="A60" s="14">
        <v>38991</v>
      </c>
      <c r="B60" s="22">
        <v>97.5</v>
      </c>
      <c r="C60" s="7">
        <v>90.7</v>
      </c>
      <c r="E60" s="23">
        <v>90.7</v>
      </c>
      <c r="F60" s="22">
        <v>91.4</v>
      </c>
      <c r="G60" s="21">
        <v>-0.7</v>
      </c>
      <c r="H60" s="7" t="e">
        <v>#N/A</v>
      </c>
      <c r="I60" s="7" t="e">
        <v>#N/A</v>
      </c>
      <c r="J60" s="7" t="e">
        <v>#N/A</v>
      </c>
      <c r="L60" s="9">
        <f t="shared" si="0"/>
        <v>0</v>
      </c>
    </row>
    <row r="61" spans="1:12" x14ac:dyDescent="0.25">
      <c r="A61" s="14">
        <v>39022</v>
      </c>
      <c r="B61" s="22">
        <v>95.9</v>
      </c>
      <c r="C61" s="7">
        <v>92.1</v>
      </c>
      <c r="E61" s="23">
        <v>92.1</v>
      </c>
      <c r="F61" s="22">
        <v>91.9</v>
      </c>
      <c r="G61" s="21">
        <v>0.2</v>
      </c>
      <c r="H61" s="7" t="e">
        <v>#N/A</v>
      </c>
      <c r="I61" s="7" t="e">
        <v>#N/A</v>
      </c>
      <c r="J61" s="7" t="e">
        <v>#N/A</v>
      </c>
      <c r="L61" s="9">
        <f t="shared" si="0"/>
        <v>0</v>
      </c>
    </row>
    <row r="62" spans="1:12" x14ac:dyDescent="0.25">
      <c r="A62" s="14">
        <v>39052</v>
      </c>
      <c r="B62" s="22">
        <v>87</v>
      </c>
      <c r="C62" s="7">
        <v>93.3</v>
      </c>
      <c r="E62" s="23">
        <v>93.3</v>
      </c>
      <c r="F62" s="22">
        <v>92.5</v>
      </c>
      <c r="G62" s="21">
        <v>0.8</v>
      </c>
      <c r="H62" s="7" t="e">
        <v>#N/A</v>
      </c>
      <c r="I62" s="7" t="e">
        <v>#N/A</v>
      </c>
      <c r="J62" s="7" t="e">
        <v>#N/A</v>
      </c>
      <c r="L62" s="9">
        <f t="shared" si="0"/>
        <v>0</v>
      </c>
    </row>
    <row r="63" spans="1:12" x14ac:dyDescent="0.25">
      <c r="A63" s="14">
        <v>39083</v>
      </c>
      <c r="B63" s="22">
        <v>87</v>
      </c>
      <c r="C63" s="7">
        <v>92.7</v>
      </c>
      <c r="E63" s="23">
        <v>92.7</v>
      </c>
      <c r="F63" s="22">
        <v>93.3</v>
      </c>
      <c r="G63" s="21">
        <v>-0.6</v>
      </c>
      <c r="H63" s="7" t="e">
        <v>#N/A</v>
      </c>
      <c r="I63" s="7" t="e">
        <v>#N/A</v>
      </c>
      <c r="J63" s="7" t="e">
        <v>#N/A</v>
      </c>
      <c r="L63" s="9">
        <f t="shared" si="0"/>
        <v>0</v>
      </c>
    </row>
    <row r="64" spans="1:12" x14ac:dyDescent="0.25">
      <c r="A64" s="14">
        <v>39114</v>
      </c>
      <c r="B64" s="22">
        <v>82.6</v>
      </c>
      <c r="C64" s="7">
        <v>93.9</v>
      </c>
      <c r="E64" s="23">
        <v>93.9</v>
      </c>
      <c r="F64" s="22">
        <v>94.1</v>
      </c>
      <c r="G64" s="21">
        <v>-0.2</v>
      </c>
      <c r="H64" s="7" t="e">
        <v>#N/A</v>
      </c>
      <c r="I64" s="7" t="e">
        <v>#N/A</v>
      </c>
      <c r="J64" s="7" t="e">
        <v>#N/A</v>
      </c>
      <c r="L64" s="9">
        <f t="shared" si="0"/>
        <v>0</v>
      </c>
    </row>
    <row r="65" spans="1:12" x14ac:dyDescent="0.25">
      <c r="A65" s="14">
        <v>39142</v>
      </c>
      <c r="B65" s="22">
        <v>96.4</v>
      </c>
      <c r="C65" s="7">
        <v>94.9</v>
      </c>
      <c r="E65" s="23">
        <v>94.9</v>
      </c>
      <c r="F65" s="22">
        <v>94.9</v>
      </c>
      <c r="G65" s="21">
        <v>0</v>
      </c>
      <c r="H65" s="7" t="e">
        <v>#N/A</v>
      </c>
      <c r="I65" s="7" t="e">
        <v>#N/A</v>
      </c>
      <c r="J65" s="7" t="e">
        <v>#N/A</v>
      </c>
      <c r="L65" s="9">
        <f t="shared" si="0"/>
        <v>0</v>
      </c>
    </row>
    <row r="66" spans="1:12" x14ac:dyDescent="0.25">
      <c r="A66" s="14">
        <v>39173</v>
      </c>
      <c r="B66" s="22">
        <v>90.6</v>
      </c>
      <c r="C66" s="7">
        <v>96</v>
      </c>
      <c r="E66" s="23">
        <v>96</v>
      </c>
      <c r="F66" s="22">
        <v>95.6</v>
      </c>
      <c r="G66" s="21">
        <v>0.4</v>
      </c>
      <c r="H66" s="7" t="e">
        <v>#N/A</v>
      </c>
      <c r="I66" s="7" t="e">
        <v>#N/A</v>
      </c>
      <c r="J66" s="7" t="e">
        <v>#N/A</v>
      </c>
      <c r="L66" s="9">
        <f t="shared" si="0"/>
        <v>0</v>
      </c>
    </row>
    <row r="67" spans="1:12" x14ac:dyDescent="0.25">
      <c r="A67" s="14">
        <v>39203</v>
      </c>
      <c r="B67" s="22">
        <v>99.9</v>
      </c>
      <c r="C67" s="7">
        <v>96.3</v>
      </c>
      <c r="E67" s="23">
        <v>96.3</v>
      </c>
      <c r="F67" s="22">
        <v>96.2</v>
      </c>
      <c r="G67" s="21">
        <v>0.1</v>
      </c>
      <c r="H67" s="7" t="e">
        <v>#N/A</v>
      </c>
      <c r="I67" s="7" t="e">
        <v>#N/A</v>
      </c>
      <c r="J67" s="7" t="e">
        <v>#N/A</v>
      </c>
      <c r="L67" s="9">
        <f t="shared" si="0"/>
        <v>0</v>
      </c>
    </row>
    <row r="68" spans="1:12" x14ac:dyDescent="0.25">
      <c r="A68" s="14">
        <v>39234</v>
      </c>
      <c r="B68" s="22">
        <v>96.9</v>
      </c>
      <c r="C68" s="7">
        <v>97</v>
      </c>
      <c r="E68" s="23">
        <v>97</v>
      </c>
      <c r="F68" s="22">
        <v>96.7</v>
      </c>
      <c r="G68" s="21">
        <v>0.3</v>
      </c>
      <c r="H68" s="7" t="e">
        <v>#N/A</v>
      </c>
      <c r="I68" s="7" t="e">
        <v>#N/A</v>
      </c>
      <c r="J68" s="7" t="e">
        <v>#N/A</v>
      </c>
      <c r="L68" s="9">
        <f t="shared" ref="L68:L105" si="1">(E68-C68)/C68</f>
        <v>0</v>
      </c>
    </row>
    <row r="69" spans="1:12" x14ac:dyDescent="0.25">
      <c r="A69" s="14">
        <v>39264</v>
      </c>
      <c r="B69" s="22">
        <v>99.8</v>
      </c>
      <c r="C69" s="7">
        <v>96.5</v>
      </c>
      <c r="E69" s="23">
        <v>96.5</v>
      </c>
      <c r="F69" s="22">
        <v>97.2</v>
      </c>
      <c r="G69" s="21">
        <v>-0.6</v>
      </c>
      <c r="H69" s="7" t="e">
        <v>#N/A</v>
      </c>
      <c r="I69" s="7" t="e">
        <v>#N/A</v>
      </c>
      <c r="J69" s="7" t="e">
        <v>#N/A</v>
      </c>
      <c r="L69" s="9">
        <f t="shared" si="1"/>
        <v>0</v>
      </c>
    </row>
    <row r="70" spans="1:12" x14ac:dyDescent="0.25">
      <c r="A70" s="14">
        <v>39295</v>
      </c>
      <c r="B70" s="22">
        <v>104.9</v>
      </c>
      <c r="C70" s="7">
        <v>97.9</v>
      </c>
      <c r="E70" s="23">
        <v>97.9</v>
      </c>
      <c r="F70" s="22">
        <v>97.5</v>
      </c>
      <c r="G70" s="21">
        <v>0.4</v>
      </c>
      <c r="H70" s="7" t="e">
        <v>#N/A</v>
      </c>
      <c r="I70" s="7" t="e">
        <v>#N/A</v>
      </c>
      <c r="J70" s="7" t="e">
        <v>#N/A</v>
      </c>
      <c r="L70" s="9">
        <f t="shared" si="1"/>
        <v>0</v>
      </c>
    </row>
    <row r="71" spans="1:12" x14ac:dyDescent="0.25">
      <c r="A71" s="14">
        <v>39326</v>
      </c>
      <c r="B71" s="22">
        <v>98.4</v>
      </c>
      <c r="C71" s="7">
        <v>97.1</v>
      </c>
      <c r="E71" s="23">
        <v>97.1</v>
      </c>
      <c r="F71" s="22">
        <v>97.9</v>
      </c>
      <c r="G71" s="21">
        <v>-0.8</v>
      </c>
      <c r="H71" s="7" t="e">
        <v>#N/A</v>
      </c>
      <c r="I71" s="7" t="e">
        <v>#N/A</v>
      </c>
      <c r="J71" s="7" t="e">
        <v>#N/A</v>
      </c>
      <c r="L71" s="9">
        <f t="shared" si="1"/>
        <v>0</v>
      </c>
    </row>
    <row r="72" spans="1:12" x14ac:dyDescent="0.25">
      <c r="A72" s="14">
        <v>39356</v>
      </c>
      <c r="B72" s="22">
        <v>107.8</v>
      </c>
      <c r="C72" s="7">
        <v>99.5</v>
      </c>
      <c r="E72" s="23">
        <v>99.5</v>
      </c>
      <c r="F72" s="22">
        <v>98.4</v>
      </c>
      <c r="G72" s="21">
        <v>1</v>
      </c>
      <c r="H72" s="7" t="e">
        <v>#N/A</v>
      </c>
      <c r="I72" s="7" t="e">
        <v>#N/A</v>
      </c>
      <c r="J72" s="7" t="e">
        <v>#N/A</v>
      </c>
      <c r="L72" s="9">
        <f t="shared" si="1"/>
        <v>0</v>
      </c>
    </row>
    <row r="73" spans="1:12" x14ac:dyDescent="0.25">
      <c r="A73" s="14">
        <v>39387</v>
      </c>
      <c r="B73" s="22">
        <v>102.4</v>
      </c>
      <c r="C73" s="7">
        <v>98.5</v>
      </c>
      <c r="E73" s="23">
        <v>98.5</v>
      </c>
      <c r="F73" s="22">
        <v>98.9</v>
      </c>
      <c r="G73" s="21">
        <v>-0.4</v>
      </c>
      <c r="H73" s="7" t="e">
        <v>#N/A</v>
      </c>
      <c r="I73" s="7" t="e">
        <v>#N/A</v>
      </c>
      <c r="J73" s="7" t="e">
        <v>#N/A</v>
      </c>
      <c r="L73" s="9">
        <f t="shared" si="1"/>
        <v>0</v>
      </c>
    </row>
    <row r="74" spans="1:12" x14ac:dyDescent="0.25">
      <c r="A74" s="14">
        <v>39417</v>
      </c>
      <c r="B74" s="22">
        <v>92.6</v>
      </c>
      <c r="C74" s="7">
        <v>98.9</v>
      </c>
      <c r="E74" s="23">
        <v>98.9</v>
      </c>
      <c r="F74" s="22">
        <v>99.4</v>
      </c>
      <c r="G74" s="21">
        <v>-0.5</v>
      </c>
      <c r="H74" s="7" t="e">
        <v>#N/A</v>
      </c>
      <c r="I74" s="7" t="e">
        <v>#N/A</v>
      </c>
      <c r="J74" s="7" t="e">
        <v>#N/A</v>
      </c>
      <c r="L74" s="9">
        <f t="shared" si="1"/>
        <v>0</v>
      </c>
    </row>
    <row r="75" spans="1:12" x14ac:dyDescent="0.25">
      <c r="A75" s="14">
        <v>39448</v>
      </c>
      <c r="B75" s="22">
        <v>94.8</v>
      </c>
      <c r="C75" s="7">
        <v>100.6</v>
      </c>
      <c r="E75" s="23">
        <v>100.6</v>
      </c>
      <c r="F75" s="22">
        <v>99.8</v>
      </c>
      <c r="G75" s="21">
        <v>0.9</v>
      </c>
      <c r="H75" s="7" t="e">
        <v>#N/A</v>
      </c>
      <c r="I75" s="7" t="e">
        <v>#N/A</v>
      </c>
      <c r="J75" s="7" t="e">
        <v>#N/A</v>
      </c>
      <c r="L75" s="9">
        <f t="shared" si="1"/>
        <v>0</v>
      </c>
    </row>
    <row r="76" spans="1:12" x14ac:dyDescent="0.25">
      <c r="A76" s="14">
        <v>39479</v>
      </c>
      <c r="B76" s="22">
        <v>91.1</v>
      </c>
      <c r="C76" s="7">
        <v>100.2</v>
      </c>
      <c r="E76" s="23">
        <v>100.2</v>
      </c>
      <c r="F76" s="22">
        <v>100.2</v>
      </c>
      <c r="G76" s="21">
        <v>0.1</v>
      </c>
      <c r="H76" s="7" t="e">
        <v>#N/A</v>
      </c>
      <c r="I76" s="7" t="e">
        <v>#N/A</v>
      </c>
      <c r="J76" s="7" t="e">
        <v>#N/A</v>
      </c>
      <c r="L76" s="9">
        <f t="shared" si="1"/>
        <v>0</v>
      </c>
    </row>
    <row r="77" spans="1:12" x14ac:dyDescent="0.25">
      <c r="A77" s="14">
        <v>39508</v>
      </c>
      <c r="B77" s="22">
        <v>97.7</v>
      </c>
      <c r="C77" s="7">
        <v>100.5</v>
      </c>
      <c r="E77" s="23">
        <v>100.5</v>
      </c>
      <c r="F77" s="22">
        <v>100.6</v>
      </c>
      <c r="G77" s="21">
        <v>-0.1</v>
      </c>
      <c r="H77" s="7" t="e">
        <v>#N/A</v>
      </c>
      <c r="I77" s="7" t="e">
        <v>#N/A</v>
      </c>
      <c r="J77" s="7" t="e">
        <v>#N/A</v>
      </c>
      <c r="L77" s="9">
        <f t="shared" si="1"/>
        <v>0</v>
      </c>
    </row>
    <row r="78" spans="1:12" x14ac:dyDescent="0.25">
      <c r="A78" s="14">
        <v>39539</v>
      </c>
      <c r="B78" s="22">
        <v>99.2</v>
      </c>
      <c r="C78" s="7">
        <v>100.4</v>
      </c>
      <c r="E78" s="23">
        <v>100.4</v>
      </c>
      <c r="F78" s="22">
        <v>101.1</v>
      </c>
      <c r="G78" s="21">
        <v>-0.7</v>
      </c>
      <c r="H78" s="7" t="e">
        <v>#N/A</v>
      </c>
      <c r="I78" s="7" t="e">
        <v>#N/A</v>
      </c>
      <c r="J78" s="7" t="e">
        <v>#N/A</v>
      </c>
      <c r="L78" s="9">
        <f t="shared" si="1"/>
        <v>0</v>
      </c>
    </row>
    <row r="79" spans="1:12" x14ac:dyDescent="0.25">
      <c r="A79" s="14">
        <v>39569</v>
      </c>
      <c r="B79" s="22">
        <v>102.5</v>
      </c>
      <c r="C79" s="7">
        <v>101.1</v>
      </c>
      <c r="E79" s="23">
        <v>101.1</v>
      </c>
      <c r="F79" s="22">
        <v>101.6</v>
      </c>
      <c r="G79" s="21">
        <v>-0.6</v>
      </c>
      <c r="H79" s="7" t="e">
        <v>#N/A</v>
      </c>
      <c r="I79" s="7" t="e">
        <v>#N/A</v>
      </c>
      <c r="J79" s="7" t="e">
        <v>#N/A</v>
      </c>
      <c r="L79" s="9">
        <f t="shared" si="1"/>
        <v>0</v>
      </c>
    </row>
    <row r="80" spans="1:12" x14ac:dyDescent="0.25">
      <c r="A80" s="14">
        <v>39600</v>
      </c>
      <c r="B80" s="22">
        <v>103.3</v>
      </c>
      <c r="C80" s="7">
        <v>102.9</v>
      </c>
      <c r="E80" s="23">
        <v>102.9</v>
      </c>
      <c r="F80" s="22">
        <v>102.1</v>
      </c>
      <c r="G80" s="21">
        <v>0.8</v>
      </c>
      <c r="H80" s="7" t="e">
        <v>#N/A</v>
      </c>
      <c r="I80" s="7" t="e">
        <v>#N/A</v>
      </c>
      <c r="J80" s="7" t="e">
        <v>#N/A</v>
      </c>
      <c r="L80" s="9">
        <f t="shared" si="1"/>
        <v>0</v>
      </c>
    </row>
    <row r="81" spans="1:12" x14ac:dyDescent="0.25">
      <c r="A81" s="14">
        <v>39630</v>
      </c>
      <c r="B81" s="22">
        <v>108.5</v>
      </c>
      <c r="C81" s="7">
        <v>103.2</v>
      </c>
      <c r="E81" s="23">
        <v>103.2</v>
      </c>
      <c r="F81" s="22">
        <v>102.5</v>
      </c>
      <c r="G81" s="21">
        <v>0.7</v>
      </c>
      <c r="H81" s="7" t="e">
        <v>#N/A</v>
      </c>
      <c r="I81" s="7" t="e">
        <v>#N/A</v>
      </c>
      <c r="J81" s="7" t="e">
        <v>#N/A</v>
      </c>
      <c r="L81" s="9">
        <f t="shared" si="1"/>
        <v>0</v>
      </c>
    </row>
    <row r="82" spans="1:12" x14ac:dyDescent="0.25">
      <c r="A82" s="14">
        <v>39661</v>
      </c>
      <c r="B82" s="22">
        <v>106.9</v>
      </c>
      <c r="C82" s="7">
        <v>101.9</v>
      </c>
      <c r="E82" s="23">
        <v>101.9</v>
      </c>
      <c r="F82" s="22">
        <v>102.6</v>
      </c>
      <c r="G82" s="21">
        <v>-0.6</v>
      </c>
      <c r="H82" s="7" t="e">
        <v>#N/A</v>
      </c>
      <c r="I82" s="7" t="e">
        <v>#N/A</v>
      </c>
      <c r="J82" s="7" t="e">
        <v>#N/A</v>
      </c>
      <c r="L82" s="9">
        <f t="shared" si="1"/>
        <v>0</v>
      </c>
    </row>
    <row r="83" spans="1:12" x14ac:dyDescent="0.25">
      <c r="A83" s="14">
        <v>39692</v>
      </c>
      <c r="B83" s="22">
        <v>107.3</v>
      </c>
      <c r="C83" s="7">
        <v>103.4</v>
      </c>
      <c r="E83" s="23">
        <v>103.4</v>
      </c>
      <c r="F83" s="22">
        <v>102.3</v>
      </c>
      <c r="G83" s="21">
        <v>1.1000000000000001</v>
      </c>
      <c r="H83" s="7" t="e">
        <v>#N/A</v>
      </c>
      <c r="I83" s="7" t="e">
        <v>#N/A</v>
      </c>
      <c r="J83" s="7" t="e">
        <v>#N/A</v>
      </c>
      <c r="L83" s="9">
        <f t="shared" si="1"/>
        <v>0</v>
      </c>
    </row>
    <row r="84" spans="1:12" x14ac:dyDescent="0.25">
      <c r="A84" s="14">
        <v>39722</v>
      </c>
      <c r="B84" s="22">
        <v>108.4</v>
      </c>
      <c r="C84" s="7">
        <v>100.2</v>
      </c>
      <c r="E84" s="23">
        <v>100.2</v>
      </c>
      <c r="F84" s="22">
        <v>101.8</v>
      </c>
      <c r="G84" s="21">
        <v>-1.7</v>
      </c>
      <c r="H84" s="7" t="e">
        <v>#N/A</v>
      </c>
      <c r="I84" s="7" t="e">
        <v>#N/A</v>
      </c>
      <c r="J84" s="7" t="e">
        <v>#N/A</v>
      </c>
      <c r="L84" s="9">
        <f t="shared" si="1"/>
        <v>0</v>
      </c>
    </row>
    <row r="85" spans="1:12" x14ac:dyDescent="0.25">
      <c r="A85" s="14">
        <v>39753</v>
      </c>
      <c r="B85" s="22">
        <v>96.2</v>
      </c>
      <c r="C85" s="7">
        <v>94.4</v>
      </c>
      <c r="E85" s="23">
        <v>94.4</v>
      </c>
      <c r="F85" s="22">
        <v>94.5</v>
      </c>
      <c r="G85" s="21">
        <v>-0.1</v>
      </c>
      <c r="H85" s="7" t="e">
        <v>#N/A</v>
      </c>
      <c r="I85" s="7" t="e">
        <v>#N/A</v>
      </c>
      <c r="J85" s="7" t="e">
        <v>#N/A</v>
      </c>
      <c r="L85" s="9">
        <f t="shared" si="1"/>
        <v>0</v>
      </c>
    </row>
    <row r="86" spans="1:12" x14ac:dyDescent="0.25">
      <c r="A86" s="14">
        <v>39783</v>
      </c>
      <c r="B86" s="22">
        <v>79.099999999999994</v>
      </c>
      <c r="C86" s="7">
        <v>83.8</v>
      </c>
      <c r="E86" s="23">
        <v>83.8</v>
      </c>
      <c r="F86" s="22">
        <v>93.7</v>
      </c>
      <c r="G86" s="21">
        <v>-10</v>
      </c>
      <c r="H86" s="7" t="e">
        <v>#N/A</v>
      </c>
      <c r="I86" s="7" t="e">
        <v>#N/A</v>
      </c>
      <c r="J86" s="7" t="e">
        <v>#N/A</v>
      </c>
      <c r="L86" s="9">
        <f t="shared" si="1"/>
        <v>0</v>
      </c>
    </row>
    <row r="87" spans="1:12" x14ac:dyDescent="0.25">
      <c r="A87" s="14">
        <v>39814</v>
      </c>
      <c r="B87" s="22">
        <v>78.7</v>
      </c>
      <c r="C87" s="7">
        <v>85.6</v>
      </c>
      <c r="E87" s="23">
        <v>85.6</v>
      </c>
      <c r="F87" s="22">
        <v>93</v>
      </c>
      <c r="G87" s="21">
        <v>-7.3</v>
      </c>
      <c r="H87" s="7" t="e">
        <v>#N/A</v>
      </c>
      <c r="I87" s="7" t="e">
        <v>#N/A</v>
      </c>
      <c r="J87" s="7" t="e">
        <v>#N/A</v>
      </c>
      <c r="L87" s="9">
        <f t="shared" si="1"/>
        <v>0</v>
      </c>
    </row>
    <row r="88" spans="1:12" x14ac:dyDescent="0.25">
      <c r="A88" s="14">
        <v>39845</v>
      </c>
      <c r="B88" s="22">
        <v>76.099999999999994</v>
      </c>
      <c r="C88" s="7">
        <v>87.6</v>
      </c>
      <c r="E88" s="23">
        <v>87.6</v>
      </c>
      <c r="F88" s="22">
        <v>92.3</v>
      </c>
      <c r="G88" s="21">
        <v>-4.8</v>
      </c>
      <c r="H88" s="7" t="e">
        <v>#N/A</v>
      </c>
      <c r="I88" s="7" t="e">
        <v>#N/A</v>
      </c>
      <c r="J88" s="7" t="e">
        <v>#N/A</v>
      </c>
      <c r="L88" s="9">
        <f t="shared" si="1"/>
        <v>0</v>
      </c>
    </row>
    <row r="89" spans="1:12" x14ac:dyDescent="0.25">
      <c r="A89" s="14">
        <v>39873</v>
      </c>
      <c r="B89" s="22">
        <v>88.6</v>
      </c>
      <c r="C89" s="7">
        <v>88</v>
      </c>
      <c r="E89" s="23">
        <v>88</v>
      </c>
      <c r="F89" s="22">
        <v>91.9</v>
      </c>
      <c r="G89" s="21">
        <v>-3.9</v>
      </c>
      <c r="H89" s="7" t="e">
        <v>#N/A</v>
      </c>
      <c r="I89" s="7" t="e">
        <v>#N/A</v>
      </c>
      <c r="J89" s="7" t="e">
        <v>#N/A</v>
      </c>
      <c r="L89" s="9">
        <f t="shared" si="1"/>
        <v>0</v>
      </c>
    </row>
    <row r="90" spans="1:12" x14ac:dyDescent="0.25">
      <c r="A90" s="14">
        <v>39904</v>
      </c>
      <c r="B90" s="22">
        <v>85.2</v>
      </c>
      <c r="C90" s="7">
        <v>89</v>
      </c>
      <c r="E90" s="23">
        <v>89</v>
      </c>
      <c r="F90" s="22">
        <v>91.8</v>
      </c>
      <c r="G90" s="21">
        <v>-2.8</v>
      </c>
      <c r="H90" s="7" t="e">
        <v>#N/A</v>
      </c>
      <c r="I90" s="7" t="e">
        <v>#N/A</v>
      </c>
      <c r="J90" s="7" t="e">
        <v>#N/A</v>
      </c>
      <c r="L90" s="9">
        <f t="shared" si="1"/>
        <v>0</v>
      </c>
    </row>
    <row r="91" spans="1:12" x14ac:dyDescent="0.25">
      <c r="A91" s="14">
        <v>39934</v>
      </c>
      <c r="B91" s="22">
        <v>91.3</v>
      </c>
      <c r="C91" s="7">
        <v>90.4</v>
      </c>
      <c r="E91" s="23">
        <v>90.4</v>
      </c>
      <c r="F91" s="22">
        <v>92</v>
      </c>
      <c r="G91" s="21">
        <v>-1.7</v>
      </c>
      <c r="H91" s="7" t="e">
        <v>#N/A</v>
      </c>
      <c r="I91" s="7" t="e">
        <v>#N/A</v>
      </c>
      <c r="J91" s="7" t="e">
        <v>#N/A</v>
      </c>
      <c r="L91" s="9">
        <f t="shared" si="1"/>
        <v>0</v>
      </c>
    </row>
    <row r="92" spans="1:12" x14ac:dyDescent="0.25">
      <c r="A92" s="14">
        <v>39965</v>
      </c>
      <c r="B92" s="22">
        <v>92.2</v>
      </c>
      <c r="C92" s="7">
        <v>91.6</v>
      </c>
      <c r="E92" s="23">
        <v>91.6</v>
      </c>
      <c r="F92" s="22">
        <v>92.6</v>
      </c>
      <c r="G92" s="21">
        <v>-1.1000000000000001</v>
      </c>
      <c r="H92" s="7" t="e">
        <v>#N/A</v>
      </c>
      <c r="I92" s="7" t="e">
        <v>#N/A</v>
      </c>
      <c r="J92" s="7" t="e">
        <v>#N/A</v>
      </c>
      <c r="L92" s="9">
        <f t="shared" si="1"/>
        <v>0</v>
      </c>
    </row>
    <row r="93" spans="1:12" x14ac:dyDescent="0.25">
      <c r="A93" s="14">
        <v>39995</v>
      </c>
      <c r="B93" s="22">
        <v>97.7</v>
      </c>
      <c r="C93" s="7">
        <v>92.6</v>
      </c>
      <c r="E93" s="23">
        <v>92.6</v>
      </c>
      <c r="F93" s="22">
        <v>93.6</v>
      </c>
      <c r="G93" s="21">
        <v>-1</v>
      </c>
      <c r="H93" s="7" t="e">
        <v>#N/A</v>
      </c>
      <c r="I93" s="7" t="e">
        <v>#N/A</v>
      </c>
      <c r="J93" s="7" t="e">
        <v>#N/A</v>
      </c>
      <c r="L93" s="9">
        <f t="shared" si="1"/>
        <v>0</v>
      </c>
    </row>
    <row r="94" spans="1:12" x14ac:dyDescent="0.25">
      <c r="A94" s="14">
        <v>40026</v>
      </c>
      <c r="B94" s="22">
        <v>99.6</v>
      </c>
      <c r="C94" s="7">
        <v>94</v>
      </c>
      <c r="E94" s="23">
        <v>94</v>
      </c>
      <c r="F94" s="22">
        <v>94.8</v>
      </c>
      <c r="G94" s="21">
        <v>-0.8</v>
      </c>
      <c r="H94" s="7" t="e">
        <v>#N/A</v>
      </c>
      <c r="I94" s="7" t="e">
        <v>#N/A</v>
      </c>
      <c r="J94" s="7" t="e">
        <v>#N/A</v>
      </c>
      <c r="L94" s="9">
        <f t="shared" si="1"/>
        <v>0</v>
      </c>
    </row>
    <row r="95" spans="1:12" x14ac:dyDescent="0.25">
      <c r="A95" s="14">
        <v>40057</v>
      </c>
      <c r="B95" s="22">
        <v>99.4</v>
      </c>
      <c r="C95" s="7">
        <v>95.6</v>
      </c>
      <c r="E95" s="23">
        <v>95.6</v>
      </c>
      <c r="F95" s="22">
        <v>96.1</v>
      </c>
      <c r="G95" s="21">
        <v>-0.5</v>
      </c>
      <c r="H95" s="7" t="e">
        <v>#N/A</v>
      </c>
      <c r="I95" s="7" t="e">
        <v>#N/A</v>
      </c>
      <c r="J95" s="7" t="e">
        <v>#N/A</v>
      </c>
      <c r="L95" s="9">
        <f t="shared" si="1"/>
        <v>0</v>
      </c>
    </row>
    <row r="96" spans="1:12" x14ac:dyDescent="0.25">
      <c r="A96" s="14">
        <v>40087</v>
      </c>
      <c r="B96" s="22">
        <v>105.6</v>
      </c>
      <c r="C96" s="7">
        <v>97.3</v>
      </c>
      <c r="E96" s="23">
        <v>97.3</v>
      </c>
      <c r="F96" s="22">
        <v>97.3</v>
      </c>
      <c r="G96" s="21">
        <v>0</v>
      </c>
      <c r="H96" s="7" t="e">
        <v>#N/A</v>
      </c>
      <c r="I96" s="7" t="e">
        <v>#N/A</v>
      </c>
      <c r="J96" s="7" t="e">
        <v>#N/A</v>
      </c>
      <c r="L96" s="9">
        <f t="shared" si="1"/>
        <v>0</v>
      </c>
    </row>
    <row r="97" spans="1:12" x14ac:dyDescent="0.25">
      <c r="A97" s="14">
        <v>40118</v>
      </c>
      <c r="B97" s="22">
        <v>101.4</v>
      </c>
      <c r="C97" s="7">
        <v>98.9</v>
      </c>
      <c r="E97" s="23">
        <v>98.9</v>
      </c>
      <c r="F97" s="22">
        <v>98.5</v>
      </c>
      <c r="G97" s="21">
        <v>0.4</v>
      </c>
      <c r="H97" s="7" t="e">
        <v>#N/A</v>
      </c>
      <c r="I97" s="7" t="e">
        <v>#N/A</v>
      </c>
      <c r="J97" s="7" t="e">
        <v>#N/A</v>
      </c>
      <c r="L97" s="9">
        <f t="shared" si="1"/>
        <v>0</v>
      </c>
    </row>
    <row r="98" spans="1:12" x14ac:dyDescent="0.25">
      <c r="A98" s="14">
        <v>40148</v>
      </c>
      <c r="B98" s="22">
        <v>94.1</v>
      </c>
      <c r="C98" s="7">
        <v>99.1</v>
      </c>
      <c r="E98" s="23">
        <v>99.1</v>
      </c>
      <c r="F98" s="22">
        <v>99.7</v>
      </c>
      <c r="G98" s="21">
        <v>-0.6</v>
      </c>
      <c r="H98" s="7" t="e">
        <v>#N/A</v>
      </c>
      <c r="I98" s="7" t="e">
        <v>#N/A</v>
      </c>
      <c r="J98" s="7" t="e">
        <v>#N/A</v>
      </c>
      <c r="L98" s="9">
        <f t="shared" si="1"/>
        <v>0</v>
      </c>
    </row>
    <row r="99" spans="1:12" x14ac:dyDescent="0.25">
      <c r="A99" s="14">
        <v>40179</v>
      </c>
      <c r="B99" s="22">
        <v>91.2</v>
      </c>
      <c r="C99" s="7">
        <v>100.7</v>
      </c>
      <c r="E99" s="23">
        <v>100.7</v>
      </c>
      <c r="F99" s="22">
        <v>100.7</v>
      </c>
      <c r="G99" s="21">
        <v>0</v>
      </c>
      <c r="H99" s="7" t="e">
        <v>#N/A</v>
      </c>
      <c r="I99" s="7" t="e">
        <v>#N/A</v>
      </c>
      <c r="J99" s="7" t="e">
        <v>#N/A</v>
      </c>
      <c r="L99" s="9">
        <f t="shared" si="1"/>
        <v>0</v>
      </c>
    </row>
    <row r="100" spans="1:12" x14ac:dyDescent="0.25">
      <c r="A100" s="14">
        <v>40210</v>
      </c>
      <c r="B100" s="22">
        <v>89</v>
      </c>
      <c r="C100" s="7">
        <v>100.5</v>
      </c>
      <c r="E100" s="23">
        <v>100.5</v>
      </c>
      <c r="F100" s="22">
        <v>101.6</v>
      </c>
      <c r="G100" s="21">
        <v>-1.1000000000000001</v>
      </c>
      <c r="H100" s="7" t="e">
        <v>#N/A</v>
      </c>
      <c r="I100" s="7" t="e">
        <v>#N/A</v>
      </c>
      <c r="J100" s="7" t="e">
        <v>#N/A</v>
      </c>
      <c r="L100" s="9">
        <f t="shared" si="1"/>
        <v>0</v>
      </c>
    </row>
    <row r="101" spans="1:12" x14ac:dyDescent="0.25">
      <c r="A101" s="14">
        <v>40238</v>
      </c>
      <c r="B101" s="22">
        <v>105.1</v>
      </c>
      <c r="C101" s="7">
        <v>103</v>
      </c>
      <c r="E101" s="23">
        <v>103</v>
      </c>
      <c r="F101" s="22">
        <v>102.3</v>
      </c>
      <c r="G101" s="21">
        <v>0.7</v>
      </c>
      <c r="H101" s="7" t="e">
        <v>#N/A</v>
      </c>
      <c r="I101" s="7" t="e">
        <v>#N/A</v>
      </c>
      <c r="J101" s="7" t="e">
        <v>#N/A</v>
      </c>
      <c r="L101" s="9">
        <f t="shared" si="1"/>
        <v>0</v>
      </c>
    </row>
    <row r="102" spans="1:12" x14ac:dyDescent="0.25">
      <c r="A102" s="14">
        <v>40269</v>
      </c>
      <c r="B102" s="22">
        <v>99.3</v>
      </c>
      <c r="C102" s="7">
        <v>103.2</v>
      </c>
      <c r="E102" s="23">
        <v>103.2</v>
      </c>
      <c r="F102" s="22">
        <v>102.7</v>
      </c>
      <c r="G102" s="21">
        <v>0.5</v>
      </c>
      <c r="H102" s="7" t="e">
        <v>#N/A</v>
      </c>
      <c r="I102" s="7" t="e">
        <v>#N/A</v>
      </c>
      <c r="J102" s="7" t="e">
        <v>#N/A</v>
      </c>
      <c r="L102" s="9">
        <f t="shared" si="1"/>
        <v>0</v>
      </c>
    </row>
    <row r="103" spans="1:12" x14ac:dyDescent="0.25">
      <c r="A103" s="14">
        <v>40299</v>
      </c>
      <c r="B103" s="22">
        <v>104.3</v>
      </c>
      <c r="C103" s="7">
        <v>103</v>
      </c>
      <c r="E103" s="23">
        <v>103</v>
      </c>
      <c r="F103" s="22">
        <v>102.7</v>
      </c>
      <c r="G103" s="21">
        <v>0.3</v>
      </c>
      <c r="H103" s="7" t="e">
        <v>#N/A</v>
      </c>
      <c r="I103" s="7" t="e">
        <v>#N/A</v>
      </c>
      <c r="J103" s="7" t="e">
        <v>#N/A</v>
      </c>
      <c r="L103" s="9">
        <f t="shared" si="1"/>
        <v>0</v>
      </c>
    </row>
    <row r="104" spans="1:12" x14ac:dyDescent="0.25">
      <c r="A104" s="14">
        <v>40330</v>
      </c>
      <c r="B104" s="22">
        <v>102.5</v>
      </c>
      <c r="C104" s="7">
        <v>102.3</v>
      </c>
      <c r="E104" s="23">
        <v>102.3</v>
      </c>
      <c r="F104" s="22">
        <v>102.5</v>
      </c>
      <c r="G104" s="21">
        <v>-0.1</v>
      </c>
      <c r="H104" s="7" t="e">
        <v>#N/A</v>
      </c>
      <c r="I104" s="7" t="e">
        <v>#N/A</v>
      </c>
      <c r="J104" s="7" t="e">
        <v>#N/A</v>
      </c>
      <c r="L104" s="9">
        <f t="shared" si="1"/>
        <v>0</v>
      </c>
    </row>
    <row r="105" spans="1:12" x14ac:dyDescent="0.25">
      <c r="A105" s="14">
        <v>40360</v>
      </c>
      <c r="B105" s="22">
        <v>106.9</v>
      </c>
      <c r="C105" s="7">
        <v>101.8</v>
      </c>
      <c r="E105" s="23">
        <v>101.8</v>
      </c>
      <c r="F105" s="22">
        <v>102.1</v>
      </c>
      <c r="G105" s="21">
        <v>-0.2</v>
      </c>
      <c r="H105" s="7" t="e">
        <v>#N/A</v>
      </c>
      <c r="I105" s="7" t="e">
        <v>#N/A</v>
      </c>
      <c r="J105" s="7" t="e">
        <v>#N/A</v>
      </c>
      <c r="L105" s="9">
        <f t="shared" si="1"/>
        <v>0</v>
      </c>
    </row>
    <row r="106" spans="1:12" x14ac:dyDescent="0.25">
      <c r="A106" s="14">
        <v>40391</v>
      </c>
      <c r="B106" s="22">
        <v>108.1</v>
      </c>
      <c r="C106" s="7">
        <v>101.4</v>
      </c>
      <c r="E106" s="23">
        <v>101.4</v>
      </c>
      <c r="F106" s="22">
        <v>101.7</v>
      </c>
      <c r="G106" s="21">
        <v>-0.3</v>
      </c>
      <c r="H106" t="e">
        <v>#N/A</v>
      </c>
      <c r="I106" t="e">
        <v>#N/A</v>
      </c>
      <c r="J106" t="e">
        <v>#N/A</v>
      </c>
    </row>
    <row r="107" spans="1:12" x14ac:dyDescent="0.25">
      <c r="A107" s="14">
        <v>40422</v>
      </c>
      <c r="B107" s="22">
        <v>105.8</v>
      </c>
      <c r="C107" s="7">
        <v>101.6</v>
      </c>
      <c r="E107" s="23">
        <v>101.6</v>
      </c>
      <c r="F107" s="22">
        <v>101.5</v>
      </c>
      <c r="G107" s="21">
        <v>0.1</v>
      </c>
      <c r="H107" t="e">
        <v>#N/A</v>
      </c>
      <c r="I107" t="e">
        <v>#N/A</v>
      </c>
      <c r="J107" t="e">
        <v>#N/A</v>
      </c>
    </row>
    <row r="108" spans="1:12" x14ac:dyDescent="0.25">
      <c r="A108" s="14">
        <v>40452</v>
      </c>
      <c r="B108" s="22">
        <v>107.7</v>
      </c>
      <c r="C108" s="7">
        <v>101.3</v>
      </c>
      <c r="E108" s="23">
        <v>101.3</v>
      </c>
      <c r="F108" s="22">
        <v>101.7</v>
      </c>
      <c r="G108" s="21">
        <v>-0.4</v>
      </c>
      <c r="H108" t="e">
        <v>#N/A</v>
      </c>
      <c r="I108" t="e">
        <v>#N/A</v>
      </c>
      <c r="J108" t="e">
        <v>#N/A</v>
      </c>
    </row>
    <row r="109" spans="1:12" x14ac:dyDescent="0.25">
      <c r="A109" s="14">
        <v>40483</v>
      </c>
      <c r="B109" s="22">
        <v>106.8</v>
      </c>
      <c r="C109" s="7">
        <v>102.2</v>
      </c>
      <c r="E109" s="23">
        <v>102.2</v>
      </c>
      <c r="F109" s="22">
        <v>102.1</v>
      </c>
      <c r="G109" s="21">
        <v>0.1</v>
      </c>
      <c r="H109" t="e">
        <v>#N/A</v>
      </c>
      <c r="I109" t="e">
        <v>#N/A</v>
      </c>
      <c r="J109" t="e">
        <v>#N/A</v>
      </c>
    </row>
    <row r="110" spans="1:12" x14ac:dyDescent="0.25">
      <c r="A110" s="14">
        <v>40513</v>
      </c>
      <c r="B110" s="22">
        <v>96.6</v>
      </c>
      <c r="C110" s="7">
        <v>102.7</v>
      </c>
      <c r="E110" s="23">
        <v>102.7</v>
      </c>
      <c r="F110" s="22">
        <v>102.7</v>
      </c>
      <c r="G110" s="21">
        <v>0</v>
      </c>
      <c r="H110" t="e">
        <v>#N/A</v>
      </c>
      <c r="I110" t="e">
        <v>#N/A</v>
      </c>
      <c r="J110" t="e">
        <v>#N/A</v>
      </c>
    </row>
    <row r="111" spans="1:12" x14ac:dyDescent="0.25">
      <c r="A111" s="14">
        <v>40544</v>
      </c>
      <c r="B111" s="22">
        <v>93.2</v>
      </c>
      <c r="C111" s="7">
        <v>102.8</v>
      </c>
      <c r="E111" s="23">
        <v>102.8</v>
      </c>
      <c r="F111" s="22">
        <v>103.3</v>
      </c>
      <c r="G111" s="21">
        <v>-0.5</v>
      </c>
      <c r="H111" t="e">
        <v>#N/A</v>
      </c>
      <c r="I111" t="e">
        <v>#N/A</v>
      </c>
      <c r="J111" t="e">
        <v>#N/A</v>
      </c>
    </row>
    <row r="112" spans="1:12" x14ac:dyDescent="0.25">
      <c r="A112" s="14">
        <v>40575</v>
      </c>
      <c r="B112" s="22">
        <v>95.4</v>
      </c>
      <c r="C112" s="7">
        <v>104.2</v>
      </c>
      <c r="E112" s="23">
        <v>104.2</v>
      </c>
      <c r="F112" s="22">
        <v>103.9</v>
      </c>
      <c r="G112" s="21">
        <v>0.3</v>
      </c>
      <c r="H112" t="e">
        <v>#N/A</v>
      </c>
      <c r="I112" t="e">
        <v>#N/A</v>
      </c>
      <c r="J112" t="e">
        <v>#N/A</v>
      </c>
    </row>
    <row r="113" spans="1:10" x14ac:dyDescent="0.25">
      <c r="A113" s="14">
        <v>40603</v>
      </c>
      <c r="B113" s="22">
        <v>104.4</v>
      </c>
      <c r="C113" s="7">
        <v>104.8</v>
      </c>
      <c r="E113" s="23">
        <v>104.8</v>
      </c>
      <c r="F113" s="22">
        <v>104.2</v>
      </c>
      <c r="G113" s="21">
        <v>0.6</v>
      </c>
      <c r="H113" t="e">
        <v>#N/A</v>
      </c>
      <c r="I113" t="e">
        <v>#N/A</v>
      </c>
      <c r="J113" t="e">
        <v>#N/A</v>
      </c>
    </row>
    <row r="114" spans="1:10" x14ac:dyDescent="0.25">
      <c r="A114" s="14">
        <v>40634</v>
      </c>
      <c r="B114" s="22">
        <v>97.5</v>
      </c>
      <c r="C114" s="7">
        <v>102.1</v>
      </c>
      <c r="E114" s="23">
        <v>102.1</v>
      </c>
      <c r="F114" s="22">
        <v>104.3</v>
      </c>
      <c r="G114" s="21">
        <v>-2.2000000000000002</v>
      </c>
      <c r="H114" t="e">
        <v>#N/A</v>
      </c>
      <c r="I114" t="e">
        <v>#N/A</v>
      </c>
      <c r="J114" t="e">
        <v>#N/A</v>
      </c>
    </row>
    <row r="115" spans="1:10" x14ac:dyDescent="0.25">
      <c r="A115" s="14">
        <v>40664</v>
      </c>
      <c r="B115" s="22">
        <v>107.1</v>
      </c>
      <c r="C115" s="7">
        <v>105.2</v>
      </c>
      <c r="E115" s="23">
        <v>105.2</v>
      </c>
      <c r="F115" s="22">
        <v>104</v>
      </c>
      <c r="G115" s="21">
        <v>1.2</v>
      </c>
      <c r="H115" t="e">
        <v>#N/A</v>
      </c>
      <c r="I115" t="e">
        <v>#N/A</v>
      </c>
      <c r="J115" t="e">
        <v>#N/A</v>
      </c>
    </row>
    <row r="116" spans="1:10" x14ac:dyDescent="0.25">
      <c r="A116" s="14">
        <v>40695</v>
      </c>
      <c r="B116" s="22">
        <v>102.8</v>
      </c>
      <c r="C116" s="7">
        <v>102.7</v>
      </c>
      <c r="E116" s="23">
        <v>102.7</v>
      </c>
      <c r="F116" s="22">
        <v>103.4</v>
      </c>
      <c r="G116" s="21">
        <v>-0.7</v>
      </c>
      <c r="H116" t="e">
        <v>#N/A</v>
      </c>
      <c r="I116" t="e">
        <v>#N/A</v>
      </c>
      <c r="J116" t="e">
        <v>#N/A</v>
      </c>
    </row>
    <row r="117" spans="1:10" x14ac:dyDescent="0.25">
      <c r="A117" s="14">
        <v>40725</v>
      </c>
      <c r="B117" s="22">
        <v>106.1</v>
      </c>
      <c r="C117" s="7">
        <v>103.1</v>
      </c>
      <c r="E117" s="23">
        <v>103.1</v>
      </c>
      <c r="F117" s="22">
        <v>102.6</v>
      </c>
      <c r="G117" s="21">
        <v>0.5</v>
      </c>
      <c r="H117" t="e">
        <v>#N/A</v>
      </c>
      <c r="I117" t="e">
        <v>#N/A</v>
      </c>
      <c r="J117" t="e">
        <v>#N/A</v>
      </c>
    </row>
    <row r="118" spans="1:10" x14ac:dyDescent="0.25">
      <c r="A118" s="14">
        <v>40756</v>
      </c>
      <c r="B118" s="22">
        <v>110.8</v>
      </c>
      <c r="C118" s="7">
        <v>102.1</v>
      </c>
      <c r="E118" s="23">
        <v>102.1</v>
      </c>
      <c r="F118" s="22">
        <v>101.6</v>
      </c>
      <c r="G118" s="21">
        <v>0.4</v>
      </c>
      <c r="H118" t="e">
        <v>#N/A</v>
      </c>
      <c r="I118" t="e">
        <v>#N/A</v>
      </c>
      <c r="J118" t="e">
        <v>#N/A</v>
      </c>
    </row>
    <row r="119" spans="1:10" x14ac:dyDescent="0.25">
      <c r="A119" s="14">
        <v>40787</v>
      </c>
      <c r="B119" s="22">
        <v>104.8</v>
      </c>
      <c r="C119" s="7">
        <v>100.2</v>
      </c>
      <c r="E119" s="23">
        <v>100.2</v>
      </c>
      <c r="F119" s="22">
        <v>100.8</v>
      </c>
      <c r="G119" s="21">
        <v>-0.6</v>
      </c>
      <c r="H119" t="e">
        <v>#N/A</v>
      </c>
      <c r="I119" t="e">
        <v>#N/A</v>
      </c>
      <c r="J119" t="e">
        <v>#N/A</v>
      </c>
    </row>
    <row r="120" spans="1:10" x14ac:dyDescent="0.25">
      <c r="A120" s="14">
        <v>40817</v>
      </c>
      <c r="B120" s="22">
        <v>106.3</v>
      </c>
      <c r="C120" s="7">
        <v>99.2</v>
      </c>
      <c r="E120" s="23">
        <v>99.2</v>
      </c>
      <c r="F120" s="22">
        <v>100</v>
      </c>
      <c r="G120" s="21">
        <v>-0.8</v>
      </c>
      <c r="H120" t="e">
        <v>#N/A</v>
      </c>
      <c r="I120" t="e">
        <v>#N/A</v>
      </c>
      <c r="J120" t="e">
        <v>#N/A</v>
      </c>
    </row>
    <row r="121" spans="1:10" x14ac:dyDescent="0.25">
      <c r="A121" s="14">
        <v>40848</v>
      </c>
      <c r="B121" s="22">
        <v>104.2</v>
      </c>
      <c r="C121" s="7">
        <v>99.9</v>
      </c>
      <c r="E121" s="23">
        <v>99.9</v>
      </c>
      <c r="F121" s="22">
        <v>99.4</v>
      </c>
      <c r="G121" s="21">
        <v>0.5</v>
      </c>
      <c r="H121" t="e">
        <v>#N/A</v>
      </c>
      <c r="I121" t="e">
        <v>#N/A</v>
      </c>
      <c r="J121" t="e">
        <v>#N/A</v>
      </c>
    </row>
    <row r="122" spans="1:10" x14ac:dyDescent="0.25">
      <c r="A122" s="14">
        <v>40878</v>
      </c>
      <c r="B122" s="22">
        <v>95.7</v>
      </c>
      <c r="C122" s="7">
        <v>102.5</v>
      </c>
      <c r="E122" s="23">
        <v>102.5</v>
      </c>
      <c r="F122" s="22">
        <v>99</v>
      </c>
      <c r="G122" s="21">
        <v>3.5</v>
      </c>
      <c r="H122" t="e">
        <v>#N/A</v>
      </c>
      <c r="I122" t="e">
        <v>#N/A</v>
      </c>
      <c r="J122" t="e">
        <v>#N/A</v>
      </c>
    </row>
    <row r="123" spans="1:10" x14ac:dyDescent="0.25">
      <c r="A123" s="14">
        <v>40909</v>
      </c>
      <c r="B123" s="22">
        <v>88.7</v>
      </c>
      <c r="C123" s="7">
        <v>98</v>
      </c>
      <c r="E123" s="23">
        <v>98</v>
      </c>
      <c r="F123" s="22">
        <v>98.6</v>
      </c>
      <c r="G123" s="21">
        <v>-0.7</v>
      </c>
      <c r="H123" t="e">
        <v>#N/A</v>
      </c>
      <c r="I123" t="e">
        <v>#N/A</v>
      </c>
      <c r="J123" t="e">
        <v>#N/A</v>
      </c>
    </row>
    <row r="124" spans="1:10" x14ac:dyDescent="0.25">
      <c r="A124" s="14">
        <v>40940</v>
      </c>
      <c r="B124" s="22">
        <v>89.8</v>
      </c>
      <c r="C124" s="7">
        <v>99</v>
      </c>
      <c r="E124" s="23">
        <v>99</v>
      </c>
      <c r="F124" s="22">
        <v>98.5</v>
      </c>
      <c r="G124" s="21">
        <v>0.5</v>
      </c>
      <c r="H124" t="e">
        <v>#N/A</v>
      </c>
      <c r="I124" t="e">
        <v>#N/A</v>
      </c>
      <c r="J124" t="e">
        <v>#N/A</v>
      </c>
    </row>
    <row r="125" spans="1:10" x14ac:dyDescent="0.25">
      <c r="A125" s="14">
        <v>40969</v>
      </c>
      <c r="B125" s="22">
        <v>99.7</v>
      </c>
      <c r="C125" s="7">
        <v>98.3</v>
      </c>
      <c r="E125" s="23">
        <v>98.3</v>
      </c>
      <c r="F125" s="22">
        <v>98.4</v>
      </c>
      <c r="G125" s="21">
        <v>-0.2</v>
      </c>
      <c r="H125" t="e">
        <v>#N/A</v>
      </c>
      <c r="I125" t="e">
        <v>#N/A</v>
      </c>
      <c r="J125" t="e">
        <v>#N/A</v>
      </c>
    </row>
    <row r="126" spans="1:10" x14ac:dyDescent="0.25">
      <c r="A126" s="14">
        <v>41000</v>
      </c>
      <c r="B126" s="22">
        <v>92.8</v>
      </c>
      <c r="C126" s="7">
        <v>98.5</v>
      </c>
      <c r="E126" s="23">
        <v>98.5</v>
      </c>
      <c r="F126" s="22">
        <v>98.6</v>
      </c>
      <c r="G126" s="21">
        <v>-0.1</v>
      </c>
      <c r="H126" t="e">
        <v>#N/A</v>
      </c>
      <c r="I126" t="e">
        <v>#N/A</v>
      </c>
      <c r="J126" t="e">
        <v>#N/A</v>
      </c>
    </row>
    <row r="127" spans="1:10" x14ac:dyDescent="0.25">
      <c r="A127" s="14">
        <v>41030</v>
      </c>
      <c r="B127" s="22">
        <v>102.5</v>
      </c>
      <c r="C127" s="7">
        <v>98.9</v>
      </c>
      <c r="E127" s="23">
        <v>98.9</v>
      </c>
      <c r="F127" s="22">
        <v>98.9</v>
      </c>
      <c r="G127" s="21">
        <v>0</v>
      </c>
      <c r="H127" t="e">
        <v>#N/A</v>
      </c>
      <c r="I127" t="e">
        <v>#N/A</v>
      </c>
      <c r="J127" t="e">
        <v>#N/A</v>
      </c>
    </row>
    <row r="128" spans="1:10" x14ac:dyDescent="0.25">
      <c r="A128" s="14">
        <v>41061</v>
      </c>
      <c r="B128" s="22">
        <v>98.3</v>
      </c>
      <c r="C128" s="7">
        <v>99</v>
      </c>
      <c r="E128" s="23">
        <v>99</v>
      </c>
      <c r="F128" s="22">
        <v>99.5</v>
      </c>
      <c r="G128" s="21">
        <v>-0.5</v>
      </c>
      <c r="H128" t="e">
        <v>#N/A</v>
      </c>
      <c r="I128" t="e">
        <v>#N/A</v>
      </c>
      <c r="J128" t="e">
        <v>#N/A</v>
      </c>
    </row>
    <row r="129" spans="1:10" x14ac:dyDescent="0.25">
      <c r="A129" s="14">
        <v>41091</v>
      </c>
      <c r="B129" s="22">
        <v>104.5</v>
      </c>
      <c r="C129" s="7">
        <v>100.5</v>
      </c>
      <c r="E129" s="23">
        <v>100.5</v>
      </c>
      <c r="F129" s="22">
        <v>100</v>
      </c>
      <c r="G129" s="21">
        <v>0.5</v>
      </c>
      <c r="H129" t="e">
        <v>#N/A</v>
      </c>
      <c r="I129" t="e">
        <v>#N/A</v>
      </c>
      <c r="J129" t="e">
        <v>#N/A</v>
      </c>
    </row>
    <row r="130" spans="1:10" x14ac:dyDescent="0.25">
      <c r="A130" s="14">
        <v>41122</v>
      </c>
      <c r="B130" s="22">
        <v>111.5</v>
      </c>
      <c r="C130" s="7">
        <v>102.5</v>
      </c>
      <c r="E130" s="23">
        <v>102.5</v>
      </c>
      <c r="F130" s="22">
        <v>100.5</v>
      </c>
      <c r="G130" s="21">
        <v>2</v>
      </c>
      <c r="H130" t="e">
        <v>#N/A</v>
      </c>
      <c r="I130" t="e">
        <v>#N/A</v>
      </c>
      <c r="J130" t="e">
        <v>#N/A</v>
      </c>
    </row>
    <row r="131" spans="1:10" x14ac:dyDescent="0.25">
      <c r="A131" s="14">
        <v>41153</v>
      </c>
      <c r="B131" s="22">
        <v>103.4</v>
      </c>
      <c r="C131" s="7">
        <v>100.6</v>
      </c>
      <c r="E131" s="23">
        <v>100.6</v>
      </c>
      <c r="F131" s="22">
        <v>101</v>
      </c>
      <c r="G131" s="21">
        <v>-0.4</v>
      </c>
      <c r="H131" t="e">
        <v>#N/A</v>
      </c>
      <c r="I131" t="e">
        <v>#N/A</v>
      </c>
      <c r="J131" t="e">
        <v>#N/A</v>
      </c>
    </row>
    <row r="132" spans="1:10" x14ac:dyDescent="0.25">
      <c r="A132" s="14">
        <v>41183</v>
      </c>
      <c r="B132" s="22">
        <v>111.8</v>
      </c>
      <c r="C132" s="7">
        <v>102.1</v>
      </c>
      <c r="E132" s="23">
        <v>102.1</v>
      </c>
      <c r="F132" s="22">
        <v>101.2</v>
      </c>
      <c r="G132" s="21">
        <v>0.9</v>
      </c>
      <c r="H132" t="e">
        <v>#N/A</v>
      </c>
      <c r="I132" t="e">
        <v>#N/A</v>
      </c>
      <c r="J132" t="e">
        <v>#N/A</v>
      </c>
    </row>
    <row r="133" spans="1:10" x14ac:dyDescent="0.25">
      <c r="A133" s="14">
        <v>41214</v>
      </c>
      <c r="B133" s="22">
        <v>104.8</v>
      </c>
      <c r="C133" s="7">
        <v>100.6</v>
      </c>
      <c r="E133" s="23">
        <v>100.6</v>
      </c>
      <c r="F133" s="22">
        <v>101.4</v>
      </c>
      <c r="G133" s="21">
        <v>-0.8</v>
      </c>
      <c r="H133" t="e">
        <v>#N/A</v>
      </c>
      <c r="I133" t="e">
        <v>#N/A</v>
      </c>
      <c r="J133" t="e">
        <v>#N/A</v>
      </c>
    </row>
    <row r="134" spans="1:10" x14ac:dyDescent="0.25">
      <c r="A134" s="14">
        <v>41244</v>
      </c>
      <c r="B134" s="22">
        <v>92.2</v>
      </c>
      <c r="C134" s="7">
        <v>101.3</v>
      </c>
      <c r="E134" s="23">
        <v>101.3</v>
      </c>
      <c r="F134" s="22">
        <v>101.4</v>
      </c>
      <c r="G134" s="21">
        <v>-0.1</v>
      </c>
      <c r="H134" t="e">
        <v>#N/A</v>
      </c>
      <c r="I134" t="e">
        <v>#N/A</v>
      </c>
      <c r="J134" t="e">
        <v>#N/A</v>
      </c>
    </row>
    <row r="135" spans="1:10" x14ac:dyDescent="0.25">
      <c r="A135" s="14">
        <v>41275</v>
      </c>
      <c r="B135" s="22">
        <v>94.5</v>
      </c>
      <c r="C135" s="7">
        <v>102.1</v>
      </c>
      <c r="E135" s="23">
        <v>102.1</v>
      </c>
      <c r="F135" s="22">
        <v>101.5</v>
      </c>
      <c r="G135" s="21">
        <v>0.6</v>
      </c>
      <c r="H135" t="e">
        <v>#N/A</v>
      </c>
      <c r="I135" t="e">
        <v>#N/A</v>
      </c>
      <c r="J135" t="e">
        <v>#N/A</v>
      </c>
    </row>
    <row r="136" spans="1:10" x14ac:dyDescent="0.25">
      <c r="A136" s="14">
        <v>41306</v>
      </c>
      <c r="B136" s="22">
        <v>88.1</v>
      </c>
      <c r="C136" s="7">
        <v>99.7</v>
      </c>
      <c r="E136" s="23">
        <v>99.7</v>
      </c>
      <c r="F136" s="22">
        <v>101.8</v>
      </c>
      <c r="G136" s="21">
        <v>-2.1</v>
      </c>
      <c r="H136" t="e">
        <v>#N/A</v>
      </c>
      <c r="I136" t="e">
        <v>#N/A</v>
      </c>
      <c r="J136" t="e">
        <v>#N/A</v>
      </c>
    </row>
    <row r="137" spans="1:10" x14ac:dyDescent="0.25">
      <c r="A137" s="14">
        <v>41334</v>
      </c>
      <c r="B137" s="22">
        <v>97.7</v>
      </c>
      <c r="C137" s="7">
        <v>101.2</v>
      </c>
      <c r="E137" s="23">
        <v>101.2</v>
      </c>
      <c r="F137" s="22">
        <v>102</v>
      </c>
      <c r="G137" s="21">
        <v>-0.8</v>
      </c>
      <c r="H137" t="e">
        <v>#N/A</v>
      </c>
      <c r="I137" t="e">
        <v>#N/A</v>
      </c>
      <c r="J137" t="e">
        <v>#N/A</v>
      </c>
    </row>
    <row r="138" spans="1:10" x14ac:dyDescent="0.25">
      <c r="A138" s="14">
        <v>41365</v>
      </c>
      <c r="B138" s="22">
        <v>101.8</v>
      </c>
      <c r="C138" s="7">
        <v>103</v>
      </c>
      <c r="E138" s="23">
        <v>103</v>
      </c>
      <c r="F138" s="22">
        <v>102.3</v>
      </c>
      <c r="G138" s="21">
        <v>0.7</v>
      </c>
      <c r="H138" t="e">
        <v>#N/A</v>
      </c>
      <c r="I138" t="e">
        <v>#N/A</v>
      </c>
      <c r="J138" t="e">
        <v>#N/A</v>
      </c>
    </row>
    <row r="139" spans="1:10" x14ac:dyDescent="0.25">
      <c r="A139" s="14">
        <v>41395</v>
      </c>
      <c r="B139" s="22">
        <v>105</v>
      </c>
      <c r="C139" s="7">
        <v>102.5</v>
      </c>
      <c r="E139" s="23">
        <v>102.5</v>
      </c>
      <c r="F139" s="22">
        <v>102.6</v>
      </c>
      <c r="G139" s="21">
        <v>-0.1</v>
      </c>
      <c r="H139" t="e">
        <v>#N/A</v>
      </c>
      <c r="I139" t="e">
        <v>#N/A</v>
      </c>
      <c r="J139" t="e">
        <v>#N/A</v>
      </c>
    </row>
    <row r="140" spans="1:10" x14ac:dyDescent="0.25">
      <c r="A140" s="14">
        <v>41426</v>
      </c>
      <c r="B140" s="22">
        <v>101.7</v>
      </c>
      <c r="C140" s="7">
        <v>103.2</v>
      </c>
      <c r="E140" s="23">
        <v>103.2</v>
      </c>
      <c r="F140" s="22">
        <v>102.8</v>
      </c>
      <c r="G140" s="21">
        <v>0.4</v>
      </c>
      <c r="H140" t="e">
        <v>#N/A</v>
      </c>
      <c r="I140" t="e">
        <v>#N/A</v>
      </c>
      <c r="J140" t="e">
        <v>#N/A</v>
      </c>
    </row>
    <row r="141" spans="1:10" x14ac:dyDescent="0.25">
      <c r="A141" s="14">
        <v>41456</v>
      </c>
      <c r="B141" s="22">
        <v>108</v>
      </c>
      <c r="C141" s="7">
        <v>102.4</v>
      </c>
      <c r="E141" s="23">
        <v>102.4</v>
      </c>
      <c r="F141" s="22">
        <v>103</v>
      </c>
      <c r="G141" s="21">
        <v>-0.6</v>
      </c>
      <c r="H141" t="e">
        <v>#N/A</v>
      </c>
      <c r="I141" t="e">
        <v>#N/A</v>
      </c>
      <c r="J141" t="e">
        <v>#N/A</v>
      </c>
    </row>
    <row r="142" spans="1:10" x14ac:dyDescent="0.25">
      <c r="A142" s="14">
        <v>41487</v>
      </c>
      <c r="B142" s="22">
        <v>112</v>
      </c>
      <c r="C142" s="7">
        <v>102.9</v>
      </c>
      <c r="E142" s="23">
        <v>102.9</v>
      </c>
      <c r="F142" s="22">
        <v>103.1</v>
      </c>
      <c r="G142" s="21">
        <v>-0.1</v>
      </c>
      <c r="H142" t="e">
        <v>#N/A</v>
      </c>
      <c r="I142" t="e">
        <v>#N/A</v>
      </c>
      <c r="J142" t="e">
        <v>#N/A</v>
      </c>
    </row>
    <row r="143" spans="1:10" x14ac:dyDescent="0.25">
      <c r="A143" s="14">
        <v>41518</v>
      </c>
      <c r="B143" s="22">
        <v>107.3</v>
      </c>
      <c r="C143" s="7">
        <v>103.5</v>
      </c>
      <c r="E143" s="23">
        <v>103.5</v>
      </c>
      <c r="F143" s="22">
        <v>102.9</v>
      </c>
      <c r="G143" s="21">
        <v>0.6</v>
      </c>
      <c r="H143" t="e">
        <v>#N/A</v>
      </c>
      <c r="I143" t="e">
        <v>#N/A</v>
      </c>
      <c r="J143" t="e">
        <v>#N/A</v>
      </c>
    </row>
    <row r="144" spans="1:10" x14ac:dyDescent="0.25">
      <c r="A144" s="14">
        <v>41548</v>
      </c>
      <c r="B144" s="22">
        <v>112.6</v>
      </c>
      <c r="C144" s="7">
        <v>102.5</v>
      </c>
      <c r="E144" s="23">
        <v>102.4</v>
      </c>
      <c r="F144" s="22">
        <v>102.7</v>
      </c>
      <c r="G144" s="21">
        <v>-0.3</v>
      </c>
      <c r="H144" t="e">
        <v>#N/A</v>
      </c>
      <c r="I144" t="e">
        <v>#N/A</v>
      </c>
      <c r="J144" t="e">
        <v>#N/A</v>
      </c>
    </row>
    <row r="145" spans="1:10" x14ac:dyDescent="0.25">
      <c r="A145" s="14">
        <v>41579</v>
      </c>
      <c r="B145" s="22">
        <v>106.1</v>
      </c>
      <c r="C145" s="7">
        <v>103</v>
      </c>
      <c r="E145" s="23">
        <v>103</v>
      </c>
      <c r="F145" s="22">
        <v>102.4</v>
      </c>
      <c r="G145" s="21">
        <v>0.6</v>
      </c>
      <c r="H145" t="e">
        <v>#N/A</v>
      </c>
      <c r="I145" t="e">
        <v>#N/A</v>
      </c>
      <c r="J145" t="e">
        <v>#N/A</v>
      </c>
    </row>
    <row r="146" spans="1:10" x14ac:dyDescent="0.25">
      <c r="A146" s="14">
        <v>41609</v>
      </c>
      <c r="B146" s="22">
        <v>90.1</v>
      </c>
      <c r="C146" s="7">
        <v>99</v>
      </c>
      <c r="E146" s="23">
        <v>99</v>
      </c>
      <c r="F146" s="22">
        <v>101.9</v>
      </c>
      <c r="G146" s="21">
        <v>-2.9</v>
      </c>
      <c r="H146" t="e">
        <v>#N/A</v>
      </c>
      <c r="I146" t="e">
        <v>#N/A</v>
      </c>
      <c r="J146" t="e">
        <v>#N/A</v>
      </c>
    </row>
    <row r="147" spans="1:10" x14ac:dyDescent="0.25">
      <c r="A147" s="14">
        <v>41640</v>
      </c>
      <c r="B147" s="22">
        <v>92.6</v>
      </c>
      <c r="C147" s="7">
        <v>100.6</v>
      </c>
      <c r="E147" s="23">
        <v>100.6</v>
      </c>
      <c r="F147" s="22">
        <v>101.5</v>
      </c>
      <c r="G147" s="21">
        <v>-0.9</v>
      </c>
      <c r="H147" t="e">
        <v>#N/A</v>
      </c>
      <c r="I147" t="e">
        <v>#N/A</v>
      </c>
      <c r="J147" t="e">
        <v>#N/A</v>
      </c>
    </row>
    <row r="148" spans="1:10" x14ac:dyDescent="0.25">
      <c r="A148" s="14">
        <v>41671</v>
      </c>
      <c r="B148" s="22">
        <v>92.3</v>
      </c>
      <c r="C148" s="7">
        <v>101.2</v>
      </c>
      <c r="E148" s="23">
        <v>101.2</v>
      </c>
      <c r="F148" s="22">
        <v>101</v>
      </c>
      <c r="G148" s="21">
        <v>0.3</v>
      </c>
      <c r="H148" t="e">
        <v>#N/A</v>
      </c>
      <c r="I148" t="e">
        <v>#N/A</v>
      </c>
      <c r="J148" t="e">
        <v>#N/A</v>
      </c>
    </row>
    <row r="149" spans="1:10" x14ac:dyDescent="0.25">
      <c r="A149" s="14">
        <v>41699</v>
      </c>
      <c r="B149" s="22">
        <v>97.3</v>
      </c>
      <c r="C149" s="7">
        <v>101</v>
      </c>
      <c r="E149" s="23">
        <v>101</v>
      </c>
      <c r="F149" s="22">
        <v>100.4</v>
      </c>
      <c r="G149" s="21">
        <v>0.6</v>
      </c>
      <c r="H149" t="e">
        <v>#N/A</v>
      </c>
      <c r="I149" t="e">
        <v>#N/A</v>
      </c>
      <c r="J149" t="e">
        <v>#N/A</v>
      </c>
    </row>
    <row r="150" spans="1:10" x14ac:dyDescent="0.25">
      <c r="A150" s="14">
        <v>41730</v>
      </c>
      <c r="B150" s="22">
        <v>96</v>
      </c>
      <c r="C150" s="7">
        <v>100.2</v>
      </c>
      <c r="E150" s="23">
        <v>100.2</v>
      </c>
      <c r="F150" s="22">
        <v>99.9</v>
      </c>
      <c r="G150" s="21">
        <v>0.3</v>
      </c>
      <c r="H150" t="e">
        <v>#N/A</v>
      </c>
      <c r="I150" t="e">
        <v>#N/A</v>
      </c>
      <c r="J150" t="e">
        <v>#N/A</v>
      </c>
    </row>
    <row r="151" spans="1:10" x14ac:dyDescent="0.25">
      <c r="A151" s="14">
        <v>41760</v>
      </c>
      <c r="B151" s="22">
        <v>101.7</v>
      </c>
      <c r="C151" s="7">
        <v>98.8</v>
      </c>
      <c r="E151" s="23">
        <v>98.8</v>
      </c>
      <c r="F151" s="22">
        <v>99.4</v>
      </c>
      <c r="G151" s="21">
        <v>-0.6</v>
      </c>
      <c r="H151" t="e">
        <v>#N/A</v>
      </c>
      <c r="I151" t="e">
        <v>#N/A</v>
      </c>
      <c r="J151" t="e">
        <v>#N/A</v>
      </c>
    </row>
    <row r="152" spans="1:10" x14ac:dyDescent="0.25">
      <c r="A152" s="14">
        <v>41791</v>
      </c>
      <c r="B152" s="22">
        <v>94.9</v>
      </c>
      <c r="C152" s="7">
        <v>96.1</v>
      </c>
      <c r="E152" s="23">
        <v>96.1</v>
      </c>
      <c r="F152" s="22">
        <v>99.1</v>
      </c>
      <c r="G152" s="21">
        <v>-3</v>
      </c>
      <c r="H152" t="e">
        <v>#N/A</v>
      </c>
      <c r="I152" t="e">
        <v>#N/A</v>
      </c>
      <c r="J152" t="e">
        <v>#N/A</v>
      </c>
    </row>
    <row r="153" spans="1:10" x14ac:dyDescent="0.25">
      <c r="A153" s="14">
        <v>41821</v>
      </c>
      <c r="B153" s="22">
        <v>104.4</v>
      </c>
      <c r="C153" s="7">
        <v>98.3</v>
      </c>
      <c r="E153" s="23">
        <v>98.3</v>
      </c>
      <c r="F153" s="22">
        <v>99.1</v>
      </c>
      <c r="G153" s="21">
        <v>-0.7</v>
      </c>
      <c r="H153" t="e">
        <v>#N/A</v>
      </c>
      <c r="I153" t="e">
        <v>#N/A</v>
      </c>
      <c r="J153" t="e">
        <v>#N/A</v>
      </c>
    </row>
    <row r="154" spans="1:10" x14ac:dyDescent="0.25">
      <c r="A154" s="14">
        <v>41852</v>
      </c>
      <c r="B154" s="22">
        <v>106.3</v>
      </c>
      <c r="C154" s="7">
        <v>99.2</v>
      </c>
      <c r="E154" s="23">
        <v>99.2</v>
      </c>
      <c r="F154" s="22">
        <v>99.1</v>
      </c>
      <c r="G154" s="21">
        <v>0.1</v>
      </c>
      <c r="H154" t="e">
        <v>#N/A</v>
      </c>
      <c r="I154" t="e">
        <v>#N/A</v>
      </c>
      <c r="J154" t="e">
        <v>#N/A</v>
      </c>
    </row>
    <row r="155" spans="1:10" x14ac:dyDescent="0.25">
      <c r="A155" s="14">
        <v>41883</v>
      </c>
      <c r="B155" s="22">
        <v>105.6</v>
      </c>
      <c r="C155" s="7">
        <v>99.4</v>
      </c>
      <c r="E155" s="23">
        <v>99.4</v>
      </c>
      <c r="F155" s="22">
        <v>99.1</v>
      </c>
      <c r="G155" s="21">
        <v>0.3</v>
      </c>
      <c r="H155" t="e">
        <v>#N/A</v>
      </c>
      <c r="I155" t="e">
        <v>#N/A</v>
      </c>
      <c r="J155" t="e">
        <v>#N/A</v>
      </c>
    </row>
    <row r="156" spans="1:10" x14ac:dyDescent="0.25">
      <c r="A156" s="14">
        <v>41913</v>
      </c>
      <c r="B156" s="22">
        <v>109.3</v>
      </c>
      <c r="C156" s="7">
        <v>99.7</v>
      </c>
      <c r="E156" s="23">
        <v>99.6</v>
      </c>
      <c r="F156" s="22">
        <v>98.9</v>
      </c>
      <c r="G156" s="21">
        <v>0.7</v>
      </c>
      <c r="H156" t="e">
        <v>#N/A</v>
      </c>
      <c r="I156" t="e">
        <v>#N/A</v>
      </c>
      <c r="J156" t="e">
        <v>#N/A</v>
      </c>
    </row>
    <row r="157" spans="1:10" x14ac:dyDescent="0.25">
      <c r="A157" s="14">
        <v>41944</v>
      </c>
      <c r="B157" s="22">
        <v>99.8</v>
      </c>
      <c r="C157" s="7">
        <v>98.6</v>
      </c>
      <c r="E157" s="23">
        <v>98.6</v>
      </c>
      <c r="F157" s="22">
        <v>98.4</v>
      </c>
      <c r="G157" s="21">
        <v>0.2</v>
      </c>
      <c r="H157" t="e">
        <v>#N/A</v>
      </c>
      <c r="I157" t="e">
        <v>#N/A</v>
      </c>
      <c r="J157" t="e">
        <v>#N/A</v>
      </c>
    </row>
    <row r="158" spans="1:10" x14ac:dyDescent="0.25">
      <c r="A158" s="14">
        <v>41974</v>
      </c>
      <c r="B158" s="22">
        <v>87.7</v>
      </c>
      <c r="C158" s="7">
        <v>95.4</v>
      </c>
      <c r="E158" s="23">
        <v>95.4</v>
      </c>
      <c r="F158" s="22">
        <v>97.6</v>
      </c>
      <c r="G158" s="21">
        <v>-2.1</v>
      </c>
      <c r="H158" t="e">
        <v>#N/A</v>
      </c>
      <c r="I158" t="e">
        <v>#N/A</v>
      </c>
      <c r="J158" t="e">
        <v>#N/A</v>
      </c>
    </row>
    <row r="159" spans="1:10" x14ac:dyDescent="0.25">
      <c r="A159" s="14">
        <v>42005</v>
      </c>
      <c r="B159" s="22">
        <v>88.1</v>
      </c>
      <c r="C159" s="7">
        <v>96</v>
      </c>
      <c r="E159" s="23">
        <v>96</v>
      </c>
      <c r="F159" s="22">
        <v>96.6</v>
      </c>
      <c r="G159" s="21">
        <v>-0.5</v>
      </c>
      <c r="H159" t="e">
        <v>#N/A</v>
      </c>
      <c r="I159" t="e">
        <v>#N/A</v>
      </c>
      <c r="J159" t="e">
        <v>#N/A</v>
      </c>
    </row>
    <row r="160" spans="1:10" x14ac:dyDescent="0.25">
      <c r="A160" s="14">
        <v>42036</v>
      </c>
      <c r="B160" s="22">
        <v>83.7</v>
      </c>
      <c r="C160" s="7">
        <v>95.4</v>
      </c>
      <c r="E160" s="23">
        <v>95.4</v>
      </c>
      <c r="F160" s="22">
        <v>95.5</v>
      </c>
      <c r="G160" s="21">
        <v>0</v>
      </c>
      <c r="H160" t="e">
        <v>#N/A</v>
      </c>
      <c r="I160" t="e">
        <v>#N/A</v>
      </c>
      <c r="J160" t="e">
        <v>#N/A</v>
      </c>
    </row>
    <row r="161" spans="1:10" x14ac:dyDescent="0.25">
      <c r="A161" s="14">
        <v>42064</v>
      </c>
      <c r="B161" s="22">
        <v>94.3</v>
      </c>
      <c r="C161" s="7">
        <v>95</v>
      </c>
      <c r="E161" s="23">
        <v>95</v>
      </c>
      <c r="F161" s="22">
        <v>94.4</v>
      </c>
      <c r="G161" s="21">
        <v>0.7</v>
      </c>
      <c r="H161" t="e">
        <v>#N/A</v>
      </c>
      <c r="I161" t="e">
        <v>#N/A</v>
      </c>
      <c r="J161" t="e">
        <v>#N/A</v>
      </c>
    </row>
    <row r="162" spans="1:10" x14ac:dyDescent="0.25">
      <c r="A162" s="14">
        <v>42095</v>
      </c>
      <c r="B162" s="22">
        <v>88.8</v>
      </c>
      <c r="C162" s="7">
        <v>93</v>
      </c>
      <c r="E162" s="23">
        <v>93</v>
      </c>
      <c r="F162" s="22">
        <v>93.3</v>
      </c>
      <c r="G162" s="21">
        <v>-0.3</v>
      </c>
      <c r="H162" t="e">
        <v>#N/A</v>
      </c>
      <c r="I162" t="e">
        <v>#N/A</v>
      </c>
      <c r="J162" t="e">
        <v>#N/A</v>
      </c>
    </row>
    <row r="163" spans="1:10" x14ac:dyDescent="0.25">
      <c r="A163" s="14">
        <v>42125</v>
      </c>
      <c r="B163" s="22">
        <v>93.1</v>
      </c>
      <c r="C163" s="7">
        <v>92.2</v>
      </c>
      <c r="E163" s="23">
        <v>92.2</v>
      </c>
      <c r="F163" s="22">
        <v>92.2</v>
      </c>
      <c r="G163" s="21">
        <v>0</v>
      </c>
      <c r="H163" t="e">
        <v>#N/A</v>
      </c>
      <c r="I163" t="e">
        <v>#N/A</v>
      </c>
      <c r="J163" t="e">
        <v>#N/A</v>
      </c>
    </row>
    <row r="164" spans="1:10" x14ac:dyDescent="0.25">
      <c r="A164" s="14">
        <v>42156</v>
      </c>
      <c r="B164" s="22">
        <v>92.5</v>
      </c>
      <c r="C164" s="7">
        <v>91.3</v>
      </c>
      <c r="E164" s="23">
        <v>91.3</v>
      </c>
      <c r="F164" s="22">
        <v>91.3</v>
      </c>
      <c r="G164" s="21">
        <v>0</v>
      </c>
      <c r="H164" t="e">
        <v>#N/A</v>
      </c>
      <c r="I164" t="e">
        <v>#N/A</v>
      </c>
      <c r="J164" t="e">
        <v>#N/A</v>
      </c>
    </row>
    <row r="165" spans="1:10" x14ac:dyDescent="0.25">
      <c r="A165" s="14">
        <v>42186</v>
      </c>
      <c r="B165" s="22">
        <v>95.5</v>
      </c>
      <c r="C165" s="7">
        <v>89.5</v>
      </c>
      <c r="E165" s="23">
        <v>89.5</v>
      </c>
      <c r="F165" s="22">
        <v>90.3</v>
      </c>
      <c r="G165" s="21">
        <v>-0.8</v>
      </c>
      <c r="H165" t="e">
        <v>#N/A</v>
      </c>
      <c r="I165" t="e">
        <v>#N/A</v>
      </c>
      <c r="J165" t="e">
        <v>#N/A</v>
      </c>
    </row>
    <row r="166" spans="1:10" x14ac:dyDescent="0.25">
      <c r="A166" s="14">
        <v>42217</v>
      </c>
      <c r="B166" s="22">
        <v>97.6</v>
      </c>
      <c r="C166" s="7">
        <v>90.3</v>
      </c>
      <c r="E166" s="23">
        <v>90.3</v>
      </c>
      <c r="F166" s="22">
        <v>89.3</v>
      </c>
      <c r="G166" s="21">
        <v>0.9</v>
      </c>
      <c r="H166" t="e">
        <v>#N/A</v>
      </c>
      <c r="I166" t="e">
        <v>#N/A</v>
      </c>
      <c r="J166" t="e">
        <v>#N/A</v>
      </c>
    </row>
    <row r="167" spans="1:10" x14ac:dyDescent="0.25">
      <c r="A167" s="14">
        <v>42248</v>
      </c>
      <c r="B167" s="22">
        <v>94.3</v>
      </c>
      <c r="C167" s="7">
        <v>88.2</v>
      </c>
      <c r="E167" s="23">
        <v>88.2</v>
      </c>
      <c r="F167" s="22">
        <v>88.4</v>
      </c>
      <c r="G167" s="21">
        <v>-0.2</v>
      </c>
      <c r="H167" t="e">
        <v>#N/A</v>
      </c>
      <c r="I167" t="e">
        <v>#N/A</v>
      </c>
      <c r="J167" t="e">
        <v>#N/A</v>
      </c>
    </row>
    <row r="168" spans="1:10" x14ac:dyDescent="0.25">
      <c r="A168" s="14">
        <v>42278</v>
      </c>
      <c r="B168" s="22">
        <v>97.2</v>
      </c>
      <c r="C168" s="7">
        <v>88.1</v>
      </c>
      <c r="E168" s="23">
        <v>88</v>
      </c>
      <c r="F168" s="22">
        <v>87.5</v>
      </c>
      <c r="G168" s="21">
        <v>0.6</v>
      </c>
      <c r="H168" t="e">
        <v>#N/A</v>
      </c>
      <c r="I168" t="e">
        <v>#N/A</v>
      </c>
      <c r="J168" t="e">
        <v>#N/A</v>
      </c>
    </row>
    <row r="169" spans="1:10" x14ac:dyDescent="0.25">
      <c r="A169" s="14">
        <v>42309</v>
      </c>
      <c r="B169" s="22">
        <v>87.6</v>
      </c>
      <c r="C169" s="7">
        <v>86.4</v>
      </c>
      <c r="E169" s="23">
        <v>86.4</v>
      </c>
      <c r="F169" s="22">
        <v>86.6</v>
      </c>
      <c r="G169" s="21">
        <v>-0.2</v>
      </c>
      <c r="H169" t="e">
        <v>#N/A</v>
      </c>
      <c r="I169" t="e">
        <v>#N/A</v>
      </c>
      <c r="J169" t="e">
        <v>#N/A</v>
      </c>
    </row>
    <row r="170" spans="1:10" x14ac:dyDescent="0.25">
      <c r="A170" s="14">
        <v>42339</v>
      </c>
      <c r="B170" s="22">
        <v>77.2</v>
      </c>
      <c r="C170" s="7">
        <v>84.8</v>
      </c>
      <c r="E170" s="23">
        <v>84.8</v>
      </c>
      <c r="F170" s="22">
        <v>85.9</v>
      </c>
      <c r="G170" s="21">
        <v>-1.1000000000000001</v>
      </c>
      <c r="H170" t="e">
        <v>#N/A</v>
      </c>
      <c r="I170" t="e">
        <v>#N/A</v>
      </c>
      <c r="J170" t="e">
        <v>#N/A</v>
      </c>
    </row>
    <row r="171" spans="1:10" x14ac:dyDescent="0.25">
      <c r="A171" s="14">
        <v>42370</v>
      </c>
      <c r="B171" s="22">
        <v>76.3</v>
      </c>
      <c r="C171" s="7">
        <v>86.1</v>
      </c>
      <c r="E171" s="23">
        <v>86.1</v>
      </c>
      <c r="F171" s="22">
        <v>85.5</v>
      </c>
      <c r="G171" s="21">
        <v>0.6</v>
      </c>
      <c r="H171" t="e">
        <v>#N/A</v>
      </c>
      <c r="I171" t="e">
        <v>#N/A</v>
      </c>
      <c r="J171" t="e">
        <v>#N/A</v>
      </c>
    </row>
    <row r="172" spans="1:10" x14ac:dyDescent="0.25">
      <c r="A172" s="14">
        <v>42401</v>
      </c>
      <c r="B172" s="22">
        <v>75.8</v>
      </c>
      <c r="C172" s="7">
        <v>84.8</v>
      </c>
      <c r="E172" s="23">
        <v>84.9</v>
      </c>
      <c r="F172" s="22">
        <v>85.3</v>
      </c>
      <c r="G172" s="21">
        <v>-0.5</v>
      </c>
      <c r="H172" t="e">
        <v>#N/A</v>
      </c>
      <c r="I172" t="e">
        <v>#N/A</v>
      </c>
      <c r="J172" t="e">
        <v>#N/A</v>
      </c>
    </row>
    <row r="173" spans="1:10" x14ac:dyDescent="0.25">
      <c r="A173" s="14">
        <v>42430</v>
      </c>
      <c r="B173" s="22">
        <v>83.7</v>
      </c>
      <c r="C173" s="7">
        <v>85.6</v>
      </c>
      <c r="E173" s="23">
        <v>85.6</v>
      </c>
      <c r="F173" s="22">
        <v>85.4</v>
      </c>
      <c r="G173" s="21">
        <v>0.2</v>
      </c>
      <c r="H173" t="e">
        <v>#N/A</v>
      </c>
      <c r="I173" t="e">
        <v>#N/A</v>
      </c>
      <c r="J173" t="e">
        <v>#N/A</v>
      </c>
    </row>
    <row r="174" spans="1:10" x14ac:dyDescent="0.25">
      <c r="A174" s="14">
        <v>42461</v>
      </c>
      <c r="B174" s="22">
        <v>83</v>
      </c>
      <c r="C174" s="7">
        <v>85.4</v>
      </c>
      <c r="E174" s="23">
        <v>85.4</v>
      </c>
      <c r="F174" s="22">
        <v>85.4</v>
      </c>
      <c r="G174" s="21">
        <v>0</v>
      </c>
      <c r="H174" t="e">
        <v>#N/A</v>
      </c>
      <c r="I174" t="e">
        <v>#N/A</v>
      </c>
      <c r="J174" t="e">
        <v>#N/A</v>
      </c>
    </row>
    <row r="175" spans="1:10" x14ac:dyDescent="0.25">
      <c r="A175" s="14">
        <v>42491</v>
      </c>
      <c r="B175" s="22">
        <v>86.3</v>
      </c>
      <c r="C175" s="7">
        <v>85.8</v>
      </c>
      <c r="E175" s="23">
        <v>85.8</v>
      </c>
      <c r="F175" s="22">
        <v>85.3</v>
      </c>
      <c r="G175" s="21">
        <v>0.5</v>
      </c>
      <c r="H175" t="e">
        <v>#N/A</v>
      </c>
      <c r="I175" t="e">
        <v>#N/A</v>
      </c>
      <c r="J175" t="e">
        <v>#N/A</v>
      </c>
    </row>
    <row r="176" spans="1:10" x14ac:dyDescent="0.25">
      <c r="A176" s="14">
        <v>42522</v>
      </c>
      <c r="B176" s="22">
        <v>87.7</v>
      </c>
      <c r="C176" s="7">
        <v>84.8</v>
      </c>
      <c r="E176" s="23">
        <v>84.8</v>
      </c>
      <c r="F176" s="22">
        <v>85.1</v>
      </c>
      <c r="G176" s="21">
        <v>-0.3</v>
      </c>
      <c r="H176" t="e">
        <v>#N/A</v>
      </c>
      <c r="I176" t="e">
        <v>#N/A</v>
      </c>
      <c r="J176" t="e">
        <v>#N/A</v>
      </c>
    </row>
    <row r="177" spans="1:10" x14ac:dyDescent="0.25">
      <c r="A177" s="14">
        <v>42552</v>
      </c>
      <c r="B177" s="22">
        <v>89.6</v>
      </c>
      <c r="C177" s="7">
        <v>85.5</v>
      </c>
      <c r="E177" s="23">
        <v>85.5</v>
      </c>
      <c r="F177" s="22">
        <v>84.7</v>
      </c>
      <c r="G177" s="21">
        <v>0.9</v>
      </c>
      <c r="H177" t="e">
        <v>#N/A</v>
      </c>
      <c r="I177" t="e">
        <v>#N/A</v>
      </c>
      <c r="J177" t="e">
        <v>#N/A</v>
      </c>
    </row>
    <row r="178" spans="1:10" x14ac:dyDescent="0.25">
      <c r="A178" s="14">
        <v>42583</v>
      </c>
      <c r="B178" s="22">
        <v>93</v>
      </c>
      <c r="C178" s="7">
        <v>83.5</v>
      </c>
      <c r="E178" s="23">
        <v>83.5</v>
      </c>
      <c r="F178" s="22">
        <v>84.3</v>
      </c>
      <c r="G178" s="21">
        <v>-0.8</v>
      </c>
      <c r="H178" t="e">
        <v>#N/A</v>
      </c>
      <c r="I178" t="e">
        <v>#N/A</v>
      </c>
      <c r="J178" t="e">
        <v>#N/A</v>
      </c>
    </row>
    <row r="179" spans="1:10" x14ac:dyDescent="0.25">
      <c r="A179" s="14">
        <v>42614</v>
      </c>
      <c r="B179" s="22">
        <v>90.7</v>
      </c>
      <c r="C179" s="7">
        <v>84.4</v>
      </c>
      <c r="E179" s="23">
        <v>84.4</v>
      </c>
      <c r="F179" s="22">
        <v>84.1</v>
      </c>
      <c r="G179" s="21">
        <v>0.3</v>
      </c>
      <c r="H179" t="e">
        <v>#N/A</v>
      </c>
      <c r="I179" t="e">
        <v>#N/A</v>
      </c>
      <c r="J179" t="e">
        <v>#N/A</v>
      </c>
    </row>
    <row r="180" spans="1:10" x14ac:dyDescent="0.25">
      <c r="A180" s="14">
        <v>42644</v>
      </c>
      <c r="B180" s="22">
        <v>90.2</v>
      </c>
      <c r="C180" s="7">
        <v>83.4</v>
      </c>
      <c r="E180" s="23">
        <v>83.3</v>
      </c>
      <c r="F180" s="22">
        <v>84.2</v>
      </c>
      <c r="G180" s="21">
        <v>-0.9</v>
      </c>
      <c r="H180" t="e">
        <v>#N/A</v>
      </c>
      <c r="I180" t="e">
        <v>#N/A</v>
      </c>
      <c r="J180" t="e">
        <v>#N/A</v>
      </c>
    </row>
    <row r="181" spans="1:10" x14ac:dyDescent="0.25">
      <c r="A181" s="14">
        <v>42675</v>
      </c>
      <c r="B181" s="22">
        <v>86.5</v>
      </c>
      <c r="C181" s="7">
        <v>84</v>
      </c>
      <c r="E181" s="23">
        <v>84</v>
      </c>
      <c r="F181" s="22">
        <v>84.6</v>
      </c>
      <c r="G181" s="21">
        <v>-0.6</v>
      </c>
      <c r="H181" t="e">
        <v>#N/A</v>
      </c>
      <c r="I181" t="e">
        <v>#N/A</v>
      </c>
      <c r="J181" t="e">
        <v>#N/A</v>
      </c>
    </row>
    <row r="182" spans="1:10" x14ac:dyDescent="0.25">
      <c r="A182" s="14">
        <v>42705</v>
      </c>
      <c r="B182" s="22">
        <v>77.2</v>
      </c>
      <c r="C182" s="7">
        <v>85.5</v>
      </c>
      <c r="E182" s="23">
        <v>85.5</v>
      </c>
      <c r="F182" s="22">
        <v>85.1</v>
      </c>
      <c r="G182" s="21">
        <v>0.4</v>
      </c>
      <c r="H182" t="e">
        <v>#N/A</v>
      </c>
      <c r="I182" t="e">
        <v>#N/A</v>
      </c>
      <c r="J182" t="e">
        <v>#N/A</v>
      </c>
    </row>
    <row r="183" spans="1:10" x14ac:dyDescent="0.25">
      <c r="A183" s="14">
        <v>42736</v>
      </c>
      <c r="B183" s="22">
        <v>77.900000000000006</v>
      </c>
      <c r="C183" s="7">
        <v>86.4</v>
      </c>
      <c r="E183" s="23">
        <v>86.4</v>
      </c>
      <c r="F183" s="22">
        <v>85.6</v>
      </c>
      <c r="G183" s="21">
        <v>0.8</v>
      </c>
      <c r="H183" t="e">
        <v>#N/A</v>
      </c>
      <c r="I183" t="e">
        <v>#N/A</v>
      </c>
      <c r="J183" t="e">
        <v>#N/A</v>
      </c>
    </row>
    <row r="184" spans="1:10" x14ac:dyDescent="0.25">
      <c r="A184" s="14">
        <v>42767</v>
      </c>
      <c r="B184" s="22">
        <v>75.900000000000006</v>
      </c>
      <c r="C184" s="7">
        <v>87.4</v>
      </c>
      <c r="E184" s="23">
        <v>87.5</v>
      </c>
      <c r="F184" s="22">
        <v>85.9</v>
      </c>
      <c r="G184" s="21">
        <v>1.5</v>
      </c>
      <c r="H184" t="e">
        <v>#N/A</v>
      </c>
      <c r="I184" t="e">
        <v>#N/A</v>
      </c>
      <c r="J184" t="e">
        <v>#N/A</v>
      </c>
    </row>
    <row r="185" spans="1:10" x14ac:dyDescent="0.25">
      <c r="A185" s="14">
        <v>42795</v>
      </c>
      <c r="B185" s="22">
        <v>85.4</v>
      </c>
      <c r="C185" s="7">
        <v>85.6</v>
      </c>
      <c r="E185" s="23">
        <v>85.6</v>
      </c>
      <c r="F185" s="22">
        <v>86.1</v>
      </c>
      <c r="G185" s="21">
        <v>-0.5</v>
      </c>
      <c r="H185" t="e">
        <v>#N/A</v>
      </c>
      <c r="I185" t="e">
        <v>#N/A</v>
      </c>
      <c r="J185" t="e">
        <v>#N/A</v>
      </c>
    </row>
    <row r="186" spans="1:10" x14ac:dyDescent="0.25">
      <c r="A186" s="14">
        <v>42826</v>
      </c>
      <c r="B186" s="22">
        <v>79.3</v>
      </c>
      <c r="C186" s="7">
        <v>85.9</v>
      </c>
      <c r="E186" s="23">
        <v>85.9</v>
      </c>
      <c r="F186" s="22">
        <v>86.3</v>
      </c>
      <c r="G186" s="21">
        <v>-0.4</v>
      </c>
      <c r="H186" t="e">
        <v>#N/A</v>
      </c>
      <c r="I186" t="e">
        <v>#N/A</v>
      </c>
      <c r="J186" t="e">
        <v>#N/A</v>
      </c>
    </row>
    <row r="187" spans="1:10" x14ac:dyDescent="0.25">
      <c r="A187" s="14">
        <v>42856</v>
      </c>
      <c r="B187" s="22">
        <v>90.1</v>
      </c>
      <c r="C187" s="7">
        <v>86.2</v>
      </c>
      <c r="E187" s="23">
        <v>86.2</v>
      </c>
      <c r="F187" s="22">
        <v>86.4</v>
      </c>
      <c r="G187" s="21">
        <v>-0.2</v>
      </c>
      <c r="H187" t="e">
        <v>#N/A</v>
      </c>
      <c r="I187" t="e">
        <v>#N/A</v>
      </c>
      <c r="J187" t="e">
        <v>#N/A</v>
      </c>
    </row>
    <row r="188" spans="1:10" x14ac:dyDescent="0.25">
      <c r="A188" s="14">
        <v>42887</v>
      </c>
      <c r="B188" s="22">
        <v>88.4</v>
      </c>
      <c r="C188" s="7">
        <v>87</v>
      </c>
      <c r="E188" s="23">
        <v>86.9</v>
      </c>
      <c r="F188" s="22">
        <v>86.6</v>
      </c>
      <c r="G188" s="21">
        <v>0.3</v>
      </c>
      <c r="H188" t="e">
        <v>#N/A</v>
      </c>
      <c r="I188" t="e">
        <v>#N/A</v>
      </c>
      <c r="J188" t="e">
        <v>#N/A</v>
      </c>
    </row>
    <row r="189" spans="1:10" x14ac:dyDescent="0.25">
      <c r="A189" s="14">
        <v>42917</v>
      </c>
      <c r="B189" s="22">
        <v>92.1</v>
      </c>
      <c r="C189" s="7">
        <v>87.3</v>
      </c>
      <c r="E189" s="23">
        <v>87.2</v>
      </c>
      <c r="F189" s="22">
        <v>86.9</v>
      </c>
      <c r="G189" s="21">
        <v>0.3</v>
      </c>
      <c r="H189" t="e">
        <v>#N/A</v>
      </c>
      <c r="I189" t="e">
        <v>#N/A</v>
      </c>
      <c r="J189" t="e">
        <v>#N/A</v>
      </c>
    </row>
    <row r="190" spans="1:10" x14ac:dyDescent="0.25">
      <c r="A190" s="14">
        <v>42948</v>
      </c>
      <c r="B190" s="22">
        <v>96.7</v>
      </c>
      <c r="C190" s="7">
        <v>87</v>
      </c>
      <c r="E190" s="23">
        <v>87</v>
      </c>
      <c r="F190" s="22">
        <v>87.3</v>
      </c>
      <c r="G190" s="21">
        <v>-0.3</v>
      </c>
      <c r="H190" t="e">
        <v>#N/A</v>
      </c>
      <c r="I190" t="e">
        <v>#N/A</v>
      </c>
      <c r="J190" t="e">
        <v>#N/A</v>
      </c>
    </row>
    <row r="191" spans="1:10" x14ac:dyDescent="0.25">
      <c r="A191" s="14">
        <v>42979</v>
      </c>
      <c r="B191" s="22">
        <v>93</v>
      </c>
      <c r="C191" s="7">
        <v>87.4</v>
      </c>
      <c r="E191" s="23">
        <v>87.4</v>
      </c>
      <c r="F191" s="22">
        <v>87.6</v>
      </c>
      <c r="G191" s="21">
        <v>-0.3</v>
      </c>
      <c r="H191" t="e">
        <v>#N/A</v>
      </c>
      <c r="I191" t="e">
        <v>#N/A</v>
      </c>
      <c r="J191" t="e">
        <v>#N/A</v>
      </c>
    </row>
    <row r="192" spans="1:10" x14ac:dyDescent="0.25">
      <c r="A192" s="14">
        <v>43009</v>
      </c>
      <c r="B192" s="22">
        <v>95.1</v>
      </c>
      <c r="C192" s="7">
        <v>88.1</v>
      </c>
      <c r="E192" s="23">
        <v>88</v>
      </c>
      <c r="F192" s="22">
        <v>87.9</v>
      </c>
      <c r="G192" s="21">
        <v>0.1</v>
      </c>
      <c r="H192" t="e">
        <v>#N/A</v>
      </c>
      <c r="I192" t="e">
        <v>#N/A</v>
      </c>
      <c r="J192" t="e">
        <v>#N/A</v>
      </c>
    </row>
    <row r="193" spans="1:10" x14ac:dyDescent="0.25">
      <c r="A193" s="14">
        <v>43040</v>
      </c>
      <c r="B193" s="22">
        <v>90.6</v>
      </c>
      <c r="C193" s="7">
        <v>88.4</v>
      </c>
      <c r="E193" s="23">
        <v>88.4</v>
      </c>
      <c r="F193" s="22">
        <v>88.3</v>
      </c>
      <c r="G193" s="21">
        <v>0.1</v>
      </c>
      <c r="H193" t="e">
        <v>#N/A</v>
      </c>
      <c r="I193" t="e">
        <v>#N/A</v>
      </c>
      <c r="J193" t="e">
        <v>#N/A</v>
      </c>
    </row>
    <row r="194" spans="1:10" x14ac:dyDescent="0.25">
      <c r="A194" s="14">
        <v>43070</v>
      </c>
      <c r="B194" s="22">
        <v>81</v>
      </c>
      <c r="C194" s="7">
        <v>91.3</v>
      </c>
      <c r="E194" s="23">
        <v>91.3</v>
      </c>
      <c r="F194" s="22">
        <v>88.6</v>
      </c>
      <c r="G194" s="21">
        <v>2.7</v>
      </c>
      <c r="H194" t="e">
        <v>#N/A</v>
      </c>
      <c r="I194" t="e">
        <v>#N/A</v>
      </c>
      <c r="J194" t="e">
        <v>#N/A</v>
      </c>
    </row>
    <row r="195" spans="1:10" x14ac:dyDescent="0.25">
      <c r="A195" s="14">
        <v>43101</v>
      </c>
      <c r="B195" s="22">
        <v>82.3</v>
      </c>
      <c r="C195" s="7">
        <v>88.9</v>
      </c>
      <c r="E195" s="23">
        <v>88.9</v>
      </c>
      <c r="F195" s="22">
        <v>88.9</v>
      </c>
      <c r="G195" s="21">
        <v>0</v>
      </c>
      <c r="H195" t="e">
        <v>#N/A</v>
      </c>
      <c r="I195" t="e">
        <v>#N/A</v>
      </c>
      <c r="J195" t="e">
        <v>#N/A</v>
      </c>
    </row>
    <row r="196" spans="1:10" x14ac:dyDescent="0.25">
      <c r="A196" s="14">
        <v>43132</v>
      </c>
      <c r="B196" s="22">
        <v>77.3</v>
      </c>
      <c r="C196" s="7">
        <v>88.5</v>
      </c>
      <c r="E196" s="23">
        <v>88.6</v>
      </c>
      <c r="F196" s="22">
        <v>89.3</v>
      </c>
      <c r="G196" s="21">
        <v>-0.7</v>
      </c>
      <c r="H196" t="e">
        <v>#N/A</v>
      </c>
      <c r="I196" t="e">
        <v>#N/A</v>
      </c>
      <c r="J196" t="e">
        <v>#N/A</v>
      </c>
    </row>
    <row r="197" spans="1:10" x14ac:dyDescent="0.25">
      <c r="A197" s="14">
        <v>43160</v>
      </c>
      <c r="B197" s="22">
        <v>86.2</v>
      </c>
      <c r="C197" s="7">
        <v>89.7</v>
      </c>
      <c r="E197" s="23">
        <v>89.7</v>
      </c>
      <c r="F197" s="22">
        <v>89.6</v>
      </c>
      <c r="G197" s="21">
        <v>0.1</v>
      </c>
      <c r="H197" t="e">
        <v>#N/A</v>
      </c>
      <c r="I197" t="e">
        <v>#N/A</v>
      </c>
      <c r="J197" t="e">
        <v>#N/A</v>
      </c>
    </row>
    <row r="198" spans="1:10" x14ac:dyDescent="0.25">
      <c r="A198" s="14">
        <v>43191</v>
      </c>
      <c r="B198" s="22">
        <v>86.5</v>
      </c>
      <c r="C198" s="7">
        <v>90.1</v>
      </c>
      <c r="E198" s="23">
        <v>90.1</v>
      </c>
      <c r="F198" s="22">
        <v>89.9</v>
      </c>
      <c r="G198" s="21">
        <v>0.2</v>
      </c>
      <c r="H198" t="e">
        <v>#N/A</v>
      </c>
      <c r="I198" t="e">
        <v>#N/A</v>
      </c>
      <c r="J198" t="e">
        <v>#N/A</v>
      </c>
    </row>
    <row r="199" spans="1:10" x14ac:dyDescent="0.25">
      <c r="A199" s="14">
        <v>43221</v>
      </c>
      <c r="B199" s="22">
        <v>84.4</v>
      </c>
      <c r="C199" s="7">
        <v>80.2</v>
      </c>
      <c r="E199" s="23">
        <v>80.2</v>
      </c>
      <c r="F199" s="22">
        <v>90</v>
      </c>
      <c r="G199" s="21">
        <v>-9.8000000000000007</v>
      </c>
      <c r="H199" t="e">
        <v>#N/A</v>
      </c>
      <c r="I199" t="e">
        <v>#N/A</v>
      </c>
      <c r="J199" t="e">
        <v>#N/A</v>
      </c>
    </row>
    <row r="200" spans="1:10" x14ac:dyDescent="0.25">
      <c r="A200" s="14">
        <v>43252</v>
      </c>
      <c r="B200" s="22">
        <v>91.1</v>
      </c>
      <c r="C200" s="7">
        <v>90.3</v>
      </c>
      <c r="E200" s="23">
        <v>90.3</v>
      </c>
      <c r="F200" s="22">
        <v>89.9</v>
      </c>
      <c r="G200" s="21">
        <v>0.3</v>
      </c>
      <c r="H200" t="e">
        <v>#N/A</v>
      </c>
      <c r="I200" t="e">
        <v>#N/A</v>
      </c>
      <c r="J200" t="e">
        <v>#N/A</v>
      </c>
    </row>
    <row r="201" spans="1:10" x14ac:dyDescent="0.25">
      <c r="A201" s="14">
        <v>43282</v>
      </c>
      <c r="B201" s="22">
        <v>95.8</v>
      </c>
      <c r="C201" s="7">
        <v>90.1</v>
      </c>
      <c r="E201" s="23">
        <v>90</v>
      </c>
      <c r="F201" s="22">
        <v>89.6</v>
      </c>
      <c r="G201" s="21">
        <v>0.4</v>
      </c>
      <c r="H201" t="e">
        <v>#N/A</v>
      </c>
      <c r="I201" t="e">
        <v>#N/A</v>
      </c>
      <c r="J201" t="e">
        <v>#N/A</v>
      </c>
    </row>
    <row r="202" spans="1:10" x14ac:dyDescent="0.25">
      <c r="A202" s="14">
        <v>43313</v>
      </c>
      <c r="B202" s="22">
        <v>98.2</v>
      </c>
      <c r="C202" s="7">
        <v>88.9</v>
      </c>
      <c r="E202" s="23">
        <v>88.9</v>
      </c>
      <c r="F202" s="22">
        <v>89</v>
      </c>
      <c r="G202" s="21">
        <v>-0.2</v>
      </c>
      <c r="H202" t="e">
        <v>#N/A</v>
      </c>
      <c r="I202" t="e">
        <v>#N/A</v>
      </c>
      <c r="J202" t="e">
        <v>#N/A</v>
      </c>
    </row>
    <row r="203" spans="1:10" x14ac:dyDescent="0.25">
      <c r="A203" s="14">
        <v>43344</v>
      </c>
      <c r="B203" s="22">
        <v>90.7</v>
      </c>
      <c r="C203" s="7">
        <v>86.5</v>
      </c>
      <c r="E203" s="23">
        <v>86.4</v>
      </c>
      <c r="F203" s="22">
        <v>88.5</v>
      </c>
      <c r="G203" s="21">
        <v>-2</v>
      </c>
      <c r="H203" t="e">
        <v>#N/A</v>
      </c>
      <c r="I203" t="e">
        <v>#N/A</v>
      </c>
      <c r="J203" t="e">
        <v>#N/A</v>
      </c>
    </row>
    <row r="204" spans="1:10" x14ac:dyDescent="0.25">
      <c r="A204" s="14">
        <v>43374</v>
      </c>
      <c r="B204" s="22">
        <v>95.8</v>
      </c>
      <c r="C204" s="7">
        <v>87.5</v>
      </c>
      <c r="E204" s="23">
        <v>87.5</v>
      </c>
      <c r="F204" s="22">
        <v>87.9</v>
      </c>
      <c r="G204" s="21">
        <v>-0.5</v>
      </c>
      <c r="H204" t="e">
        <v>#N/A</v>
      </c>
      <c r="I204" t="e">
        <v>#N/A</v>
      </c>
      <c r="J204" t="e">
        <v>#N/A</v>
      </c>
    </row>
    <row r="205" spans="1:10" x14ac:dyDescent="0.25">
      <c r="A205" s="14">
        <v>43405</v>
      </c>
      <c r="B205" s="22">
        <v>89.5</v>
      </c>
      <c r="C205" s="7">
        <v>87.5</v>
      </c>
      <c r="E205" s="23">
        <v>87.5</v>
      </c>
      <c r="F205" s="22">
        <v>87.6</v>
      </c>
      <c r="G205" s="21">
        <v>-0.1</v>
      </c>
      <c r="H205" t="e">
        <v>#N/A</v>
      </c>
      <c r="I205" t="e">
        <v>#N/A</v>
      </c>
      <c r="J205" t="e">
        <v>#N/A</v>
      </c>
    </row>
    <row r="206" spans="1:10" x14ac:dyDescent="0.25">
      <c r="A206" s="14">
        <v>43435</v>
      </c>
      <c r="B206" s="22">
        <v>78</v>
      </c>
      <c r="C206" s="7">
        <v>87.8</v>
      </c>
      <c r="E206" s="23">
        <v>87.9</v>
      </c>
      <c r="F206" s="22">
        <v>87.4</v>
      </c>
      <c r="G206" s="21">
        <v>0.5</v>
      </c>
      <c r="H206" t="e">
        <v>#N/A</v>
      </c>
      <c r="I206" t="e">
        <v>#N/A</v>
      </c>
      <c r="J206" t="e">
        <v>#N/A</v>
      </c>
    </row>
    <row r="207" spans="1:10" x14ac:dyDescent="0.25">
      <c r="A207" s="14">
        <v>43466</v>
      </c>
      <c r="B207" s="22">
        <v>80.7</v>
      </c>
      <c r="C207" s="7">
        <v>86.8</v>
      </c>
      <c r="E207" s="23">
        <v>86.9</v>
      </c>
      <c r="F207" s="22">
        <v>87.4</v>
      </c>
      <c r="G207" s="21">
        <v>-0.5</v>
      </c>
      <c r="H207" t="e">
        <v>#N/A</v>
      </c>
      <c r="I207" t="e">
        <v>#N/A</v>
      </c>
      <c r="J207" t="e">
        <v>#N/A</v>
      </c>
    </row>
    <row r="208" spans="1:10" x14ac:dyDescent="0.25">
      <c r="A208" s="14">
        <v>43497</v>
      </c>
      <c r="B208" s="22">
        <v>79.099999999999994</v>
      </c>
      <c r="C208" s="7">
        <v>87.3</v>
      </c>
      <c r="E208" s="23">
        <v>87.4</v>
      </c>
      <c r="F208" s="22">
        <v>87.4</v>
      </c>
      <c r="G208" s="21">
        <v>0.1</v>
      </c>
      <c r="H208" t="e">
        <v>#N/A</v>
      </c>
      <c r="I208" t="e">
        <v>#N/A</v>
      </c>
      <c r="J208" t="e">
        <v>#N/A</v>
      </c>
    </row>
    <row r="209" spans="1:10" x14ac:dyDescent="0.25">
      <c r="A209" s="14">
        <v>43525</v>
      </c>
      <c r="B209" s="22">
        <v>81</v>
      </c>
      <c r="C209" s="7">
        <v>87.1</v>
      </c>
      <c r="E209" s="23">
        <v>87.2</v>
      </c>
      <c r="F209" s="22">
        <v>87.3</v>
      </c>
      <c r="G209" s="21">
        <v>-0.1</v>
      </c>
      <c r="H209" t="e">
        <v>#N/A</v>
      </c>
      <c r="I209" t="e">
        <v>#N/A</v>
      </c>
      <c r="J209" t="e">
        <v>#N/A</v>
      </c>
    </row>
    <row r="210" spans="1:10" x14ac:dyDescent="0.25">
      <c r="A210" s="14">
        <v>43556</v>
      </c>
      <c r="B210" s="22">
        <v>83.3</v>
      </c>
      <c r="C210" s="7">
        <v>87.5</v>
      </c>
      <c r="E210" s="23">
        <v>87.6</v>
      </c>
      <c r="F210" s="22">
        <v>87.2</v>
      </c>
      <c r="G210" s="21">
        <v>0.4</v>
      </c>
      <c r="H210" t="e">
        <v>#N/A</v>
      </c>
      <c r="I210" t="e">
        <v>#N/A</v>
      </c>
      <c r="J210" t="e">
        <v>#N/A</v>
      </c>
    </row>
    <row r="211" spans="1:10" x14ac:dyDescent="0.25">
      <c r="A211" s="14">
        <v>43586</v>
      </c>
      <c r="B211" s="22">
        <v>91</v>
      </c>
      <c r="C211" s="7">
        <v>87.4</v>
      </c>
      <c r="E211" s="23">
        <v>87.4</v>
      </c>
      <c r="F211" s="22">
        <v>87</v>
      </c>
      <c r="G211" s="21">
        <v>0.4</v>
      </c>
      <c r="H211" t="e">
        <v>#N/A</v>
      </c>
      <c r="I211" t="e">
        <v>#N/A</v>
      </c>
      <c r="J211" t="e">
        <v>#N/A</v>
      </c>
    </row>
    <row r="212" spans="1:10" x14ac:dyDescent="0.25">
      <c r="A212" s="14">
        <v>43617</v>
      </c>
      <c r="B212" s="22">
        <v>85.8</v>
      </c>
      <c r="C212" s="7">
        <v>86.6</v>
      </c>
      <c r="E212" s="23">
        <v>86.5</v>
      </c>
      <c r="F212" s="22">
        <v>86.8</v>
      </c>
      <c r="G212" s="21">
        <v>-0.3</v>
      </c>
      <c r="H212" t="e">
        <v>#N/A</v>
      </c>
      <c r="I212" t="e">
        <v>#N/A</v>
      </c>
      <c r="J212" t="e">
        <v>#N/A</v>
      </c>
    </row>
    <row r="213" spans="1:10" x14ac:dyDescent="0.25">
      <c r="A213" s="14">
        <v>43647</v>
      </c>
      <c r="B213" s="22">
        <v>93.4</v>
      </c>
      <c r="C213" s="7">
        <v>86</v>
      </c>
      <c r="E213" s="23">
        <v>85.9</v>
      </c>
      <c r="F213" s="22">
        <v>86.7</v>
      </c>
      <c r="G213" s="21">
        <v>-0.8</v>
      </c>
      <c r="H213" t="e">
        <v>#N/A</v>
      </c>
      <c r="I213" t="e">
        <v>#N/A</v>
      </c>
      <c r="J213" t="e">
        <v>#N/A</v>
      </c>
    </row>
    <row r="214" spans="1:10" x14ac:dyDescent="0.25">
      <c r="A214" s="14">
        <v>43678</v>
      </c>
      <c r="B214" s="22">
        <v>96.2</v>
      </c>
      <c r="C214" s="7">
        <v>87</v>
      </c>
      <c r="E214" s="23">
        <v>86.9</v>
      </c>
      <c r="F214" s="22">
        <v>86.6</v>
      </c>
      <c r="G214" s="21">
        <v>0.4</v>
      </c>
      <c r="H214" t="e">
        <v>#N/A</v>
      </c>
      <c r="I214" t="e">
        <v>#N/A</v>
      </c>
      <c r="J214" t="e">
        <v>#N/A</v>
      </c>
    </row>
    <row r="215" spans="1:10" x14ac:dyDescent="0.25">
      <c r="A215" s="14">
        <v>43709</v>
      </c>
      <c r="B215" s="22">
        <v>91.8</v>
      </c>
      <c r="C215" s="7">
        <v>86.9</v>
      </c>
      <c r="E215" s="23">
        <v>86.9</v>
      </c>
      <c r="F215" s="22">
        <v>86.5</v>
      </c>
      <c r="G215" s="21">
        <v>0.3</v>
      </c>
      <c r="H215" t="e">
        <v>#N/A</v>
      </c>
      <c r="I215" t="e">
        <v>#N/A</v>
      </c>
      <c r="J215" t="e">
        <v>#N/A</v>
      </c>
    </row>
    <row r="216" spans="1:10" x14ac:dyDescent="0.25">
      <c r="A216" s="14">
        <v>43739</v>
      </c>
      <c r="B216" s="22">
        <v>97</v>
      </c>
      <c r="C216" s="7">
        <v>88.7</v>
      </c>
      <c r="E216" s="23">
        <v>88.7</v>
      </c>
      <c r="F216" s="22">
        <v>86.5</v>
      </c>
      <c r="G216" s="21">
        <v>2.1</v>
      </c>
      <c r="H216" t="e">
        <v>#N/A</v>
      </c>
      <c r="I216" t="e">
        <v>#N/A</v>
      </c>
      <c r="J216" t="e">
        <v>#N/A</v>
      </c>
    </row>
    <row r="217" spans="1:10" x14ac:dyDescent="0.25">
      <c r="A217" s="14">
        <v>43770</v>
      </c>
      <c r="B217" s="22">
        <v>88</v>
      </c>
      <c r="C217" s="7">
        <v>86.9</v>
      </c>
      <c r="E217" s="23">
        <v>86.9</v>
      </c>
      <c r="F217" s="22">
        <v>86.5</v>
      </c>
      <c r="G217" s="21">
        <v>0.3</v>
      </c>
      <c r="H217" t="e">
        <v>#N/A</v>
      </c>
      <c r="I217" t="e">
        <v>#N/A</v>
      </c>
      <c r="J217" t="e">
        <v>#N/A</v>
      </c>
    </row>
    <row r="218" spans="1:10" x14ac:dyDescent="0.25">
      <c r="A218" s="14">
        <v>43800</v>
      </c>
      <c r="B218" s="22">
        <v>76.900000000000006</v>
      </c>
      <c r="C218" s="7">
        <v>85.8</v>
      </c>
      <c r="E218" s="23">
        <v>86</v>
      </c>
      <c r="F218" s="22">
        <v>86.6</v>
      </c>
      <c r="G218" s="21">
        <v>-0.6</v>
      </c>
      <c r="H218" t="e">
        <v>#N/A</v>
      </c>
      <c r="I218" t="e">
        <v>#N/A</v>
      </c>
      <c r="J218" t="e">
        <v>#N/A</v>
      </c>
    </row>
    <row r="219" spans="1:10" x14ac:dyDescent="0.25">
      <c r="A219" s="14">
        <v>43831</v>
      </c>
      <c r="B219" s="22">
        <v>80</v>
      </c>
      <c r="C219" s="7">
        <v>86.4</v>
      </c>
      <c r="E219" s="23">
        <v>86.5</v>
      </c>
      <c r="F219" s="22">
        <v>86.8</v>
      </c>
      <c r="G219" s="21">
        <v>-0.3</v>
      </c>
      <c r="H219" t="e">
        <v>#N/A</v>
      </c>
      <c r="I219" t="e">
        <v>#N/A</v>
      </c>
      <c r="J219" t="e">
        <v>#N/A</v>
      </c>
    </row>
    <row r="220" spans="1:10" x14ac:dyDescent="0.25">
      <c r="A220" s="14">
        <v>43862</v>
      </c>
      <c r="B220" s="22">
        <v>78.900000000000006</v>
      </c>
      <c r="C220" s="7">
        <v>87.4</v>
      </c>
      <c r="E220" s="23">
        <v>87.5</v>
      </c>
      <c r="F220" s="22">
        <v>87.2</v>
      </c>
      <c r="G220" s="21">
        <v>0.4</v>
      </c>
      <c r="H220" t="e">
        <v>#N/A</v>
      </c>
      <c r="I220" t="e">
        <v>#N/A</v>
      </c>
      <c r="J220" t="e">
        <v>#N/A</v>
      </c>
    </row>
    <row r="221" spans="1:10" x14ac:dyDescent="0.25">
      <c r="A221" s="14">
        <v>43891</v>
      </c>
      <c r="B221" s="22">
        <v>77.900000000000006</v>
      </c>
      <c r="C221" s="7">
        <v>80.7</v>
      </c>
      <c r="E221" s="23">
        <v>80.7</v>
      </c>
      <c r="F221" s="22">
        <v>87.7</v>
      </c>
      <c r="G221" s="21">
        <v>-7</v>
      </c>
      <c r="H221" t="e">
        <v>#N/A</v>
      </c>
      <c r="I221" t="e">
        <v>#N/A</v>
      </c>
      <c r="J221" t="e">
        <v>#N/A</v>
      </c>
    </row>
    <row r="222" spans="1:10" x14ac:dyDescent="0.25">
      <c r="A222" s="14">
        <v>43922</v>
      </c>
      <c r="B222" s="22">
        <v>60.3</v>
      </c>
      <c r="C222" s="7">
        <v>64.900000000000006</v>
      </c>
      <c r="E222" s="23">
        <v>65</v>
      </c>
      <c r="F222" s="22">
        <v>88.4</v>
      </c>
      <c r="G222" s="21">
        <v>-23.5</v>
      </c>
      <c r="H222" t="e">
        <v>#N/A</v>
      </c>
      <c r="I222" t="e">
        <v>#N/A</v>
      </c>
      <c r="J222" t="e">
        <v>#N/A</v>
      </c>
    </row>
    <row r="223" spans="1:10" x14ac:dyDescent="0.25">
      <c r="A223" s="14">
        <v>43952</v>
      </c>
      <c r="B223" s="22">
        <v>71.2</v>
      </c>
      <c r="C223" s="7">
        <v>70.099999999999994</v>
      </c>
      <c r="E223" s="23">
        <v>70.099999999999994</v>
      </c>
      <c r="F223" s="19">
        <v>89.3</v>
      </c>
      <c r="G223" s="19">
        <v>-19.2</v>
      </c>
      <c r="H223" t="e">
        <v>#N/A</v>
      </c>
      <c r="I223" t="e">
        <v>#N/A</v>
      </c>
      <c r="J223" t="e">
        <v>#N/A</v>
      </c>
    </row>
    <row r="224" spans="1:10" x14ac:dyDescent="0.25">
      <c r="A224" s="14">
        <v>43983</v>
      </c>
      <c r="B224" s="22">
        <v>78.400000000000006</v>
      </c>
      <c r="C224" s="7">
        <v>76.8</v>
      </c>
      <c r="E224" s="23">
        <v>76.599999999999994</v>
      </c>
      <c r="F224" s="19">
        <v>90.2</v>
      </c>
      <c r="G224" s="19">
        <v>-13.7</v>
      </c>
      <c r="H224" t="e">
        <v>#N/A</v>
      </c>
      <c r="I224" t="e">
        <v>#N/A</v>
      </c>
      <c r="J224" t="e">
        <v>#N/A</v>
      </c>
    </row>
    <row r="225" spans="1:10" x14ac:dyDescent="0.25">
      <c r="A225" s="14">
        <v>44013</v>
      </c>
      <c r="B225" s="22">
        <v>91</v>
      </c>
      <c r="C225" s="7">
        <v>83.9</v>
      </c>
      <c r="E225" s="23">
        <v>83.8</v>
      </c>
      <c r="F225" s="19">
        <v>91.1</v>
      </c>
      <c r="G225" s="19">
        <v>-7.3</v>
      </c>
      <c r="H225" t="e">
        <v>#N/A</v>
      </c>
      <c r="I225" t="e">
        <v>#N/A</v>
      </c>
      <c r="J225" t="e">
        <v>#N/A</v>
      </c>
    </row>
    <row r="226" spans="1:10" x14ac:dyDescent="0.25">
      <c r="A226" s="14">
        <v>44044</v>
      </c>
      <c r="B226" s="22">
        <v>93.9</v>
      </c>
      <c r="C226" s="7">
        <v>86.3</v>
      </c>
      <c r="E226" s="23">
        <v>86.2</v>
      </c>
      <c r="F226" s="19">
        <v>91.8</v>
      </c>
      <c r="G226" s="19">
        <v>-5.5</v>
      </c>
      <c r="H226" t="e">
        <v>#N/A</v>
      </c>
      <c r="I226" t="e">
        <v>#N/A</v>
      </c>
      <c r="J226" t="e">
        <v>#N/A</v>
      </c>
    </row>
    <row r="227" spans="1:10" x14ac:dyDescent="0.25">
      <c r="A227" s="14">
        <v>44075</v>
      </c>
      <c r="B227" s="22">
        <v>95.4</v>
      </c>
      <c r="C227" s="7">
        <v>88.7</v>
      </c>
      <c r="E227" s="23">
        <v>88.6</v>
      </c>
      <c r="F227">
        <v>92.3</v>
      </c>
      <c r="G227">
        <v>-3.7</v>
      </c>
      <c r="H227" t="e">
        <v>#N/A</v>
      </c>
      <c r="I227" t="e">
        <v>#N/A</v>
      </c>
      <c r="J227" t="e">
        <v>#N/A</v>
      </c>
    </row>
    <row r="228" spans="1:10" x14ac:dyDescent="0.25">
      <c r="A228" s="14">
        <v>44105</v>
      </c>
      <c r="B228" s="22">
        <v>97.3</v>
      </c>
      <c r="C228" s="7">
        <v>89.7</v>
      </c>
      <c r="E228">
        <v>89.7</v>
      </c>
      <c r="F228">
        <v>92.5</v>
      </c>
      <c r="G228">
        <v>-2.8</v>
      </c>
      <c r="H228" t="e">
        <v>#N/A</v>
      </c>
      <c r="I228" t="e">
        <v>#N/A</v>
      </c>
      <c r="J228" t="e">
        <v>#N/A</v>
      </c>
    </row>
    <row r="229" spans="1:10" x14ac:dyDescent="0.25">
      <c r="A229" s="14">
        <v>44136</v>
      </c>
      <c r="B229" s="22">
        <v>90.2</v>
      </c>
      <c r="C229" s="7">
        <v>90.2</v>
      </c>
      <c r="E229">
        <v>90.2</v>
      </c>
      <c r="F229">
        <v>92.3</v>
      </c>
      <c r="G229">
        <v>-2.1</v>
      </c>
      <c r="H229" t="e">
        <v>#N/A</v>
      </c>
      <c r="I229" t="e">
        <v>#N/A</v>
      </c>
      <c r="J229" t="e">
        <v>#N/A</v>
      </c>
    </row>
    <row r="230" spans="1:10" x14ac:dyDescent="0.25">
      <c r="A230" s="14">
        <v>44166</v>
      </c>
      <c r="B230">
        <v>83.3</v>
      </c>
      <c r="C230" s="7">
        <v>90.3</v>
      </c>
      <c r="E230">
        <v>90.6</v>
      </c>
      <c r="F230">
        <v>91.8</v>
      </c>
      <c r="G230">
        <v>-1.2</v>
      </c>
      <c r="H230" t="e">
        <v>#N/A</v>
      </c>
      <c r="I230" t="e">
        <v>#N/A</v>
      </c>
      <c r="J230" t="e">
        <v>#N/A</v>
      </c>
    </row>
    <row r="231" spans="1:10" x14ac:dyDescent="0.25">
      <c r="A231" s="14">
        <v>44197</v>
      </c>
      <c r="B231">
        <v>81.900000000000006</v>
      </c>
      <c r="C231" s="7">
        <v>90.5</v>
      </c>
      <c r="E231">
        <v>90.6</v>
      </c>
      <c r="F231">
        <v>91</v>
      </c>
      <c r="G231">
        <v>-0.4</v>
      </c>
      <c r="H231" t="e">
        <v>#N/A</v>
      </c>
      <c r="I231" t="e">
        <v>#N/A</v>
      </c>
      <c r="J231" t="e">
        <v>#N/A</v>
      </c>
    </row>
    <row r="232" spans="1:10" x14ac:dyDescent="0.25">
      <c r="A232" s="14">
        <v>44228</v>
      </c>
      <c r="B232">
        <v>79.099999999999994</v>
      </c>
      <c r="C232" s="7">
        <v>89.6</v>
      </c>
      <c r="E232">
        <v>89.7</v>
      </c>
      <c r="F232">
        <v>90.1</v>
      </c>
      <c r="G232">
        <v>-0.4</v>
      </c>
      <c r="H232" t="e">
        <v>#N/A</v>
      </c>
      <c r="I232" t="e">
        <v>#N/A</v>
      </c>
      <c r="J232" t="e">
        <v>#N/A</v>
      </c>
    </row>
    <row r="233" spans="1:10" x14ac:dyDescent="0.25">
      <c r="A233" s="14">
        <v>44256</v>
      </c>
      <c r="B233">
        <v>86.1</v>
      </c>
      <c r="C233" s="7">
        <v>87.5</v>
      </c>
      <c r="E233">
        <v>87.5</v>
      </c>
      <c r="F233">
        <v>89.1</v>
      </c>
      <c r="G233">
        <v>-1.5</v>
      </c>
      <c r="H233" t="e">
        <v>#N/A</v>
      </c>
      <c r="I233" t="e">
        <v>#N/A</v>
      </c>
      <c r="J233" t="e">
        <v>#N/A</v>
      </c>
    </row>
    <row r="234" spans="1:10" x14ac:dyDescent="0.25">
      <c r="A234" s="14">
        <v>44287</v>
      </c>
      <c r="B234">
        <v>81.3</v>
      </c>
      <c r="C234" s="7">
        <v>86.1</v>
      </c>
      <c r="E234">
        <v>86.2</v>
      </c>
      <c r="F234">
        <v>88.1</v>
      </c>
      <c r="G234">
        <v>-1.9</v>
      </c>
      <c r="H234" t="e">
        <v>#N/A</v>
      </c>
      <c r="I234" t="e">
        <v>#N/A</v>
      </c>
      <c r="J234" t="e">
        <v>#N/A</v>
      </c>
    </row>
    <row r="235" spans="1:10" x14ac:dyDescent="0.25">
      <c r="A235" s="14">
        <v>44317</v>
      </c>
      <c r="B235">
        <v>88.4</v>
      </c>
      <c r="C235" s="7">
        <v>87.1</v>
      </c>
      <c r="E235">
        <v>87.1</v>
      </c>
      <c r="F235">
        <v>87.1</v>
      </c>
      <c r="G235">
        <v>0</v>
      </c>
      <c r="H235" t="e">
        <v>#N/A</v>
      </c>
      <c r="I235" t="e">
        <v>#N/A</v>
      </c>
      <c r="J235" t="e">
        <v>#N/A</v>
      </c>
    </row>
    <row r="236" spans="1:10" x14ac:dyDescent="0.25">
      <c r="A236" s="14">
        <v>44348</v>
      </c>
      <c r="B236">
        <v>87.9</v>
      </c>
      <c r="C236" s="7">
        <v>86.7</v>
      </c>
      <c r="E236">
        <v>86.4</v>
      </c>
      <c r="F236">
        <v>86.3</v>
      </c>
      <c r="G236">
        <v>0.2</v>
      </c>
      <c r="H236" t="e">
        <v>#N/A</v>
      </c>
      <c r="I236" t="e">
        <v>#N/A</v>
      </c>
      <c r="J236" t="e">
        <v>#N/A</v>
      </c>
    </row>
    <row r="237" spans="1:10" x14ac:dyDescent="0.25">
      <c r="A237" s="14">
        <v>44378</v>
      </c>
      <c r="B237">
        <v>92.2</v>
      </c>
      <c r="C237" s="7">
        <v>85.3</v>
      </c>
      <c r="E237">
        <v>85.2</v>
      </c>
      <c r="F237">
        <v>85.5</v>
      </c>
      <c r="G237">
        <v>-0.4</v>
      </c>
      <c r="H237" t="e">
        <v>#N/A</v>
      </c>
      <c r="I237" t="e">
        <v>#N/A</v>
      </c>
      <c r="J237" t="e">
        <v>#N/A</v>
      </c>
    </row>
    <row r="238" spans="1:10" x14ac:dyDescent="0.25">
      <c r="A238" s="14">
        <v>44409</v>
      </c>
      <c r="B238">
        <v>93.4</v>
      </c>
      <c r="C238" s="7">
        <v>85.1</v>
      </c>
      <c r="E238">
        <v>85</v>
      </c>
      <c r="F238">
        <v>85</v>
      </c>
      <c r="G238">
        <v>0</v>
      </c>
      <c r="H238" t="e">
        <v>#N/A</v>
      </c>
      <c r="I238" t="e">
        <v>#N/A</v>
      </c>
      <c r="J238" t="e">
        <v>#N/A</v>
      </c>
    </row>
    <row r="239" spans="1:10" x14ac:dyDescent="0.25">
      <c r="A239" s="14">
        <v>44440</v>
      </c>
      <c r="B239">
        <v>91.5</v>
      </c>
      <c r="C239" s="7">
        <v>84.6</v>
      </c>
      <c r="E239">
        <v>84.5</v>
      </c>
      <c r="F239">
        <v>84.6</v>
      </c>
      <c r="G239">
        <v>-0.1</v>
      </c>
      <c r="H239" t="e">
        <v>#N/A</v>
      </c>
      <c r="I239" t="e">
        <v>#N/A</v>
      </c>
      <c r="J239" t="e">
        <v>#N/A</v>
      </c>
    </row>
    <row r="240" spans="1:10" x14ac:dyDescent="0.25">
      <c r="A240" s="14">
        <v>44470</v>
      </c>
      <c r="B240">
        <v>89.7</v>
      </c>
      <c r="C240" s="7">
        <v>84.2</v>
      </c>
      <c r="E240">
        <v>84.2</v>
      </c>
      <c r="F240">
        <v>84.5</v>
      </c>
      <c r="G240">
        <v>-0.3</v>
      </c>
      <c r="H240" t="e">
        <v>#N/A</v>
      </c>
      <c r="I240" t="e">
        <v>#N/A</v>
      </c>
      <c r="J240" t="e">
        <v>#N/A</v>
      </c>
    </row>
    <row r="241" spans="1:10" x14ac:dyDescent="0.25">
      <c r="A241" s="14">
        <v>44501</v>
      </c>
      <c r="B241">
        <v>86.2</v>
      </c>
      <c r="C241" s="7">
        <v>84.2</v>
      </c>
      <c r="E241">
        <v>84.1</v>
      </c>
      <c r="F241">
        <v>84.7</v>
      </c>
      <c r="G241">
        <v>-0.5</v>
      </c>
      <c r="H241" t="e">
        <v>#N/A</v>
      </c>
      <c r="I241" t="e">
        <v>#N/A</v>
      </c>
      <c r="J241" t="e">
        <v>#N/A</v>
      </c>
    </row>
    <row r="242" spans="1:10" x14ac:dyDescent="0.25">
      <c r="A242" s="14">
        <v>44531</v>
      </c>
      <c r="B242">
        <v>79.2</v>
      </c>
      <c r="C242" s="7">
        <v>86.6</v>
      </c>
      <c r="E242">
        <v>87</v>
      </c>
      <c r="F242">
        <v>85</v>
      </c>
      <c r="G242">
        <v>2</v>
      </c>
      <c r="H242" t="e">
        <v>#N/A</v>
      </c>
      <c r="I242" t="e">
        <v>#N/A</v>
      </c>
      <c r="J242" t="e">
        <v>#N/A</v>
      </c>
    </row>
    <row r="243" spans="1:10" x14ac:dyDescent="0.25">
      <c r="A243" s="1"/>
    </row>
    <row r="244" spans="1:10" x14ac:dyDescent="0.25">
      <c r="A244" s="1"/>
    </row>
    <row r="245" spans="1:10" x14ac:dyDescent="0.25">
      <c r="A245" s="1"/>
    </row>
    <row r="246" spans="1:10" x14ac:dyDescent="0.25">
      <c r="A246" s="1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B5607-37AD-45B8-9F12-5C0FB25A57C8}">
  <sheetPr codeName="Planilha4"/>
  <dimension ref="A1:AA246"/>
  <sheetViews>
    <sheetView zoomScale="115" zoomScaleNormal="115" workbookViewId="0">
      <selection activeCell="E3" sqref="E3"/>
    </sheetView>
  </sheetViews>
  <sheetFormatPr defaultRowHeight="15" x14ac:dyDescent="0.25"/>
  <cols>
    <col min="1" max="1" width="11.85546875" bestFit="1" customWidth="1"/>
    <col min="2" max="3" width="15.140625" bestFit="1" customWidth="1"/>
    <col min="4" max="4" width="5.140625" customWidth="1"/>
    <col min="5" max="6" width="12.28515625" bestFit="1" customWidth="1"/>
    <col min="7" max="7" width="6.28515625" bestFit="1" customWidth="1"/>
    <col min="11" max="11" width="5" customWidth="1"/>
    <col min="12" max="12" width="10.42578125" bestFit="1" customWidth="1"/>
  </cols>
  <sheetData>
    <row r="1" spans="1:27" x14ac:dyDescent="0.25">
      <c r="A1" s="12" t="s">
        <v>23</v>
      </c>
      <c r="E1" s="12" t="s">
        <v>24</v>
      </c>
      <c r="F1" s="12"/>
      <c r="G1" s="12"/>
      <c r="W1" s="12" t="s">
        <v>30</v>
      </c>
    </row>
    <row r="2" spans="1:27" x14ac:dyDescent="0.25">
      <c r="A2" s="13" t="s">
        <v>13</v>
      </c>
      <c r="B2" s="27" t="s">
        <v>33</v>
      </c>
      <c r="C2" s="13" t="s">
        <v>25</v>
      </c>
      <c r="E2" s="13" t="s">
        <v>9</v>
      </c>
      <c r="F2" s="13" t="s">
        <v>31</v>
      </c>
      <c r="G2" s="13" t="s">
        <v>32</v>
      </c>
      <c r="H2" s="13" t="s">
        <v>11</v>
      </c>
      <c r="I2" s="13" t="s">
        <v>10</v>
      </c>
      <c r="J2" s="13" t="s">
        <v>12</v>
      </c>
      <c r="L2" s="13" t="s">
        <v>27</v>
      </c>
      <c r="W2" t="str" cm="1">
        <f t="array" ref="W2:AA11">xlDESSAZ_SeasonalPlot(A3:A105,G3:G105,4)</f>
        <v/>
      </c>
      <c r="X2">
        <v>1</v>
      </c>
      <c r="Y2">
        <v>2</v>
      </c>
      <c r="Z2">
        <v>3</v>
      </c>
      <c r="AA2">
        <v>4</v>
      </c>
    </row>
    <row r="3" spans="1:27" x14ac:dyDescent="0.25">
      <c r="A3" s="14">
        <v>37681</v>
      </c>
      <c r="B3" s="19">
        <v>262484</v>
      </c>
      <c r="C3" s="19">
        <v>268879</v>
      </c>
      <c r="E3" s="20" cm="1">
        <f t="array" ref="E3:G227">ROUND(xlDESSAZ($A$3:$A$227,$B$3:$B$227,$E$2:$G$2,,,Specs!$D$5),0)</f>
        <v>268879</v>
      </c>
      <c r="F3" s="19">
        <v>268465</v>
      </c>
      <c r="G3" s="19">
        <v>1</v>
      </c>
      <c r="H3" s="7"/>
      <c r="I3" s="7"/>
      <c r="J3" s="7"/>
      <c r="L3" s="9">
        <f>(E3-C3)/C3</f>
        <v>0</v>
      </c>
      <c r="W3">
        <v>2003</v>
      </c>
      <c r="X3">
        <v>1</v>
      </c>
      <c r="Y3">
        <v>1</v>
      </c>
      <c r="Z3">
        <v>1</v>
      </c>
      <c r="AA3">
        <v>1</v>
      </c>
    </row>
    <row r="4" spans="1:27" x14ac:dyDescent="0.25">
      <c r="A4" s="14">
        <v>37712</v>
      </c>
      <c r="B4" s="19">
        <v>257147</v>
      </c>
      <c r="C4" s="19">
        <v>267570</v>
      </c>
      <c r="E4" s="19">
        <v>267570</v>
      </c>
      <c r="F4" s="19">
        <v>267910</v>
      </c>
      <c r="G4" s="19">
        <v>1</v>
      </c>
      <c r="H4" s="7"/>
      <c r="I4" s="7"/>
      <c r="J4" s="7"/>
      <c r="L4" s="9">
        <f t="shared" ref="L4:L67" si="0">(E4-C4)/C4</f>
        <v>0</v>
      </c>
      <c r="W4">
        <v>2004</v>
      </c>
      <c r="X4">
        <v>1</v>
      </c>
      <c r="Y4">
        <v>1</v>
      </c>
      <c r="Z4">
        <v>1</v>
      </c>
      <c r="AA4">
        <v>1</v>
      </c>
    </row>
    <row r="5" spans="1:27" x14ac:dyDescent="0.25">
      <c r="A5" s="14">
        <v>37742</v>
      </c>
      <c r="B5" s="19">
        <v>258073</v>
      </c>
      <c r="C5" s="19">
        <v>267384</v>
      </c>
      <c r="E5" s="19">
        <v>267384</v>
      </c>
      <c r="F5" s="19">
        <v>267378</v>
      </c>
      <c r="G5" s="19">
        <v>1</v>
      </c>
      <c r="H5" s="7"/>
      <c r="I5" s="7"/>
      <c r="J5" s="7"/>
      <c r="L5" s="9">
        <f t="shared" si="0"/>
        <v>0</v>
      </c>
      <c r="W5">
        <v>2005</v>
      </c>
      <c r="X5">
        <v>1</v>
      </c>
      <c r="Y5">
        <v>1</v>
      </c>
      <c r="Z5">
        <v>1</v>
      </c>
      <c r="AA5">
        <v>1</v>
      </c>
    </row>
    <row r="6" spans="1:27" x14ac:dyDescent="0.25">
      <c r="A6" s="14">
        <v>37773</v>
      </c>
      <c r="B6" s="19">
        <v>264112</v>
      </c>
      <c r="C6" s="19">
        <v>266756</v>
      </c>
      <c r="E6" s="19">
        <v>266756</v>
      </c>
      <c r="F6" s="19">
        <v>266914</v>
      </c>
      <c r="G6" s="19">
        <v>1</v>
      </c>
      <c r="H6" s="7"/>
      <c r="I6" s="7"/>
      <c r="J6" s="7"/>
      <c r="L6" s="9">
        <f t="shared" si="0"/>
        <v>0</v>
      </c>
      <c r="W6">
        <v>2006</v>
      </c>
      <c r="X6">
        <v>1</v>
      </c>
      <c r="Y6">
        <v>1</v>
      </c>
      <c r="Z6">
        <v>1</v>
      </c>
      <c r="AA6">
        <v>1</v>
      </c>
    </row>
    <row r="7" spans="1:27" x14ac:dyDescent="0.25">
      <c r="A7" s="14">
        <v>37803</v>
      </c>
      <c r="B7" s="19">
        <v>270529</v>
      </c>
      <c r="C7" s="19">
        <v>266652</v>
      </c>
      <c r="E7" s="19">
        <v>266652</v>
      </c>
      <c r="F7" s="19">
        <v>266276</v>
      </c>
      <c r="G7" s="19">
        <v>1</v>
      </c>
      <c r="H7" s="7"/>
      <c r="I7" s="7"/>
      <c r="J7" s="7"/>
      <c r="L7" s="9">
        <f t="shared" si="0"/>
        <v>0</v>
      </c>
      <c r="W7">
        <v>2007</v>
      </c>
      <c r="X7">
        <v>1</v>
      </c>
      <c r="Y7">
        <v>1</v>
      </c>
      <c r="Z7">
        <v>1</v>
      </c>
      <c r="AA7">
        <v>1</v>
      </c>
    </row>
    <row r="8" spans="1:27" x14ac:dyDescent="0.25">
      <c r="A8" s="14">
        <v>37834</v>
      </c>
      <c r="B8" s="19">
        <v>271841</v>
      </c>
      <c r="C8" s="19">
        <v>265634</v>
      </c>
      <c r="E8" s="19">
        <v>265634</v>
      </c>
      <c r="F8" s="19">
        <v>265269</v>
      </c>
      <c r="G8" s="19">
        <v>1</v>
      </c>
      <c r="H8" s="7"/>
      <c r="I8" s="7"/>
      <c r="J8" s="7"/>
      <c r="L8" s="9">
        <f t="shared" si="0"/>
        <v>0</v>
      </c>
      <c r="W8">
        <v>2008</v>
      </c>
      <c r="X8">
        <v>1</v>
      </c>
      <c r="Y8">
        <v>1</v>
      </c>
      <c r="Z8">
        <v>1</v>
      </c>
      <c r="AA8">
        <v>1</v>
      </c>
    </row>
    <row r="9" spans="1:27" x14ac:dyDescent="0.25">
      <c r="A9" s="14">
        <v>37865</v>
      </c>
      <c r="B9" s="19">
        <v>265512</v>
      </c>
      <c r="C9" s="19">
        <v>264252</v>
      </c>
      <c r="E9" s="19">
        <v>264252</v>
      </c>
      <c r="F9" s="19">
        <v>264097</v>
      </c>
      <c r="G9" s="19">
        <v>1</v>
      </c>
      <c r="H9" s="7"/>
      <c r="I9" s="7"/>
      <c r="J9" s="7"/>
      <c r="L9" s="9">
        <f t="shared" si="0"/>
        <v>0</v>
      </c>
      <c r="W9">
        <v>2009</v>
      </c>
      <c r="X9">
        <v>1</v>
      </c>
      <c r="Y9">
        <v>1</v>
      </c>
      <c r="Z9">
        <v>1</v>
      </c>
      <c r="AA9">
        <v>1</v>
      </c>
    </row>
    <row r="10" spans="1:27" x14ac:dyDescent="0.25">
      <c r="A10" s="14">
        <v>37895</v>
      </c>
      <c r="B10" s="19">
        <v>262726</v>
      </c>
      <c r="C10" s="19">
        <v>262570</v>
      </c>
      <c r="E10" s="19">
        <v>262570</v>
      </c>
      <c r="F10" s="19">
        <v>263409</v>
      </c>
      <c r="G10" s="19">
        <v>1</v>
      </c>
      <c r="H10" s="7"/>
      <c r="I10" s="7"/>
      <c r="J10" s="7"/>
      <c r="L10" s="9">
        <f t="shared" si="0"/>
        <v>0</v>
      </c>
      <c r="W10">
        <v>2010</v>
      </c>
      <c r="X10">
        <v>1</v>
      </c>
      <c r="Y10">
        <v>1</v>
      </c>
      <c r="Z10">
        <v>1</v>
      </c>
      <c r="AA10">
        <v>1</v>
      </c>
    </row>
    <row r="11" spans="1:27" x14ac:dyDescent="0.25">
      <c r="A11" s="14">
        <v>37926</v>
      </c>
      <c r="B11" s="19">
        <v>264452</v>
      </c>
      <c r="C11" s="19">
        <v>262807</v>
      </c>
      <c r="E11" s="19">
        <v>262807</v>
      </c>
      <c r="F11" s="19">
        <v>263675</v>
      </c>
      <c r="G11" s="19">
        <v>1</v>
      </c>
      <c r="H11" s="7"/>
      <c r="I11" s="7"/>
      <c r="J11" s="7"/>
      <c r="L11" s="9">
        <f t="shared" si="0"/>
        <v>0</v>
      </c>
      <c r="W11">
        <v>2011</v>
      </c>
      <c r="X11">
        <v>1</v>
      </c>
      <c r="Y11">
        <v>1</v>
      </c>
      <c r="Z11">
        <v>1</v>
      </c>
      <c r="AA11" t="e">
        <v>#N/A</v>
      </c>
    </row>
    <row r="12" spans="1:27" x14ac:dyDescent="0.25">
      <c r="A12" s="14">
        <v>37956</v>
      </c>
      <c r="B12" s="19">
        <v>272399</v>
      </c>
      <c r="C12" s="19">
        <v>264712</v>
      </c>
      <c r="E12" s="19">
        <v>264712</v>
      </c>
      <c r="F12" s="19">
        <v>264885</v>
      </c>
      <c r="G12" s="19">
        <v>1</v>
      </c>
      <c r="H12" s="7"/>
      <c r="I12" s="7"/>
      <c r="J12" s="7"/>
      <c r="L12" s="9">
        <f t="shared" si="0"/>
        <v>0</v>
      </c>
    </row>
    <row r="13" spans="1:27" x14ac:dyDescent="0.25">
      <c r="A13" s="14">
        <v>37987</v>
      </c>
      <c r="B13" s="19">
        <v>273273</v>
      </c>
      <c r="C13" s="19">
        <v>267284</v>
      </c>
      <c r="E13" s="19">
        <v>267284</v>
      </c>
      <c r="F13" s="19">
        <v>266629</v>
      </c>
      <c r="G13" s="19">
        <v>1</v>
      </c>
      <c r="H13" s="7"/>
      <c r="I13" s="7"/>
      <c r="J13" s="7"/>
      <c r="L13" s="9">
        <f t="shared" si="0"/>
        <v>0</v>
      </c>
    </row>
    <row r="14" spans="1:27" x14ac:dyDescent="0.25">
      <c r="A14" s="14">
        <v>38018</v>
      </c>
      <c r="B14" s="19">
        <v>270253</v>
      </c>
      <c r="C14" s="19">
        <v>268461</v>
      </c>
      <c r="E14" s="19">
        <v>268461</v>
      </c>
      <c r="F14" s="19">
        <v>268552</v>
      </c>
      <c r="G14" s="19">
        <v>1</v>
      </c>
      <c r="H14" s="7"/>
      <c r="I14" s="7"/>
      <c r="J14" s="7"/>
      <c r="L14" s="9">
        <f t="shared" si="0"/>
        <v>0</v>
      </c>
    </row>
    <row r="15" spans="1:27" x14ac:dyDescent="0.25">
      <c r="A15" s="14">
        <v>38047</v>
      </c>
      <c r="B15" s="19">
        <v>263746</v>
      </c>
      <c r="C15" s="19">
        <v>270088</v>
      </c>
      <c r="E15" s="19">
        <v>270088</v>
      </c>
      <c r="F15" s="19">
        <v>270515</v>
      </c>
      <c r="G15" s="19">
        <v>1</v>
      </c>
      <c r="H15" s="7"/>
      <c r="I15" s="7"/>
      <c r="J15" s="7"/>
      <c r="L15" s="9">
        <f t="shared" si="0"/>
        <v>0</v>
      </c>
    </row>
    <row r="16" spans="1:27" x14ac:dyDescent="0.25">
      <c r="A16" s="14">
        <v>38078</v>
      </c>
      <c r="B16" s="19">
        <v>261988</v>
      </c>
      <c r="C16" s="19">
        <v>272510</v>
      </c>
      <c r="E16" s="19">
        <v>272510</v>
      </c>
      <c r="F16" s="19">
        <v>272438</v>
      </c>
      <c r="G16" s="19">
        <v>1</v>
      </c>
      <c r="H16" s="7"/>
      <c r="I16" s="7"/>
      <c r="J16" s="7"/>
      <c r="L16" s="9">
        <f t="shared" si="0"/>
        <v>0</v>
      </c>
    </row>
    <row r="17" spans="1:12" x14ac:dyDescent="0.25">
      <c r="A17" s="14">
        <v>38108</v>
      </c>
      <c r="B17" s="19">
        <v>264863</v>
      </c>
      <c r="C17" s="19">
        <v>274555</v>
      </c>
      <c r="E17" s="19">
        <v>274555</v>
      </c>
      <c r="F17" s="19">
        <v>274144</v>
      </c>
      <c r="G17" s="19">
        <v>1</v>
      </c>
      <c r="H17" s="7"/>
      <c r="I17" s="7"/>
      <c r="J17" s="7"/>
      <c r="L17" s="9">
        <f t="shared" si="0"/>
        <v>0</v>
      </c>
    </row>
    <row r="18" spans="1:12" x14ac:dyDescent="0.25">
      <c r="A18" s="14">
        <v>38139</v>
      </c>
      <c r="B18" s="19">
        <v>272828</v>
      </c>
      <c r="C18" s="19">
        <v>275649</v>
      </c>
      <c r="E18" s="19">
        <v>275649</v>
      </c>
      <c r="F18" s="19">
        <v>275457</v>
      </c>
      <c r="G18" s="19">
        <v>1</v>
      </c>
      <c r="H18" s="7"/>
      <c r="I18" s="7"/>
      <c r="J18" s="7"/>
      <c r="L18" s="9">
        <f t="shared" si="0"/>
        <v>0</v>
      </c>
    </row>
    <row r="19" spans="1:12" x14ac:dyDescent="0.25">
      <c r="A19" s="14">
        <v>38169</v>
      </c>
      <c r="B19" s="19">
        <v>279906</v>
      </c>
      <c r="C19" s="19">
        <v>276101</v>
      </c>
      <c r="E19" s="19">
        <v>276101</v>
      </c>
      <c r="F19" s="19">
        <v>276502</v>
      </c>
      <c r="G19" s="19">
        <v>1</v>
      </c>
      <c r="H19" s="7"/>
      <c r="I19" s="7"/>
      <c r="J19" s="7"/>
      <c r="L19" s="9">
        <f t="shared" si="0"/>
        <v>0</v>
      </c>
    </row>
    <row r="20" spans="1:12" x14ac:dyDescent="0.25">
      <c r="A20" s="14">
        <v>38200</v>
      </c>
      <c r="B20" s="19">
        <v>283530</v>
      </c>
      <c r="C20" s="19">
        <v>277356</v>
      </c>
      <c r="E20" s="19">
        <v>277356</v>
      </c>
      <c r="F20" s="19">
        <v>277403</v>
      </c>
      <c r="G20" s="19">
        <v>1</v>
      </c>
      <c r="H20" s="7"/>
      <c r="I20" s="7"/>
      <c r="J20" s="7"/>
      <c r="L20" s="9">
        <f t="shared" si="0"/>
        <v>0</v>
      </c>
    </row>
    <row r="21" spans="1:12" x14ac:dyDescent="0.25">
      <c r="A21" s="14">
        <v>38231</v>
      </c>
      <c r="B21" s="19">
        <v>279398</v>
      </c>
      <c r="C21" s="19">
        <v>277983</v>
      </c>
      <c r="E21" s="19">
        <v>277983</v>
      </c>
      <c r="F21" s="19">
        <v>278295</v>
      </c>
      <c r="G21" s="19">
        <v>1</v>
      </c>
      <c r="H21" s="7"/>
      <c r="I21" s="7"/>
      <c r="J21" s="7"/>
      <c r="L21" s="9">
        <f t="shared" si="0"/>
        <v>0</v>
      </c>
    </row>
    <row r="22" spans="1:12" x14ac:dyDescent="0.25">
      <c r="A22" s="14">
        <v>38261</v>
      </c>
      <c r="B22" s="19">
        <v>280402</v>
      </c>
      <c r="C22" s="19">
        <v>279960</v>
      </c>
      <c r="E22" s="19">
        <v>279960</v>
      </c>
      <c r="F22" s="19">
        <v>278933</v>
      </c>
      <c r="G22" s="19">
        <v>1</v>
      </c>
      <c r="H22" s="7"/>
      <c r="I22" s="7"/>
      <c r="J22" s="7"/>
      <c r="L22" s="9">
        <f t="shared" si="0"/>
        <v>0</v>
      </c>
    </row>
    <row r="23" spans="1:12" x14ac:dyDescent="0.25">
      <c r="A23" s="14">
        <v>38292</v>
      </c>
      <c r="B23" s="19">
        <v>280504</v>
      </c>
      <c r="C23" s="19">
        <v>278425</v>
      </c>
      <c r="E23" s="19">
        <v>278425</v>
      </c>
      <c r="F23" s="19">
        <v>279247</v>
      </c>
      <c r="G23" s="19">
        <v>1</v>
      </c>
      <c r="H23" s="7"/>
      <c r="I23" s="7"/>
      <c r="J23" s="7"/>
      <c r="L23" s="9">
        <f t="shared" si="0"/>
        <v>0</v>
      </c>
    </row>
    <row r="24" spans="1:12" x14ac:dyDescent="0.25">
      <c r="A24" s="14">
        <v>38322</v>
      </c>
      <c r="B24" s="19">
        <v>288010</v>
      </c>
      <c r="C24" s="19">
        <v>279976</v>
      </c>
      <c r="E24" s="19">
        <v>279976</v>
      </c>
      <c r="F24" s="19">
        <v>279305</v>
      </c>
      <c r="G24" s="19">
        <v>1</v>
      </c>
      <c r="H24" s="7"/>
      <c r="I24" s="7"/>
      <c r="J24" s="7"/>
      <c r="L24" s="9">
        <f t="shared" si="0"/>
        <v>0</v>
      </c>
    </row>
    <row r="25" spans="1:12" x14ac:dyDescent="0.25">
      <c r="A25" s="14">
        <v>38353</v>
      </c>
      <c r="B25" s="19">
        <v>284842</v>
      </c>
      <c r="C25" s="19">
        <v>278471</v>
      </c>
      <c r="E25" s="19">
        <v>278471</v>
      </c>
      <c r="F25" s="19">
        <v>279354</v>
      </c>
      <c r="G25" s="19">
        <v>1</v>
      </c>
      <c r="H25" s="7"/>
      <c r="I25" s="7"/>
      <c r="J25" s="7"/>
      <c r="L25" s="9">
        <f t="shared" si="0"/>
        <v>0</v>
      </c>
    </row>
    <row r="26" spans="1:12" x14ac:dyDescent="0.25">
      <c r="A26" s="14">
        <v>38384</v>
      </c>
      <c r="B26" s="19">
        <v>281944</v>
      </c>
      <c r="C26" s="19">
        <v>280264</v>
      </c>
      <c r="E26" s="19">
        <v>280264</v>
      </c>
      <c r="F26" s="19">
        <v>279484</v>
      </c>
      <c r="G26" s="19">
        <v>1</v>
      </c>
      <c r="H26" s="7"/>
      <c r="I26" s="7"/>
      <c r="J26" s="7"/>
      <c r="L26" s="9">
        <f t="shared" si="0"/>
        <v>0</v>
      </c>
    </row>
    <row r="27" spans="1:12" x14ac:dyDescent="0.25">
      <c r="A27" s="14">
        <v>38412</v>
      </c>
      <c r="B27" s="19">
        <v>273142</v>
      </c>
      <c r="C27" s="19">
        <v>279419</v>
      </c>
      <c r="E27" s="19">
        <v>279419</v>
      </c>
      <c r="F27" s="19">
        <v>279758</v>
      </c>
      <c r="G27" s="19">
        <v>1</v>
      </c>
      <c r="H27" s="7"/>
      <c r="I27" s="7"/>
      <c r="J27" s="7"/>
      <c r="L27" s="9">
        <f t="shared" si="0"/>
        <v>0</v>
      </c>
    </row>
    <row r="28" spans="1:12" x14ac:dyDescent="0.25">
      <c r="A28" s="14">
        <v>38443</v>
      </c>
      <c r="B28" s="19">
        <v>269774</v>
      </c>
      <c r="C28" s="19">
        <v>280476</v>
      </c>
      <c r="E28" s="19">
        <v>280476</v>
      </c>
      <c r="F28" s="19">
        <v>280267</v>
      </c>
      <c r="G28" s="19">
        <v>1</v>
      </c>
      <c r="H28" s="7"/>
      <c r="I28" s="7"/>
      <c r="J28" s="7"/>
      <c r="L28" s="9">
        <f t="shared" si="0"/>
        <v>0</v>
      </c>
    </row>
    <row r="29" spans="1:12" x14ac:dyDescent="0.25">
      <c r="A29" s="14">
        <v>38473</v>
      </c>
      <c r="B29" s="19">
        <v>270683</v>
      </c>
      <c r="C29" s="19">
        <v>280631</v>
      </c>
      <c r="E29" s="19">
        <v>280631</v>
      </c>
      <c r="F29" s="19">
        <v>281256</v>
      </c>
      <c r="G29" s="19">
        <v>1</v>
      </c>
      <c r="H29" s="7"/>
      <c r="I29" s="7"/>
      <c r="J29" s="7"/>
      <c r="L29" s="9">
        <f t="shared" si="0"/>
        <v>0</v>
      </c>
    </row>
    <row r="30" spans="1:12" x14ac:dyDescent="0.25">
      <c r="A30" s="14">
        <v>38504</v>
      </c>
      <c r="B30" s="19">
        <v>279477</v>
      </c>
      <c r="C30" s="19">
        <v>282591</v>
      </c>
      <c r="E30" s="19">
        <v>282591</v>
      </c>
      <c r="F30" s="19">
        <v>282567</v>
      </c>
      <c r="G30" s="19">
        <v>1</v>
      </c>
      <c r="H30" s="7"/>
      <c r="I30" s="7"/>
      <c r="J30" s="7"/>
      <c r="L30" s="9">
        <f t="shared" si="0"/>
        <v>0</v>
      </c>
    </row>
    <row r="31" spans="1:12" x14ac:dyDescent="0.25">
      <c r="A31" s="14">
        <v>38534</v>
      </c>
      <c r="B31" s="19">
        <v>287871</v>
      </c>
      <c r="C31" s="19">
        <v>284407</v>
      </c>
      <c r="E31" s="19">
        <v>284407</v>
      </c>
      <c r="F31" s="19">
        <v>283857</v>
      </c>
      <c r="G31" s="19">
        <v>1</v>
      </c>
      <c r="H31" s="7"/>
      <c r="I31" s="7"/>
      <c r="J31" s="7"/>
      <c r="L31" s="9">
        <f t="shared" si="0"/>
        <v>0</v>
      </c>
    </row>
    <row r="32" spans="1:12" x14ac:dyDescent="0.25">
      <c r="A32" s="14">
        <v>38565</v>
      </c>
      <c r="B32" s="19">
        <v>290989</v>
      </c>
      <c r="C32" s="19">
        <v>285264</v>
      </c>
      <c r="E32" s="19">
        <v>285264</v>
      </c>
      <c r="F32" s="19">
        <v>284943</v>
      </c>
      <c r="G32" s="19">
        <v>1</v>
      </c>
      <c r="H32" s="7"/>
      <c r="I32" s="7"/>
      <c r="J32" s="7"/>
      <c r="L32" s="9">
        <f t="shared" si="0"/>
        <v>0</v>
      </c>
    </row>
    <row r="33" spans="1:12" x14ac:dyDescent="0.25">
      <c r="A33" s="14">
        <v>38596</v>
      </c>
      <c r="B33" s="19">
        <v>287366</v>
      </c>
      <c r="C33" s="19">
        <v>285687</v>
      </c>
      <c r="E33" s="19">
        <v>285687</v>
      </c>
      <c r="F33" s="19">
        <v>286028</v>
      </c>
      <c r="G33" s="19">
        <v>1</v>
      </c>
      <c r="H33" s="7"/>
      <c r="I33" s="7"/>
      <c r="J33" s="7"/>
      <c r="L33" s="9">
        <f t="shared" si="0"/>
        <v>0</v>
      </c>
    </row>
    <row r="34" spans="1:12" x14ac:dyDescent="0.25">
      <c r="A34" s="14">
        <v>38626</v>
      </c>
      <c r="B34" s="19">
        <v>286907</v>
      </c>
      <c r="C34" s="19">
        <v>286193</v>
      </c>
      <c r="E34" s="19">
        <v>286193</v>
      </c>
      <c r="F34" s="19">
        <v>287311</v>
      </c>
      <c r="G34" s="19">
        <v>1</v>
      </c>
      <c r="H34" s="7"/>
      <c r="I34" s="7"/>
      <c r="J34" s="7"/>
      <c r="L34" s="9">
        <f t="shared" si="0"/>
        <v>0</v>
      </c>
    </row>
    <row r="35" spans="1:12" x14ac:dyDescent="0.25">
      <c r="A35" s="14">
        <v>38657</v>
      </c>
      <c r="B35" s="19">
        <v>293240</v>
      </c>
      <c r="C35" s="19">
        <v>290556</v>
      </c>
      <c r="E35" s="19">
        <v>290556</v>
      </c>
      <c r="F35" s="19">
        <v>288762</v>
      </c>
      <c r="G35" s="19">
        <v>1</v>
      </c>
      <c r="H35" s="7"/>
      <c r="I35" s="7"/>
      <c r="J35" s="7"/>
      <c r="L35" s="9">
        <f t="shared" si="0"/>
        <v>0</v>
      </c>
    </row>
    <row r="36" spans="1:12" x14ac:dyDescent="0.25">
      <c r="A36" s="14">
        <v>38687</v>
      </c>
      <c r="B36" s="19">
        <v>298268</v>
      </c>
      <c r="C36" s="19">
        <v>290028</v>
      </c>
      <c r="E36" s="19">
        <v>290028</v>
      </c>
      <c r="F36" s="19">
        <v>290034</v>
      </c>
      <c r="G36" s="19">
        <v>1</v>
      </c>
      <c r="H36" s="7"/>
      <c r="I36" s="7"/>
      <c r="J36" s="7"/>
      <c r="L36" s="9">
        <f t="shared" si="0"/>
        <v>0</v>
      </c>
    </row>
    <row r="37" spans="1:12" x14ac:dyDescent="0.25">
      <c r="A37" s="14">
        <v>38718</v>
      </c>
      <c r="B37" s="19">
        <v>300675</v>
      </c>
      <c r="C37" s="19">
        <v>293621</v>
      </c>
      <c r="E37" s="19">
        <v>293621</v>
      </c>
      <c r="F37" s="19">
        <v>290837</v>
      </c>
      <c r="G37" s="19">
        <v>1</v>
      </c>
      <c r="H37" s="7"/>
      <c r="I37" s="7"/>
      <c r="J37" s="7"/>
      <c r="L37" s="9">
        <f t="shared" si="0"/>
        <v>0</v>
      </c>
    </row>
    <row r="38" spans="1:12" x14ac:dyDescent="0.25">
      <c r="A38" s="14">
        <v>38749</v>
      </c>
      <c r="B38" s="19">
        <v>292348</v>
      </c>
      <c r="C38" s="19">
        <v>290833</v>
      </c>
      <c r="E38" s="19">
        <v>290833</v>
      </c>
      <c r="F38" s="19">
        <v>291212</v>
      </c>
      <c r="G38" s="19">
        <v>1</v>
      </c>
      <c r="H38" s="7"/>
      <c r="I38" s="7"/>
      <c r="J38" s="7"/>
      <c r="L38" s="9">
        <f t="shared" si="0"/>
        <v>0</v>
      </c>
    </row>
    <row r="39" spans="1:12" x14ac:dyDescent="0.25">
      <c r="A39" s="14">
        <v>38777</v>
      </c>
      <c r="B39" s="19">
        <v>285626</v>
      </c>
      <c r="C39" s="19">
        <v>291841</v>
      </c>
      <c r="E39" s="19">
        <v>291841</v>
      </c>
      <c r="F39" s="19">
        <v>291617</v>
      </c>
      <c r="G39" s="19">
        <v>1</v>
      </c>
      <c r="H39" s="7"/>
      <c r="I39" s="7"/>
      <c r="J39" s="7"/>
      <c r="L39" s="9">
        <f t="shared" si="0"/>
        <v>0</v>
      </c>
    </row>
    <row r="40" spans="1:12" x14ac:dyDescent="0.25">
      <c r="A40" s="14">
        <v>38808</v>
      </c>
      <c r="B40" s="19">
        <v>279303</v>
      </c>
      <c r="C40" s="19">
        <v>290370</v>
      </c>
      <c r="E40" s="19">
        <v>290370</v>
      </c>
      <c r="F40" s="19">
        <v>292544</v>
      </c>
      <c r="G40" s="19">
        <v>1</v>
      </c>
      <c r="H40" s="7"/>
      <c r="I40" s="7"/>
      <c r="J40" s="7"/>
      <c r="L40" s="9">
        <f t="shared" si="0"/>
        <v>0</v>
      </c>
    </row>
    <row r="41" spans="1:12" x14ac:dyDescent="0.25">
      <c r="A41" s="14">
        <v>38838</v>
      </c>
      <c r="B41" s="19">
        <v>283399</v>
      </c>
      <c r="C41" s="19">
        <v>293624</v>
      </c>
      <c r="E41" s="19">
        <v>293624</v>
      </c>
      <c r="F41" s="19">
        <v>294052</v>
      </c>
      <c r="G41" s="19">
        <v>1</v>
      </c>
      <c r="H41" s="7"/>
      <c r="I41" s="7"/>
      <c r="J41" s="7"/>
      <c r="L41" s="9">
        <f t="shared" si="0"/>
        <v>0</v>
      </c>
    </row>
    <row r="42" spans="1:12" x14ac:dyDescent="0.25">
      <c r="A42" s="14">
        <v>38869</v>
      </c>
      <c r="B42" s="19">
        <v>292689</v>
      </c>
      <c r="C42" s="19">
        <v>296293</v>
      </c>
      <c r="E42" s="19">
        <v>296293</v>
      </c>
      <c r="F42" s="19">
        <v>296147</v>
      </c>
      <c r="G42" s="19">
        <v>1</v>
      </c>
      <c r="H42" s="7"/>
      <c r="I42" s="7"/>
      <c r="J42" s="7"/>
      <c r="L42" s="9">
        <f t="shared" si="0"/>
        <v>0</v>
      </c>
    </row>
    <row r="43" spans="1:12" x14ac:dyDescent="0.25">
      <c r="A43" s="14">
        <v>38899</v>
      </c>
      <c r="B43" s="19">
        <v>301748</v>
      </c>
      <c r="C43" s="19">
        <v>298836</v>
      </c>
      <c r="E43" s="19">
        <v>298836</v>
      </c>
      <c r="F43" s="19">
        <v>298707</v>
      </c>
      <c r="G43" s="19">
        <v>1</v>
      </c>
      <c r="H43" s="7"/>
      <c r="I43" s="7"/>
      <c r="J43" s="7"/>
      <c r="L43" s="9">
        <f t="shared" si="0"/>
        <v>0</v>
      </c>
    </row>
    <row r="44" spans="1:12" x14ac:dyDescent="0.25">
      <c r="A44" s="14">
        <v>38930</v>
      </c>
      <c r="B44" s="19">
        <v>304333</v>
      </c>
      <c r="C44" s="19">
        <v>299078</v>
      </c>
      <c r="E44" s="19">
        <v>299078</v>
      </c>
      <c r="F44" s="19">
        <v>301504</v>
      </c>
      <c r="G44" s="19">
        <v>1</v>
      </c>
      <c r="H44" s="7"/>
      <c r="I44" s="7"/>
      <c r="J44" s="7"/>
      <c r="L44" s="9">
        <f t="shared" si="0"/>
        <v>0</v>
      </c>
    </row>
    <row r="45" spans="1:12" x14ac:dyDescent="0.25">
      <c r="A45" s="14">
        <v>38961</v>
      </c>
      <c r="B45" s="19">
        <v>306318</v>
      </c>
      <c r="C45" s="19">
        <v>304008</v>
      </c>
      <c r="E45" s="19">
        <v>304008</v>
      </c>
      <c r="F45" s="19">
        <v>303973</v>
      </c>
      <c r="G45" s="19">
        <v>1</v>
      </c>
      <c r="H45" s="7"/>
      <c r="I45" s="7"/>
      <c r="J45" s="7"/>
      <c r="L45" s="9">
        <f t="shared" si="0"/>
        <v>0</v>
      </c>
    </row>
    <row r="46" spans="1:12" x14ac:dyDescent="0.25">
      <c r="A46" s="14">
        <v>38991</v>
      </c>
      <c r="B46" s="19">
        <v>308073</v>
      </c>
      <c r="C46" s="19">
        <v>306810</v>
      </c>
      <c r="E46" s="19">
        <v>306810</v>
      </c>
      <c r="F46" s="19">
        <v>305942</v>
      </c>
      <c r="G46" s="19">
        <v>1</v>
      </c>
      <c r="H46" s="7"/>
      <c r="I46" s="7"/>
      <c r="J46" s="7"/>
      <c r="L46" s="9">
        <f t="shared" si="0"/>
        <v>0</v>
      </c>
    </row>
    <row r="47" spans="1:12" x14ac:dyDescent="0.25">
      <c r="A47" s="14">
        <v>39022</v>
      </c>
      <c r="B47" s="19">
        <v>315160</v>
      </c>
      <c r="C47" s="19">
        <v>312091</v>
      </c>
      <c r="E47" s="19">
        <v>312091</v>
      </c>
      <c r="F47" s="19">
        <v>307457</v>
      </c>
      <c r="G47" s="19">
        <v>1</v>
      </c>
      <c r="H47" s="7"/>
      <c r="I47" s="7"/>
      <c r="J47" s="7"/>
      <c r="L47" s="9">
        <f t="shared" si="0"/>
        <v>0</v>
      </c>
    </row>
    <row r="48" spans="1:12" x14ac:dyDescent="0.25">
      <c r="A48" s="14">
        <v>39052</v>
      </c>
      <c r="B48" s="19">
        <v>316677</v>
      </c>
      <c r="C48" s="19">
        <v>308045</v>
      </c>
      <c r="E48" s="19">
        <v>308045</v>
      </c>
      <c r="F48" s="19">
        <v>309017</v>
      </c>
      <c r="G48" s="19">
        <v>1</v>
      </c>
      <c r="H48" s="7"/>
      <c r="I48" s="7"/>
      <c r="J48" s="7"/>
      <c r="L48" s="9">
        <f t="shared" si="0"/>
        <v>0</v>
      </c>
    </row>
    <row r="49" spans="1:12" x14ac:dyDescent="0.25">
      <c r="A49" s="14">
        <v>39083</v>
      </c>
      <c r="B49" s="19">
        <v>319326</v>
      </c>
      <c r="C49" s="19">
        <v>311531</v>
      </c>
      <c r="E49" s="19">
        <v>311531</v>
      </c>
      <c r="F49" s="19">
        <v>311191</v>
      </c>
      <c r="G49" s="19">
        <v>1</v>
      </c>
      <c r="H49" s="7"/>
      <c r="I49" s="7"/>
      <c r="J49" s="7"/>
      <c r="L49" s="9">
        <f t="shared" si="0"/>
        <v>0</v>
      </c>
    </row>
    <row r="50" spans="1:12" x14ac:dyDescent="0.25">
      <c r="A50" s="14">
        <v>39114</v>
      </c>
      <c r="B50" s="19">
        <v>314603</v>
      </c>
      <c r="C50" s="19">
        <v>313202</v>
      </c>
      <c r="E50" s="19">
        <v>313202</v>
      </c>
      <c r="F50" s="19">
        <v>314196</v>
      </c>
      <c r="G50" s="19">
        <v>1</v>
      </c>
      <c r="H50" s="7"/>
      <c r="I50" s="7"/>
      <c r="J50" s="7"/>
      <c r="L50" s="9">
        <f t="shared" si="0"/>
        <v>0</v>
      </c>
    </row>
    <row r="51" spans="1:12" x14ac:dyDescent="0.25">
      <c r="A51" s="14">
        <v>39142</v>
      </c>
      <c r="B51" s="19">
        <v>311740</v>
      </c>
      <c r="C51" s="19">
        <v>318267</v>
      </c>
      <c r="E51" s="19">
        <v>318267</v>
      </c>
      <c r="F51" s="19">
        <v>317533</v>
      </c>
      <c r="G51" s="19">
        <v>1</v>
      </c>
      <c r="H51" s="7"/>
      <c r="I51" s="7"/>
      <c r="J51" s="7"/>
      <c r="L51" s="9">
        <f t="shared" si="0"/>
        <v>0</v>
      </c>
    </row>
    <row r="52" spans="1:12" x14ac:dyDescent="0.25">
      <c r="A52" s="14">
        <v>39173</v>
      </c>
      <c r="B52" s="19">
        <v>308309</v>
      </c>
      <c r="C52" s="19">
        <v>320377</v>
      </c>
      <c r="E52" s="19">
        <v>320377</v>
      </c>
      <c r="F52" s="19">
        <v>320252</v>
      </c>
      <c r="G52" s="19">
        <v>1</v>
      </c>
      <c r="H52" s="7"/>
      <c r="I52" s="7"/>
      <c r="J52" s="7"/>
      <c r="L52" s="9">
        <f t="shared" si="0"/>
        <v>0</v>
      </c>
    </row>
    <row r="53" spans="1:12" x14ac:dyDescent="0.25">
      <c r="A53" s="14">
        <v>39203</v>
      </c>
      <c r="B53" s="19">
        <v>311748</v>
      </c>
      <c r="C53" s="19">
        <v>322501</v>
      </c>
      <c r="E53" s="19">
        <v>322501</v>
      </c>
      <c r="F53" s="19">
        <v>321758</v>
      </c>
      <c r="G53" s="19">
        <v>1</v>
      </c>
      <c r="H53" s="7"/>
      <c r="I53" s="7"/>
      <c r="J53" s="7"/>
      <c r="L53" s="9">
        <f t="shared" si="0"/>
        <v>0</v>
      </c>
    </row>
    <row r="54" spans="1:12" x14ac:dyDescent="0.25">
      <c r="A54" s="14">
        <v>39234</v>
      </c>
      <c r="B54" s="19">
        <v>317903</v>
      </c>
      <c r="C54" s="19">
        <v>322402</v>
      </c>
      <c r="E54" s="19">
        <v>322402</v>
      </c>
      <c r="F54" s="19">
        <v>322223</v>
      </c>
      <c r="G54" s="19">
        <v>1</v>
      </c>
      <c r="H54" s="7"/>
      <c r="I54" s="7"/>
      <c r="J54" s="7"/>
      <c r="L54" s="9">
        <f t="shared" si="0"/>
        <v>0</v>
      </c>
    </row>
    <row r="55" spans="1:12" x14ac:dyDescent="0.25">
      <c r="A55" s="14">
        <v>39264</v>
      </c>
      <c r="B55" s="19">
        <v>324368</v>
      </c>
      <c r="C55" s="19">
        <v>321878</v>
      </c>
      <c r="E55" s="19">
        <v>321878</v>
      </c>
      <c r="F55" s="19">
        <v>322429</v>
      </c>
      <c r="G55" s="19">
        <v>1</v>
      </c>
      <c r="H55" s="7"/>
      <c r="I55" s="7"/>
      <c r="J55" s="7"/>
      <c r="L55" s="9">
        <f t="shared" si="0"/>
        <v>0</v>
      </c>
    </row>
    <row r="56" spans="1:12" x14ac:dyDescent="0.25">
      <c r="A56" s="14">
        <v>39295</v>
      </c>
      <c r="B56" s="19">
        <v>327919</v>
      </c>
      <c r="C56" s="19">
        <v>322674</v>
      </c>
      <c r="E56" s="19">
        <v>322674</v>
      </c>
      <c r="F56" s="19">
        <v>323316</v>
      </c>
      <c r="G56" s="19">
        <v>1</v>
      </c>
      <c r="H56" s="7"/>
      <c r="I56" s="7"/>
      <c r="J56" s="7"/>
      <c r="L56" s="9">
        <f t="shared" si="0"/>
        <v>0</v>
      </c>
    </row>
    <row r="57" spans="1:12" x14ac:dyDescent="0.25">
      <c r="A57" s="14">
        <v>39326</v>
      </c>
      <c r="B57" s="19">
        <v>328447</v>
      </c>
      <c r="C57" s="19">
        <v>325247</v>
      </c>
      <c r="E57" s="19">
        <v>325247</v>
      </c>
      <c r="F57" s="19">
        <v>325306</v>
      </c>
      <c r="G57" s="19">
        <v>1</v>
      </c>
      <c r="H57" s="7"/>
      <c r="I57" s="7"/>
      <c r="J57" s="7"/>
      <c r="L57" s="9">
        <f t="shared" si="0"/>
        <v>0</v>
      </c>
    </row>
    <row r="58" spans="1:12" x14ac:dyDescent="0.25">
      <c r="A58" s="14">
        <v>39356</v>
      </c>
      <c r="B58" s="19">
        <v>329735</v>
      </c>
      <c r="C58" s="19">
        <v>328428</v>
      </c>
      <c r="E58" s="19">
        <v>328428</v>
      </c>
      <c r="F58" s="19">
        <v>328166</v>
      </c>
      <c r="G58" s="19">
        <v>1</v>
      </c>
      <c r="H58" s="7"/>
      <c r="I58" s="7"/>
      <c r="J58" s="7"/>
      <c r="L58" s="9">
        <f t="shared" si="0"/>
        <v>0</v>
      </c>
    </row>
    <row r="59" spans="1:12" x14ac:dyDescent="0.25">
      <c r="A59" s="14">
        <v>39387</v>
      </c>
      <c r="B59" s="19">
        <v>334203</v>
      </c>
      <c r="C59" s="19">
        <v>330980</v>
      </c>
      <c r="E59" s="19">
        <v>330980</v>
      </c>
      <c r="F59" s="19">
        <v>331293</v>
      </c>
      <c r="G59" s="19">
        <v>1</v>
      </c>
      <c r="H59" s="7"/>
      <c r="I59" s="7"/>
      <c r="J59" s="7"/>
      <c r="L59" s="9">
        <f t="shared" si="0"/>
        <v>0</v>
      </c>
    </row>
    <row r="60" spans="1:12" x14ac:dyDescent="0.25">
      <c r="A60" s="14">
        <v>39417</v>
      </c>
      <c r="B60" s="19">
        <v>344549</v>
      </c>
      <c r="C60" s="19">
        <v>335078</v>
      </c>
      <c r="E60" s="19">
        <v>335078</v>
      </c>
      <c r="F60" s="19">
        <v>334064</v>
      </c>
      <c r="G60" s="19">
        <v>1</v>
      </c>
      <c r="H60" s="7"/>
      <c r="I60" s="7"/>
      <c r="J60" s="7"/>
      <c r="L60" s="9">
        <f t="shared" si="0"/>
        <v>0</v>
      </c>
    </row>
    <row r="61" spans="1:12" x14ac:dyDescent="0.25">
      <c r="A61" s="14">
        <v>39448</v>
      </c>
      <c r="B61" s="19">
        <v>344289</v>
      </c>
      <c r="C61" s="19">
        <v>335784</v>
      </c>
      <c r="E61" s="19">
        <v>335784</v>
      </c>
      <c r="F61" s="19">
        <v>336090</v>
      </c>
      <c r="G61" s="19">
        <v>1</v>
      </c>
      <c r="H61" s="7"/>
      <c r="I61" s="7"/>
      <c r="J61" s="7"/>
      <c r="L61" s="9">
        <f t="shared" si="0"/>
        <v>0</v>
      </c>
    </row>
    <row r="62" spans="1:12" x14ac:dyDescent="0.25">
      <c r="A62" s="14">
        <v>39479</v>
      </c>
      <c r="B62" s="19">
        <v>339873</v>
      </c>
      <c r="C62" s="19">
        <v>338384</v>
      </c>
      <c r="E62" s="19">
        <v>338384</v>
      </c>
      <c r="F62" s="19">
        <v>337493</v>
      </c>
      <c r="G62" s="19">
        <v>1</v>
      </c>
      <c r="H62" s="7"/>
      <c r="I62" s="7"/>
      <c r="J62" s="7"/>
      <c r="L62" s="9">
        <f t="shared" si="0"/>
        <v>0</v>
      </c>
    </row>
    <row r="63" spans="1:12" x14ac:dyDescent="0.25">
      <c r="A63" s="14">
        <v>39508</v>
      </c>
      <c r="B63" s="19">
        <v>328214</v>
      </c>
      <c r="C63" s="19">
        <v>335191</v>
      </c>
      <c r="E63" s="19">
        <v>335191</v>
      </c>
      <c r="F63" s="19">
        <v>338844</v>
      </c>
      <c r="G63" s="19">
        <v>1</v>
      </c>
      <c r="H63" s="7"/>
      <c r="I63" s="7"/>
      <c r="J63" s="7"/>
      <c r="L63" s="9">
        <f t="shared" si="0"/>
        <v>0</v>
      </c>
    </row>
    <row r="64" spans="1:12" x14ac:dyDescent="0.25">
      <c r="A64" s="14">
        <v>39539</v>
      </c>
      <c r="B64" s="19">
        <v>327351</v>
      </c>
      <c r="C64" s="19">
        <v>339858</v>
      </c>
      <c r="E64" s="19">
        <v>339858</v>
      </c>
      <c r="F64" s="19">
        <v>340739</v>
      </c>
      <c r="G64" s="19">
        <v>1</v>
      </c>
      <c r="H64" s="7"/>
      <c r="I64" s="7"/>
      <c r="J64" s="7"/>
      <c r="L64" s="9">
        <f t="shared" si="0"/>
        <v>0</v>
      </c>
    </row>
    <row r="65" spans="1:12" x14ac:dyDescent="0.25">
      <c r="A65" s="14">
        <v>39569</v>
      </c>
      <c r="B65" s="19">
        <v>332318</v>
      </c>
      <c r="C65" s="19">
        <v>343484</v>
      </c>
      <c r="E65" s="19">
        <v>343484</v>
      </c>
      <c r="F65" s="19">
        <v>343381</v>
      </c>
      <c r="G65" s="19">
        <v>1</v>
      </c>
      <c r="H65" s="7"/>
      <c r="I65" s="7"/>
      <c r="J65" s="7"/>
      <c r="L65" s="9">
        <f t="shared" si="0"/>
        <v>0</v>
      </c>
    </row>
    <row r="66" spans="1:12" x14ac:dyDescent="0.25">
      <c r="A66" s="14">
        <v>39600</v>
      </c>
      <c r="B66" s="19">
        <v>341324</v>
      </c>
      <c r="C66" s="19">
        <v>346902</v>
      </c>
      <c r="E66" s="19">
        <v>346902</v>
      </c>
      <c r="F66" s="19">
        <v>346385</v>
      </c>
      <c r="G66" s="19">
        <v>1</v>
      </c>
      <c r="H66" s="7"/>
      <c r="I66" s="7"/>
      <c r="J66" s="7"/>
      <c r="L66" s="9">
        <f t="shared" si="0"/>
        <v>0</v>
      </c>
    </row>
    <row r="67" spans="1:12" x14ac:dyDescent="0.25">
      <c r="A67" s="14">
        <v>39630</v>
      </c>
      <c r="B67" s="19">
        <v>351534</v>
      </c>
      <c r="C67" s="19">
        <v>349304</v>
      </c>
      <c r="E67" s="19">
        <v>349304</v>
      </c>
      <c r="F67" s="19">
        <v>349233</v>
      </c>
      <c r="G67" s="19">
        <v>1</v>
      </c>
      <c r="H67" s="7"/>
      <c r="I67" s="7"/>
      <c r="J67" s="7"/>
      <c r="L67" s="9">
        <f t="shared" si="0"/>
        <v>0</v>
      </c>
    </row>
    <row r="68" spans="1:12" x14ac:dyDescent="0.25">
      <c r="A68" s="14">
        <v>39661</v>
      </c>
      <c r="B68" s="19">
        <v>357466</v>
      </c>
      <c r="C68" s="19">
        <v>351515</v>
      </c>
      <c r="E68" s="19">
        <v>351515</v>
      </c>
      <c r="F68" s="19">
        <v>351493</v>
      </c>
      <c r="G68" s="19">
        <v>1</v>
      </c>
      <c r="H68" s="7"/>
      <c r="I68" s="7"/>
      <c r="J68" s="7"/>
      <c r="L68" s="9">
        <f t="shared" ref="L68:L105" si="1">(E68-C68)/C68</f>
        <v>0</v>
      </c>
    </row>
    <row r="69" spans="1:12" x14ac:dyDescent="0.25">
      <c r="A69" s="14">
        <v>39692</v>
      </c>
      <c r="B69" s="19">
        <v>358028</v>
      </c>
      <c r="C69" s="19">
        <v>353412</v>
      </c>
      <c r="E69" s="19">
        <v>353412</v>
      </c>
      <c r="F69" s="19">
        <v>353312</v>
      </c>
      <c r="G69" s="19">
        <v>1</v>
      </c>
      <c r="H69" s="7"/>
      <c r="I69" s="7"/>
      <c r="J69" s="7"/>
      <c r="L69" s="9">
        <f t="shared" si="1"/>
        <v>0</v>
      </c>
    </row>
    <row r="70" spans="1:12" x14ac:dyDescent="0.25">
      <c r="A70" s="14">
        <v>39722</v>
      </c>
      <c r="B70" s="19">
        <v>356414</v>
      </c>
      <c r="C70" s="19">
        <v>354902</v>
      </c>
      <c r="E70" s="19">
        <v>354902</v>
      </c>
      <c r="F70" s="19">
        <v>355084</v>
      </c>
      <c r="G70" s="19">
        <v>1</v>
      </c>
      <c r="H70" s="7"/>
      <c r="I70" s="7"/>
      <c r="J70" s="7"/>
      <c r="L70" s="9">
        <f t="shared" si="1"/>
        <v>0</v>
      </c>
    </row>
    <row r="71" spans="1:12" x14ac:dyDescent="0.25">
      <c r="A71" s="14">
        <v>39753</v>
      </c>
      <c r="B71" s="19">
        <v>360056</v>
      </c>
      <c r="C71" s="19">
        <v>356785</v>
      </c>
      <c r="E71" s="19">
        <v>356785</v>
      </c>
      <c r="F71" s="19">
        <v>356946</v>
      </c>
      <c r="G71" s="19">
        <v>1</v>
      </c>
      <c r="H71" s="7"/>
      <c r="I71" s="7"/>
      <c r="J71" s="7"/>
      <c r="L71" s="9">
        <f t="shared" si="1"/>
        <v>0</v>
      </c>
    </row>
    <row r="72" spans="1:12" x14ac:dyDescent="0.25">
      <c r="A72" s="14">
        <v>39783</v>
      </c>
      <c r="B72" s="19">
        <v>368513</v>
      </c>
      <c r="C72" s="19">
        <v>358760</v>
      </c>
      <c r="E72" s="19">
        <v>358760</v>
      </c>
      <c r="F72" s="19">
        <v>358853</v>
      </c>
      <c r="G72" s="19">
        <v>1</v>
      </c>
      <c r="H72" s="7"/>
      <c r="I72" s="7"/>
      <c r="J72" s="7"/>
      <c r="L72" s="9">
        <f t="shared" si="1"/>
        <v>0</v>
      </c>
    </row>
    <row r="73" spans="1:12" x14ac:dyDescent="0.25">
      <c r="A73" s="14">
        <v>39814</v>
      </c>
      <c r="B73" s="19">
        <v>369967</v>
      </c>
      <c r="C73" s="19">
        <v>361282</v>
      </c>
      <c r="E73" s="19">
        <v>361282</v>
      </c>
      <c r="F73" s="19">
        <v>360731</v>
      </c>
      <c r="G73" s="19">
        <v>1</v>
      </c>
      <c r="H73" s="7"/>
      <c r="I73" s="7"/>
      <c r="J73" s="7"/>
      <c r="L73" s="9">
        <f t="shared" si="1"/>
        <v>0</v>
      </c>
    </row>
    <row r="74" spans="1:12" x14ac:dyDescent="0.25">
      <c r="A74" s="14">
        <v>39845</v>
      </c>
      <c r="B74" s="19">
        <v>363521</v>
      </c>
      <c r="C74" s="19">
        <v>362179</v>
      </c>
      <c r="E74" s="19">
        <v>362179</v>
      </c>
      <c r="F74" s="19">
        <v>362564</v>
      </c>
      <c r="G74" s="19">
        <v>1</v>
      </c>
      <c r="H74" s="7"/>
      <c r="I74" s="7"/>
      <c r="J74" s="7"/>
      <c r="L74" s="9">
        <f t="shared" si="1"/>
        <v>0</v>
      </c>
    </row>
    <row r="75" spans="1:12" x14ac:dyDescent="0.25">
      <c r="A75" s="14">
        <v>39873</v>
      </c>
      <c r="B75" s="19">
        <v>356289</v>
      </c>
      <c r="C75" s="19">
        <v>364154</v>
      </c>
      <c r="E75" s="19">
        <v>364154</v>
      </c>
      <c r="F75" s="19">
        <v>364226</v>
      </c>
      <c r="G75" s="19">
        <v>1</v>
      </c>
      <c r="H75" s="7"/>
      <c r="I75" s="7"/>
      <c r="J75" s="7"/>
      <c r="L75" s="9">
        <f t="shared" si="1"/>
        <v>0</v>
      </c>
    </row>
    <row r="76" spans="1:12" x14ac:dyDescent="0.25">
      <c r="A76" s="14">
        <v>39904</v>
      </c>
      <c r="B76" s="19">
        <v>353349</v>
      </c>
      <c r="C76" s="19">
        <v>366013</v>
      </c>
      <c r="E76" s="19">
        <v>366013</v>
      </c>
      <c r="F76" s="19">
        <v>365810</v>
      </c>
      <c r="G76" s="19">
        <v>1</v>
      </c>
      <c r="H76" s="7"/>
      <c r="I76" s="7"/>
      <c r="J76" s="7"/>
      <c r="L76" s="9">
        <f t="shared" si="1"/>
        <v>0</v>
      </c>
    </row>
    <row r="77" spans="1:12" x14ac:dyDescent="0.25">
      <c r="A77" s="14">
        <v>39934</v>
      </c>
      <c r="B77" s="19">
        <v>355873</v>
      </c>
      <c r="C77" s="19">
        <v>367713</v>
      </c>
      <c r="E77" s="19">
        <v>367713</v>
      </c>
      <c r="F77" s="19">
        <v>367432</v>
      </c>
      <c r="G77" s="19">
        <v>1</v>
      </c>
      <c r="H77" s="7"/>
      <c r="I77" s="7"/>
      <c r="J77" s="7"/>
      <c r="L77" s="9">
        <f t="shared" si="1"/>
        <v>0</v>
      </c>
    </row>
    <row r="78" spans="1:12" x14ac:dyDescent="0.25">
      <c r="A78" s="14">
        <v>39965</v>
      </c>
      <c r="B78" s="19">
        <v>361827</v>
      </c>
      <c r="C78" s="19">
        <v>368241</v>
      </c>
      <c r="E78" s="19">
        <v>368241</v>
      </c>
      <c r="F78" s="19">
        <v>369096</v>
      </c>
      <c r="G78" s="19">
        <v>1</v>
      </c>
      <c r="H78" s="7"/>
      <c r="I78" s="7"/>
      <c r="J78" s="7"/>
      <c r="L78" s="9">
        <f t="shared" si="1"/>
        <v>0</v>
      </c>
    </row>
    <row r="79" spans="1:12" x14ac:dyDescent="0.25">
      <c r="A79" s="14">
        <v>39995</v>
      </c>
      <c r="B79" s="19">
        <v>373485</v>
      </c>
      <c r="C79" s="19">
        <v>371308</v>
      </c>
      <c r="E79" s="19">
        <v>371308</v>
      </c>
      <c r="F79" s="19">
        <v>370662</v>
      </c>
      <c r="G79" s="19">
        <v>1</v>
      </c>
      <c r="H79" s="7"/>
      <c r="I79" s="7"/>
      <c r="J79" s="7"/>
      <c r="L79" s="9">
        <f t="shared" si="1"/>
        <v>0</v>
      </c>
    </row>
    <row r="80" spans="1:12" x14ac:dyDescent="0.25">
      <c r="A80" s="14">
        <v>40026</v>
      </c>
      <c r="B80" s="19">
        <v>379340</v>
      </c>
      <c r="C80" s="19">
        <v>372391</v>
      </c>
      <c r="E80" s="19">
        <v>372391</v>
      </c>
      <c r="F80" s="19">
        <v>372157</v>
      </c>
      <c r="G80" s="19">
        <v>1</v>
      </c>
      <c r="H80" s="7"/>
      <c r="I80" s="7"/>
      <c r="J80" s="7"/>
      <c r="L80" s="9">
        <f t="shared" si="1"/>
        <v>0</v>
      </c>
    </row>
    <row r="81" spans="1:12" x14ac:dyDescent="0.25">
      <c r="A81" s="14">
        <v>40057</v>
      </c>
      <c r="B81" s="19">
        <v>379662</v>
      </c>
      <c r="C81" s="19">
        <v>373687</v>
      </c>
      <c r="E81" s="19">
        <v>373687</v>
      </c>
      <c r="F81" s="19">
        <v>373787</v>
      </c>
      <c r="G81" s="19">
        <v>1</v>
      </c>
      <c r="H81" s="7"/>
      <c r="I81" s="7"/>
      <c r="J81" s="7"/>
      <c r="L81" s="9">
        <f t="shared" si="1"/>
        <v>0</v>
      </c>
    </row>
    <row r="82" spans="1:12" x14ac:dyDescent="0.25">
      <c r="A82" s="14">
        <v>40087</v>
      </c>
      <c r="B82" s="19">
        <v>376596</v>
      </c>
      <c r="C82" s="19">
        <v>375186</v>
      </c>
      <c r="E82" s="19">
        <v>375186</v>
      </c>
      <c r="F82" s="19">
        <v>375771</v>
      </c>
      <c r="G82" s="19">
        <v>1</v>
      </c>
      <c r="H82" s="7"/>
      <c r="I82" s="7"/>
      <c r="J82" s="7"/>
      <c r="L82" s="9">
        <f t="shared" si="1"/>
        <v>0</v>
      </c>
    </row>
    <row r="83" spans="1:12" x14ac:dyDescent="0.25">
      <c r="A83" s="14">
        <v>40118</v>
      </c>
      <c r="B83" s="19">
        <v>381684</v>
      </c>
      <c r="C83" s="19">
        <v>378154</v>
      </c>
      <c r="E83" s="19">
        <v>378154</v>
      </c>
      <c r="F83" s="19">
        <v>378213</v>
      </c>
      <c r="G83" s="19">
        <v>1</v>
      </c>
      <c r="H83" s="7"/>
      <c r="I83" s="7"/>
      <c r="J83" s="7"/>
      <c r="L83" s="9">
        <f t="shared" si="1"/>
        <v>0</v>
      </c>
    </row>
    <row r="84" spans="1:12" x14ac:dyDescent="0.25">
      <c r="A84" s="14">
        <v>40148</v>
      </c>
      <c r="B84" s="19">
        <v>391486</v>
      </c>
      <c r="C84" s="19">
        <v>381695</v>
      </c>
      <c r="E84" s="19">
        <v>381695</v>
      </c>
      <c r="F84" s="19">
        <v>381142</v>
      </c>
      <c r="G84" s="19">
        <v>1</v>
      </c>
      <c r="H84" s="7"/>
      <c r="I84" s="7"/>
      <c r="J84" s="7"/>
      <c r="L84" s="9">
        <f t="shared" si="1"/>
        <v>0</v>
      </c>
    </row>
    <row r="85" spans="1:12" x14ac:dyDescent="0.25">
      <c r="A85" s="14">
        <v>40179</v>
      </c>
      <c r="B85" s="19">
        <v>392271</v>
      </c>
      <c r="C85" s="19">
        <v>383990</v>
      </c>
      <c r="E85" s="19">
        <v>383990</v>
      </c>
      <c r="F85" s="19">
        <v>384273</v>
      </c>
      <c r="G85" s="19">
        <v>1</v>
      </c>
      <c r="H85" s="7"/>
      <c r="I85" s="7"/>
      <c r="J85" s="7"/>
      <c r="L85" s="9">
        <f t="shared" si="1"/>
        <v>0</v>
      </c>
    </row>
    <row r="86" spans="1:12" x14ac:dyDescent="0.25">
      <c r="A86" s="14">
        <v>40210</v>
      </c>
      <c r="B86" s="19">
        <v>388069</v>
      </c>
      <c r="C86" s="19">
        <v>386982</v>
      </c>
      <c r="E86" s="19">
        <v>386982</v>
      </c>
      <c r="F86" s="19">
        <v>387345</v>
      </c>
      <c r="G86" s="19">
        <v>1</v>
      </c>
      <c r="H86" s="7"/>
      <c r="I86" s="7"/>
      <c r="J86" s="7"/>
      <c r="L86" s="9">
        <f t="shared" si="1"/>
        <v>0</v>
      </c>
    </row>
    <row r="87" spans="1:12" x14ac:dyDescent="0.25">
      <c r="A87" s="14">
        <v>40238</v>
      </c>
      <c r="B87" s="19">
        <v>381822</v>
      </c>
      <c r="C87" s="19">
        <v>390550</v>
      </c>
      <c r="E87" s="19">
        <v>390550</v>
      </c>
      <c r="F87" s="19">
        <v>390020</v>
      </c>
      <c r="G87" s="19">
        <v>1</v>
      </c>
      <c r="H87" s="7"/>
      <c r="I87" s="7"/>
      <c r="J87" s="7"/>
      <c r="L87" s="9">
        <f t="shared" si="1"/>
        <v>0</v>
      </c>
    </row>
    <row r="88" spans="1:12" x14ac:dyDescent="0.25">
      <c r="A88" s="14">
        <v>40269</v>
      </c>
      <c r="B88" s="19">
        <v>380022</v>
      </c>
      <c r="C88" s="19">
        <v>392665</v>
      </c>
      <c r="E88" s="19">
        <v>392665</v>
      </c>
      <c r="F88" s="19">
        <v>392129</v>
      </c>
      <c r="G88" s="19">
        <v>1</v>
      </c>
      <c r="H88" s="7"/>
      <c r="I88" s="7"/>
      <c r="J88" s="7"/>
      <c r="L88" s="9">
        <f t="shared" si="1"/>
        <v>0</v>
      </c>
    </row>
    <row r="89" spans="1:12" x14ac:dyDescent="0.25">
      <c r="A89" s="14">
        <v>40299</v>
      </c>
      <c r="B89" s="19">
        <v>381318</v>
      </c>
      <c r="C89" s="19">
        <v>394057</v>
      </c>
      <c r="E89" s="19">
        <v>394057</v>
      </c>
      <c r="F89" s="19">
        <v>393929</v>
      </c>
      <c r="G89" s="19">
        <v>1</v>
      </c>
      <c r="H89" s="7"/>
      <c r="I89" s="7"/>
      <c r="J89" s="7"/>
      <c r="L89" s="9">
        <f t="shared" si="1"/>
        <v>0</v>
      </c>
    </row>
    <row r="90" spans="1:12" x14ac:dyDescent="0.25">
      <c r="A90" s="14">
        <v>40330</v>
      </c>
      <c r="B90" s="19">
        <v>386786</v>
      </c>
      <c r="C90" s="19">
        <v>393712</v>
      </c>
      <c r="E90" s="19">
        <v>393712</v>
      </c>
      <c r="F90" s="19">
        <v>396130</v>
      </c>
      <c r="G90" s="19">
        <v>1</v>
      </c>
      <c r="H90" s="7"/>
      <c r="I90" s="7"/>
      <c r="J90" s="7"/>
      <c r="L90" s="9">
        <f t="shared" si="1"/>
        <v>0</v>
      </c>
    </row>
    <row r="91" spans="1:12" x14ac:dyDescent="0.25">
      <c r="A91" s="14">
        <v>40360</v>
      </c>
      <c r="B91" s="19">
        <v>400730</v>
      </c>
      <c r="C91" s="19">
        <v>398597</v>
      </c>
      <c r="E91" s="19">
        <v>398597</v>
      </c>
      <c r="F91" s="19">
        <v>399390</v>
      </c>
      <c r="G91" s="19">
        <v>1</v>
      </c>
      <c r="H91" s="7"/>
      <c r="I91" s="7"/>
      <c r="J91" s="7"/>
      <c r="L91" s="9">
        <f t="shared" si="1"/>
        <v>0</v>
      </c>
    </row>
    <row r="92" spans="1:12" x14ac:dyDescent="0.25">
      <c r="A92" s="14">
        <v>40391</v>
      </c>
      <c r="B92" s="19">
        <v>411655</v>
      </c>
      <c r="C92" s="19">
        <v>403648</v>
      </c>
      <c r="E92" s="19">
        <v>403648</v>
      </c>
      <c r="F92" s="19">
        <v>403495</v>
      </c>
      <c r="G92" s="19">
        <v>1</v>
      </c>
      <c r="H92" s="7"/>
      <c r="I92" s="7"/>
      <c r="J92" s="7"/>
      <c r="L92" s="9">
        <f t="shared" si="1"/>
        <v>0</v>
      </c>
    </row>
    <row r="93" spans="1:12" x14ac:dyDescent="0.25">
      <c r="A93" s="14">
        <v>40422</v>
      </c>
      <c r="B93" s="19">
        <v>415622</v>
      </c>
      <c r="C93" s="19">
        <v>408183</v>
      </c>
      <c r="E93" s="19">
        <v>408183</v>
      </c>
      <c r="F93" s="19">
        <v>407329</v>
      </c>
      <c r="G93" s="19">
        <v>1</v>
      </c>
      <c r="H93" s="7"/>
      <c r="I93" s="7"/>
      <c r="J93" s="7"/>
      <c r="L93" s="9">
        <f t="shared" si="1"/>
        <v>0</v>
      </c>
    </row>
    <row r="94" spans="1:12" x14ac:dyDescent="0.25">
      <c r="A94" s="14">
        <v>40452</v>
      </c>
      <c r="B94" s="19">
        <v>415262</v>
      </c>
      <c r="C94" s="19">
        <v>413292</v>
      </c>
      <c r="E94" s="19">
        <v>413292</v>
      </c>
      <c r="F94" s="19">
        <v>409948</v>
      </c>
      <c r="G94" s="19">
        <v>1</v>
      </c>
      <c r="H94" s="7"/>
      <c r="I94" s="7"/>
      <c r="J94" s="7"/>
      <c r="L94" s="9">
        <f t="shared" si="1"/>
        <v>0</v>
      </c>
    </row>
    <row r="95" spans="1:12" x14ac:dyDescent="0.25">
      <c r="A95" s="14">
        <v>40483</v>
      </c>
      <c r="B95" s="19">
        <v>415455</v>
      </c>
      <c r="C95" s="19">
        <v>411311</v>
      </c>
      <c r="E95" s="19">
        <v>411311</v>
      </c>
      <c r="F95" s="19">
        <v>411401</v>
      </c>
      <c r="G95" s="19">
        <v>1</v>
      </c>
      <c r="H95" s="7"/>
      <c r="I95" s="7"/>
      <c r="J95" s="7"/>
      <c r="L95" s="9">
        <f t="shared" si="1"/>
        <v>0</v>
      </c>
    </row>
    <row r="96" spans="1:12" x14ac:dyDescent="0.25">
      <c r="A96" s="14">
        <v>40513</v>
      </c>
      <c r="B96" s="19">
        <v>420114</v>
      </c>
      <c r="C96" s="19">
        <v>410468</v>
      </c>
      <c r="E96" s="19">
        <v>410468</v>
      </c>
      <c r="F96" s="19">
        <v>412377</v>
      </c>
      <c r="G96" s="19">
        <v>1</v>
      </c>
      <c r="H96" s="7"/>
      <c r="I96" s="7"/>
      <c r="J96" s="7"/>
      <c r="L96" s="9">
        <f t="shared" si="1"/>
        <v>0</v>
      </c>
    </row>
    <row r="97" spans="1:12" x14ac:dyDescent="0.25">
      <c r="A97" s="14">
        <v>40544</v>
      </c>
      <c r="B97" s="19">
        <v>418208</v>
      </c>
      <c r="C97" s="19">
        <v>410397</v>
      </c>
      <c r="E97" s="19">
        <v>410397</v>
      </c>
      <c r="F97" s="19">
        <v>413643</v>
      </c>
      <c r="G97" s="19">
        <v>1</v>
      </c>
      <c r="H97" s="7"/>
      <c r="I97" s="7"/>
      <c r="J97" s="7"/>
      <c r="L97" s="9">
        <f t="shared" si="1"/>
        <v>0</v>
      </c>
    </row>
    <row r="98" spans="1:12" x14ac:dyDescent="0.25">
      <c r="A98" s="14">
        <v>40575</v>
      </c>
      <c r="B98" s="19">
        <v>416574</v>
      </c>
      <c r="C98" s="19">
        <v>416027</v>
      </c>
      <c r="E98" s="19">
        <v>416027</v>
      </c>
      <c r="F98" s="19">
        <v>415346</v>
      </c>
      <c r="G98" s="19">
        <v>1</v>
      </c>
      <c r="H98" s="7"/>
      <c r="I98" s="7"/>
      <c r="J98" s="7"/>
      <c r="L98" s="9">
        <f t="shared" si="1"/>
        <v>0</v>
      </c>
    </row>
    <row r="99" spans="1:12" x14ac:dyDescent="0.25">
      <c r="A99" s="14">
        <v>40603</v>
      </c>
      <c r="B99" s="19">
        <v>407386</v>
      </c>
      <c r="C99" s="19">
        <v>416978</v>
      </c>
      <c r="E99" s="19">
        <v>416978</v>
      </c>
      <c r="F99" s="19">
        <v>417554</v>
      </c>
      <c r="G99" s="19">
        <v>1</v>
      </c>
      <c r="H99" s="7"/>
      <c r="I99" s="7"/>
      <c r="J99" s="7"/>
      <c r="L99" s="9">
        <f t="shared" si="1"/>
        <v>0</v>
      </c>
    </row>
    <row r="100" spans="1:12" x14ac:dyDescent="0.25">
      <c r="A100" s="14">
        <v>40634</v>
      </c>
      <c r="B100" s="19">
        <v>407516</v>
      </c>
      <c r="C100" s="19">
        <v>420233</v>
      </c>
      <c r="E100" s="19">
        <v>420233</v>
      </c>
      <c r="F100" s="19">
        <v>420149</v>
      </c>
      <c r="G100" s="19">
        <v>1</v>
      </c>
      <c r="H100" s="7"/>
      <c r="I100" s="7"/>
      <c r="J100" s="7"/>
      <c r="L100" s="9">
        <f t="shared" si="1"/>
        <v>0</v>
      </c>
    </row>
    <row r="101" spans="1:12" x14ac:dyDescent="0.25">
      <c r="A101" s="14">
        <v>40664</v>
      </c>
      <c r="B101" s="19">
        <v>408751</v>
      </c>
      <c r="C101" s="19">
        <v>422043</v>
      </c>
      <c r="E101" s="19">
        <v>422043</v>
      </c>
      <c r="F101" s="19">
        <v>422986</v>
      </c>
      <c r="G101" s="19">
        <v>1</v>
      </c>
      <c r="H101" s="7"/>
      <c r="I101" s="7"/>
      <c r="J101" s="7"/>
      <c r="L101" s="9">
        <f t="shared" si="1"/>
        <v>0</v>
      </c>
    </row>
    <row r="102" spans="1:12" x14ac:dyDescent="0.25">
      <c r="A102" s="14">
        <v>40695</v>
      </c>
      <c r="B102" s="19">
        <v>420006</v>
      </c>
      <c r="C102" s="19">
        <v>427030</v>
      </c>
      <c r="E102" s="19">
        <v>427030</v>
      </c>
      <c r="F102" s="19">
        <v>425738</v>
      </c>
      <c r="G102" s="19">
        <v>1</v>
      </c>
      <c r="H102" s="7"/>
      <c r="I102" s="7"/>
      <c r="J102" s="7"/>
      <c r="L102" s="9">
        <f t="shared" si="1"/>
        <v>0</v>
      </c>
    </row>
    <row r="103" spans="1:12" x14ac:dyDescent="0.25">
      <c r="A103" s="14">
        <v>40725</v>
      </c>
      <c r="B103" s="19">
        <v>432904</v>
      </c>
      <c r="C103" s="19">
        <v>430855</v>
      </c>
      <c r="E103" s="19">
        <v>430855</v>
      </c>
      <c r="F103" s="19">
        <v>427595</v>
      </c>
      <c r="G103" s="19">
        <v>1</v>
      </c>
      <c r="H103" s="7"/>
      <c r="I103" s="7"/>
      <c r="J103" s="7"/>
      <c r="L103" s="9">
        <f t="shared" si="1"/>
        <v>0</v>
      </c>
    </row>
    <row r="104" spans="1:12" x14ac:dyDescent="0.25">
      <c r="A104" s="14">
        <v>40756</v>
      </c>
      <c r="B104" s="19">
        <v>438822</v>
      </c>
      <c r="C104" s="19">
        <v>430767</v>
      </c>
      <c r="E104" s="19">
        <v>430767</v>
      </c>
      <c r="F104" s="19">
        <v>428322</v>
      </c>
      <c r="G104" s="19">
        <v>1</v>
      </c>
      <c r="H104" s="7"/>
      <c r="I104" s="7"/>
      <c r="J104" s="7"/>
      <c r="L104" s="9">
        <f t="shared" si="1"/>
        <v>0</v>
      </c>
    </row>
    <row r="105" spans="1:12" x14ac:dyDescent="0.25">
      <c r="A105" s="14">
        <v>40787</v>
      </c>
      <c r="B105" s="19">
        <v>436447</v>
      </c>
      <c r="C105" s="19">
        <v>428706</v>
      </c>
      <c r="E105" s="19">
        <v>428706</v>
      </c>
      <c r="F105" s="19">
        <v>428501</v>
      </c>
      <c r="G105" s="19">
        <v>1</v>
      </c>
      <c r="H105" s="7"/>
      <c r="I105" s="7"/>
      <c r="J105" s="7"/>
      <c r="L105" s="9">
        <f t="shared" si="1"/>
        <v>0</v>
      </c>
    </row>
    <row r="106" spans="1:12" x14ac:dyDescent="0.25">
      <c r="A106" s="14">
        <v>40817</v>
      </c>
      <c r="B106" s="19">
        <v>429937</v>
      </c>
      <c r="C106" s="19">
        <v>427535</v>
      </c>
      <c r="E106" s="19">
        <v>427535</v>
      </c>
      <c r="F106" s="19">
        <v>429056</v>
      </c>
      <c r="G106" s="19">
        <v>1</v>
      </c>
    </row>
    <row r="107" spans="1:12" x14ac:dyDescent="0.25">
      <c r="A107" s="14">
        <v>40848</v>
      </c>
      <c r="B107" s="19">
        <v>435993</v>
      </c>
      <c r="C107" s="19">
        <v>431076</v>
      </c>
      <c r="E107" s="19">
        <v>431076</v>
      </c>
      <c r="F107" s="19">
        <v>430749</v>
      </c>
      <c r="G107" s="19">
        <v>1</v>
      </c>
    </row>
    <row r="108" spans="1:12" x14ac:dyDescent="0.25">
      <c r="A108" s="14">
        <v>40878</v>
      </c>
      <c r="B108" s="19">
        <v>443828</v>
      </c>
      <c r="C108" s="19">
        <v>433344</v>
      </c>
      <c r="E108" s="19">
        <v>433344</v>
      </c>
      <c r="F108" s="19">
        <v>433493</v>
      </c>
      <c r="G108" s="19">
        <v>1</v>
      </c>
    </row>
    <row r="109" spans="1:12" x14ac:dyDescent="0.25">
      <c r="A109" s="14">
        <v>40909</v>
      </c>
      <c r="B109" s="19">
        <v>444931</v>
      </c>
      <c r="C109" s="19">
        <v>437186</v>
      </c>
      <c r="E109" s="19">
        <v>437186</v>
      </c>
      <c r="F109" s="19">
        <v>436956</v>
      </c>
      <c r="G109" s="19">
        <v>1</v>
      </c>
    </row>
    <row r="110" spans="1:12" x14ac:dyDescent="0.25">
      <c r="A110" s="14">
        <v>40940</v>
      </c>
      <c r="B110" s="19">
        <v>440864</v>
      </c>
      <c r="C110" s="19">
        <v>440475</v>
      </c>
      <c r="E110" s="19">
        <v>440475</v>
      </c>
      <c r="F110" s="19">
        <v>440467</v>
      </c>
      <c r="G110" s="19">
        <v>1</v>
      </c>
    </row>
    <row r="111" spans="1:12" x14ac:dyDescent="0.25">
      <c r="A111" s="14">
        <v>40969</v>
      </c>
      <c r="B111" s="19">
        <v>433392</v>
      </c>
      <c r="C111" s="19">
        <v>443565</v>
      </c>
      <c r="E111" s="19">
        <v>443565</v>
      </c>
      <c r="F111" s="19">
        <v>443562</v>
      </c>
      <c r="G111" s="19">
        <v>1</v>
      </c>
    </row>
    <row r="112" spans="1:12" x14ac:dyDescent="0.25">
      <c r="A112" s="14">
        <v>41000</v>
      </c>
      <c r="B112" s="19">
        <v>433718</v>
      </c>
      <c r="C112" s="19">
        <v>446809</v>
      </c>
      <c r="E112" s="19">
        <v>446809</v>
      </c>
      <c r="F112" s="19">
        <v>446281</v>
      </c>
      <c r="G112" s="19">
        <v>1</v>
      </c>
    </row>
    <row r="113" spans="1:7" x14ac:dyDescent="0.25">
      <c r="A113" s="14">
        <v>41030</v>
      </c>
      <c r="B113" s="19">
        <v>434787</v>
      </c>
      <c r="C113" s="19">
        <v>448482</v>
      </c>
      <c r="E113" s="19">
        <v>448482</v>
      </c>
      <c r="F113" s="19">
        <v>448712</v>
      </c>
      <c r="G113" s="19">
        <v>1</v>
      </c>
    </row>
    <row r="114" spans="1:7" x14ac:dyDescent="0.25">
      <c r="A114" s="14">
        <v>41061</v>
      </c>
      <c r="B114" s="19">
        <v>442665</v>
      </c>
      <c r="C114" s="19">
        <v>450328</v>
      </c>
      <c r="E114" s="19">
        <v>450328</v>
      </c>
      <c r="F114" s="19">
        <v>450992</v>
      </c>
      <c r="G114" s="19">
        <v>1</v>
      </c>
    </row>
    <row r="115" spans="1:7" x14ac:dyDescent="0.25">
      <c r="A115" s="14">
        <v>41091</v>
      </c>
      <c r="B115" s="19">
        <v>454872</v>
      </c>
      <c r="C115" s="19">
        <v>453713</v>
      </c>
      <c r="E115" s="19">
        <v>453713</v>
      </c>
      <c r="F115" s="19">
        <v>453242</v>
      </c>
      <c r="G115" s="19">
        <v>1</v>
      </c>
    </row>
    <row r="116" spans="1:7" x14ac:dyDescent="0.25">
      <c r="A116" s="14">
        <v>41122</v>
      </c>
      <c r="B116" s="19">
        <v>462236</v>
      </c>
      <c r="C116" s="19">
        <v>455429</v>
      </c>
      <c r="E116" s="19">
        <v>455429</v>
      </c>
      <c r="F116" s="19">
        <v>455327</v>
      </c>
      <c r="G116" s="19">
        <v>1</v>
      </c>
    </row>
    <row r="117" spans="1:7" x14ac:dyDescent="0.25">
      <c r="A117" s="14">
        <v>41153</v>
      </c>
      <c r="B117" s="19">
        <v>463963</v>
      </c>
      <c r="C117" s="19">
        <v>456423</v>
      </c>
      <c r="E117" s="19">
        <v>456423</v>
      </c>
      <c r="F117" s="19">
        <v>456846</v>
      </c>
      <c r="G117" s="19">
        <v>1</v>
      </c>
    </row>
    <row r="118" spans="1:7" x14ac:dyDescent="0.25">
      <c r="A118" s="14">
        <v>41183</v>
      </c>
      <c r="B118" s="19">
        <v>462030</v>
      </c>
      <c r="C118" s="19">
        <v>458707</v>
      </c>
      <c r="E118" s="19">
        <v>458707</v>
      </c>
      <c r="F118" s="19">
        <v>457602</v>
      </c>
      <c r="G118" s="19">
        <v>1</v>
      </c>
    </row>
    <row r="119" spans="1:7" x14ac:dyDescent="0.25">
      <c r="A119" s="14">
        <v>41214</v>
      </c>
      <c r="B119" s="19">
        <v>464163</v>
      </c>
      <c r="C119" s="19">
        <v>457633</v>
      </c>
      <c r="E119" s="19">
        <v>457633</v>
      </c>
      <c r="F119" s="19">
        <v>457823</v>
      </c>
      <c r="G119" s="19">
        <v>1</v>
      </c>
    </row>
    <row r="120" spans="1:7" x14ac:dyDescent="0.25">
      <c r="A120" s="14">
        <v>41244</v>
      </c>
      <c r="B120" s="19">
        <v>470422</v>
      </c>
      <c r="C120" s="19">
        <v>457680</v>
      </c>
      <c r="E120" s="19">
        <v>457680</v>
      </c>
      <c r="F120" s="19">
        <v>458139</v>
      </c>
      <c r="G120" s="19">
        <v>1</v>
      </c>
    </row>
    <row r="121" spans="1:7" x14ac:dyDescent="0.25">
      <c r="A121" s="14">
        <v>41275</v>
      </c>
      <c r="B121" s="19">
        <v>467858</v>
      </c>
      <c r="C121" s="19">
        <v>459237</v>
      </c>
      <c r="E121" s="19">
        <v>459237</v>
      </c>
      <c r="F121" s="19">
        <v>459114</v>
      </c>
      <c r="G121" s="19">
        <v>1</v>
      </c>
    </row>
    <row r="122" spans="1:7" x14ac:dyDescent="0.25">
      <c r="A122" s="14">
        <v>41306</v>
      </c>
      <c r="B122" s="19">
        <v>461491</v>
      </c>
      <c r="C122" s="19">
        <v>460796</v>
      </c>
      <c r="E122" s="19">
        <v>460796</v>
      </c>
      <c r="F122" s="19">
        <v>461371</v>
      </c>
      <c r="G122" s="19">
        <v>1</v>
      </c>
    </row>
    <row r="123" spans="1:7" x14ac:dyDescent="0.25">
      <c r="A123" s="14">
        <v>41334</v>
      </c>
      <c r="B123" s="19">
        <v>454646</v>
      </c>
      <c r="C123" s="19">
        <v>465148</v>
      </c>
      <c r="E123" s="19">
        <v>465148</v>
      </c>
      <c r="F123" s="19">
        <v>465108</v>
      </c>
      <c r="G123" s="19">
        <v>1</v>
      </c>
    </row>
    <row r="124" spans="1:7" x14ac:dyDescent="0.25">
      <c r="A124" s="14">
        <v>41365</v>
      </c>
      <c r="B124" s="19">
        <v>455163</v>
      </c>
      <c r="C124" s="19">
        <v>469100</v>
      </c>
      <c r="E124" s="19">
        <v>469100</v>
      </c>
      <c r="F124" s="19">
        <v>469840</v>
      </c>
      <c r="G124" s="19">
        <v>1</v>
      </c>
    </row>
    <row r="125" spans="1:7" x14ac:dyDescent="0.25">
      <c r="A125" s="14">
        <v>41395</v>
      </c>
      <c r="B125" s="19">
        <v>461168</v>
      </c>
      <c r="C125" s="19">
        <v>475360</v>
      </c>
      <c r="E125" s="19">
        <v>475360</v>
      </c>
      <c r="F125" s="19">
        <v>474710</v>
      </c>
      <c r="G125" s="19">
        <v>1</v>
      </c>
    </row>
    <row r="126" spans="1:7" x14ac:dyDescent="0.25">
      <c r="A126" s="14">
        <v>41426</v>
      </c>
      <c r="B126" s="19">
        <v>470394</v>
      </c>
      <c r="C126" s="19">
        <v>479386</v>
      </c>
      <c r="E126" s="19">
        <v>479386</v>
      </c>
      <c r="F126" s="19">
        <v>478688</v>
      </c>
      <c r="G126" s="19">
        <v>1</v>
      </c>
    </row>
    <row r="127" spans="1:7" x14ac:dyDescent="0.25">
      <c r="A127" s="14">
        <v>41456</v>
      </c>
      <c r="B127" s="19">
        <v>481355</v>
      </c>
      <c r="C127" s="19">
        <v>481901</v>
      </c>
      <c r="E127" s="19">
        <v>481901</v>
      </c>
      <c r="F127" s="19">
        <v>481479</v>
      </c>
      <c r="G127" s="19">
        <v>1</v>
      </c>
    </row>
    <row r="128" spans="1:7" x14ac:dyDescent="0.25">
      <c r="A128" s="14">
        <v>41487</v>
      </c>
      <c r="B128" s="19">
        <v>486786</v>
      </c>
      <c r="C128" s="19">
        <v>482515</v>
      </c>
      <c r="E128" s="19">
        <v>482515</v>
      </c>
      <c r="F128" s="19">
        <v>483257</v>
      </c>
      <c r="G128" s="19">
        <v>1</v>
      </c>
    </row>
    <row r="129" spans="1:7" x14ac:dyDescent="0.25">
      <c r="A129" s="14">
        <v>41518</v>
      </c>
      <c r="B129" s="19">
        <v>490459</v>
      </c>
      <c r="C129" s="19">
        <v>483939</v>
      </c>
      <c r="E129" s="19">
        <v>483939</v>
      </c>
      <c r="F129" s="19">
        <v>484481</v>
      </c>
      <c r="G129" s="19">
        <v>1</v>
      </c>
    </row>
    <row r="130" spans="1:7" x14ac:dyDescent="0.25">
      <c r="A130" s="14">
        <v>41548</v>
      </c>
      <c r="B130" s="19">
        <v>489917</v>
      </c>
      <c r="C130" s="19">
        <v>486764</v>
      </c>
      <c r="E130" s="19">
        <v>486764</v>
      </c>
      <c r="F130" s="19">
        <v>485459</v>
      </c>
      <c r="G130" s="19">
        <v>1</v>
      </c>
    </row>
    <row r="131" spans="1:7" x14ac:dyDescent="0.25">
      <c r="A131" s="14">
        <v>41579</v>
      </c>
      <c r="B131" s="19">
        <v>494439</v>
      </c>
      <c r="C131" s="19">
        <v>485392</v>
      </c>
      <c r="E131" s="19">
        <v>485392</v>
      </c>
      <c r="F131" s="19">
        <v>486200</v>
      </c>
      <c r="G131" s="19">
        <v>1</v>
      </c>
    </row>
    <row r="132" spans="1:7" x14ac:dyDescent="0.25">
      <c r="A132" s="14">
        <v>41609</v>
      </c>
      <c r="B132" s="19">
        <v>499118</v>
      </c>
      <c r="C132" s="19">
        <v>482142</v>
      </c>
      <c r="E132" s="19">
        <v>482142</v>
      </c>
      <c r="F132" s="19">
        <v>486901</v>
      </c>
      <c r="G132" s="19">
        <v>1</v>
      </c>
    </row>
    <row r="133" spans="1:7" x14ac:dyDescent="0.25">
      <c r="A133" s="14">
        <v>41640</v>
      </c>
      <c r="B133" s="19">
        <v>498226</v>
      </c>
      <c r="C133" s="19">
        <v>486975</v>
      </c>
      <c r="E133" s="19">
        <v>486975</v>
      </c>
      <c r="F133" s="19">
        <v>487831</v>
      </c>
      <c r="G133" s="19">
        <v>1</v>
      </c>
    </row>
    <row r="134" spans="1:7" x14ac:dyDescent="0.25">
      <c r="A134" s="14">
        <v>41671</v>
      </c>
      <c r="B134" s="19">
        <v>491626</v>
      </c>
      <c r="C134" s="19">
        <v>489037</v>
      </c>
      <c r="E134" s="19">
        <v>489037</v>
      </c>
      <c r="F134" s="19">
        <v>488999</v>
      </c>
      <c r="G134" s="19">
        <v>1</v>
      </c>
    </row>
    <row r="135" spans="1:7" x14ac:dyDescent="0.25">
      <c r="A135" s="14">
        <v>41699</v>
      </c>
      <c r="B135" s="19">
        <v>479491</v>
      </c>
      <c r="C135" s="19">
        <v>490720</v>
      </c>
      <c r="E135" s="19">
        <v>490720</v>
      </c>
      <c r="F135" s="19">
        <v>489955</v>
      </c>
      <c r="G135" s="19">
        <v>1</v>
      </c>
    </row>
    <row r="136" spans="1:7" x14ac:dyDescent="0.25">
      <c r="A136" s="14">
        <v>41730</v>
      </c>
      <c r="B136" s="19">
        <v>475849</v>
      </c>
      <c r="C136" s="19">
        <v>490767</v>
      </c>
      <c r="E136" s="19">
        <v>490767</v>
      </c>
      <c r="F136" s="19">
        <v>490229</v>
      </c>
      <c r="G136" s="19">
        <v>1</v>
      </c>
    </row>
    <row r="137" spans="1:7" x14ac:dyDescent="0.25">
      <c r="A137" s="14">
        <v>41760</v>
      </c>
      <c r="B137" s="19">
        <v>474707</v>
      </c>
      <c r="C137" s="19">
        <v>490055</v>
      </c>
      <c r="E137" s="19">
        <v>490055</v>
      </c>
      <c r="F137" s="19">
        <v>490320</v>
      </c>
      <c r="G137" s="19">
        <v>1</v>
      </c>
    </row>
    <row r="138" spans="1:7" x14ac:dyDescent="0.25">
      <c r="A138" s="14">
        <v>41791</v>
      </c>
      <c r="B138" s="19">
        <v>479202</v>
      </c>
      <c r="C138" s="19">
        <v>490383</v>
      </c>
      <c r="E138" s="19">
        <v>490383</v>
      </c>
      <c r="F138" s="19">
        <v>491176</v>
      </c>
      <c r="G138" s="19">
        <v>1</v>
      </c>
    </row>
    <row r="139" spans="1:7" x14ac:dyDescent="0.25">
      <c r="A139" s="14">
        <v>41821</v>
      </c>
      <c r="B139" s="19">
        <v>489212</v>
      </c>
      <c r="C139" s="19">
        <v>492204</v>
      </c>
      <c r="E139" s="19">
        <v>492204</v>
      </c>
      <c r="F139" s="19">
        <v>493455</v>
      </c>
      <c r="G139" s="19">
        <v>1</v>
      </c>
    </row>
    <row r="140" spans="1:7" x14ac:dyDescent="0.25">
      <c r="A140" s="14">
        <v>41852</v>
      </c>
      <c r="B140" s="19">
        <v>498282</v>
      </c>
      <c r="C140" s="19">
        <v>496892</v>
      </c>
      <c r="E140" s="19">
        <v>496892</v>
      </c>
      <c r="F140" s="19">
        <v>496610</v>
      </c>
      <c r="G140" s="19">
        <v>1</v>
      </c>
    </row>
    <row r="141" spans="1:7" x14ac:dyDescent="0.25">
      <c r="A141" s="14">
        <v>41883</v>
      </c>
      <c r="B141" s="19">
        <v>505072</v>
      </c>
      <c r="C141" s="19">
        <v>500213</v>
      </c>
      <c r="E141" s="19">
        <v>500213</v>
      </c>
      <c r="F141" s="19">
        <v>498971</v>
      </c>
      <c r="G141" s="19">
        <v>1</v>
      </c>
    </row>
    <row r="142" spans="1:7" x14ac:dyDescent="0.25">
      <c r="A142" s="14">
        <v>41913</v>
      </c>
      <c r="B142" s="19">
        <v>505514</v>
      </c>
      <c r="C142" s="19">
        <v>503330</v>
      </c>
      <c r="E142" s="19">
        <v>503330</v>
      </c>
      <c r="F142" s="19">
        <v>499094</v>
      </c>
      <c r="G142" s="19">
        <v>1</v>
      </c>
    </row>
    <row r="143" spans="1:7" x14ac:dyDescent="0.25">
      <c r="A143" s="14">
        <v>41944</v>
      </c>
      <c r="B143" s="19">
        <v>509048</v>
      </c>
      <c r="C143" s="19">
        <v>497328</v>
      </c>
      <c r="E143" s="19">
        <v>497328</v>
      </c>
      <c r="F143" s="19">
        <v>496455</v>
      </c>
      <c r="G143" s="19">
        <v>1</v>
      </c>
    </row>
    <row r="144" spans="1:7" x14ac:dyDescent="0.25">
      <c r="A144" s="14">
        <v>41974</v>
      </c>
      <c r="B144" s="19">
        <v>513436</v>
      </c>
      <c r="C144" s="19">
        <v>491526</v>
      </c>
      <c r="E144" s="19">
        <v>491526</v>
      </c>
      <c r="F144" s="19">
        <v>492311</v>
      </c>
      <c r="G144" s="19">
        <v>1</v>
      </c>
    </row>
    <row r="145" spans="1:7" x14ac:dyDescent="0.25">
      <c r="A145" s="14">
        <v>42005</v>
      </c>
      <c r="B145" s="19">
        <v>502452</v>
      </c>
      <c r="C145" s="19">
        <v>487983</v>
      </c>
      <c r="E145" s="19">
        <v>487983</v>
      </c>
      <c r="F145" s="19">
        <v>488281</v>
      </c>
      <c r="G145" s="19">
        <v>1</v>
      </c>
    </row>
    <row r="146" spans="1:7" x14ac:dyDescent="0.25">
      <c r="A146" s="14">
        <v>42036</v>
      </c>
      <c r="B146" s="19">
        <v>488898</v>
      </c>
      <c r="C146" s="19">
        <v>483706</v>
      </c>
      <c r="E146" s="19">
        <v>483706</v>
      </c>
      <c r="F146" s="19">
        <v>485398</v>
      </c>
      <c r="G146" s="19">
        <v>1</v>
      </c>
    </row>
    <row r="147" spans="1:7" x14ac:dyDescent="0.25">
      <c r="A147" s="14">
        <v>42064</v>
      </c>
      <c r="B147" s="19">
        <v>473452</v>
      </c>
      <c r="C147" s="19">
        <v>485473</v>
      </c>
      <c r="E147" s="19">
        <v>485473</v>
      </c>
      <c r="F147" s="19">
        <v>483746</v>
      </c>
      <c r="G147" s="19">
        <v>1</v>
      </c>
    </row>
    <row r="148" spans="1:7" x14ac:dyDescent="0.25">
      <c r="A148" s="14">
        <v>42095</v>
      </c>
      <c r="B148" s="19">
        <v>466244</v>
      </c>
      <c r="C148" s="19">
        <v>481810</v>
      </c>
      <c r="E148" s="19">
        <v>481810</v>
      </c>
      <c r="F148" s="19">
        <v>482743</v>
      </c>
      <c r="G148" s="19">
        <v>1</v>
      </c>
    </row>
    <row r="149" spans="1:7" x14ac:dyDescent="0.25">
      <c r="A149" s="14">
        <v>42125</v>
      </c>
      <c r="B149" s="19">
        <v>465821</v>
      </c>
      <c r="C149" s="19">
        <v>482187</v>
      </c>
      <c r="E149" s="19">
        <v>482187</v>
      </c>
      <c r="F149" s="19">
        <v>481456</v>
      </c>
      <c r="G149" s="19">
        <v>1</v>
      </c>
    </row>
    <row r="150" spans="1:7" x14ac:dyDescent="0.25">
      <c r="A150" s="14">
        <v>42156</v>
      </c>
      <c r="B150" s="19">
        <v>467641</v>
      </c>
      <c r="C150" s="19">
        <v>480119</v>
      </c>
      <c r="E150" s="19">
        <v>480119</v>
      </c>
      <c r="F150" s="19">
        <v>479819</v>
      </c>
      <c r="G150" s="19">
        <v>1</v>
      </c>
    </row>
    <row r="151" spans="1:7" x14ac:dyDescent="0.25">
      <c r="A151" s="14">
        <v>42186</v>
      </c>
      <c r="B151" s="19">
        <v>473413</v>
      </c>
      <c r="C151" s="19">
        <v>478064</v>
      </c>
      <c r="E151" s="19">
        <v>478064</v>
      </c>
      <c r="F151" s="19">
        <v>477972</v>
      </c>
      <c r="G151" s="19">
        <v>1</v>
      </c>
    </row>
    <row r="152" spans="1:7" x14ac:dyDescent="0.25">
      <c r="A152" s="14">
        <v>42217</v>
      </c>
      <c r="B152" s="19">
        <v>474695</v>
      </c>
      <c r="C152" s="19">
        <v>475649</v>
      </c>
      <c r="E152" s="19">
        <v>475649</v>
      </c>
      <c r="F152" s="19">
        <v>476725</v>
      </c>
      <c r="G152" s="19">
        <v>1</v>
      </c>
    </row>
    <row r="153" spans="1:7" x14ac:dyDescent="0.25">
      <c r="A153" s="14">
        <v>42248</v>
      </c>
      <c r="B153" s="19">
        <v>471766</v>
      </c>
      <c r="C153" s="19">
        <v>469352</v>
      </c>
      <c r="E153" s="19">
        <v>469352</v>
      </c>
      <c r="F153" s="19">
        <v>476349</v>
      </c>
      <c r="G153" s="19">
        <v>1</v>
      </c>
    </row>
    <row r="154" spans="1:7" x14ac:dyDescent="0.25">
      <c r="A154" s="14">
        <v>42278</v>
      </c>
      <c r="B154" s="19">
        <v>475792</v>
      </c>
      <c r="C154" s="19">
        <v>475332</v>
      </c>
      <c r="E154" s="19">
        <v>475332</v>
      </c>
      <c r="F154" s="19">
        <v>476934</v>
      </c>
      <c r="G154" s="19">
        <v>1</v>
      </c>
    </row>
    <row r="155" spans="1:7" x14ac:dyDescent="0.25">
      <c r="A155" s="14">
        <v>42309</v>
      </c>
      <c r="B155" s="19">
        <v>492335</v>
      </c>
      <c r="C155" s="19">
        <v>479560</v>
      </c>
      <c r="E155" s="19">
        <v>479560</v>
      </c>
      <c r="F155" s="19">
        <v>478067</v>
      </c>
      <c r="G155" s="19">
        <v>1</v>
      </c>
    </row>
    <row r="156" spans="1:7" x14ac:dyDescent="0.25">
      <c r="A156" s="14">
        <v>42339</v>
      </c>
      <c r="B156" s="19">
        <v>516170</v>
      </c>
      <c r="C156" s="19">
        <v>489514</v>
      </c>
      <c r="E156" s="19">
        <v>489514</v>
      </c>
      <c r="F156" s="19">
        <v>478685</v>
      </c>
      <c r="G156" s="19">
        <v>1</v>
      </c>
    </row>
    <row r="157" spans="1:7" x14ac:dyDescent="0.25">
      <c r="A157" s="14">
        <v>42370</v>
      </c>
      <c r="B157" s="19">
        <v>503363</v>
      </c>
      <c r="C157" s="19">
        <v>485363</v>
      </c>
      <c r="E157" s="19">
        <v>485363</v>
      </c>
      <c r="F157" s="19">
        <v>478148</v>
      </c>
      <c r="G157" s="19">
        <v>1</v>
      </c>
    </row>
    <row r="158" spans="1:7" x14ac:dyDescent="0.25">
      <c r="A158" s="14">
        <v>42401</v>
      </c>
      <c r="B158" s="19">
        <v>485975</v>
      </c>
      <c r="C158" s="19">
        <v>477969</v>
      </c>
      <c r="E158" s="19">
        <v>477969</v>
      </c>
      <c r="F158" s="19">
        <v>476301</v>
      </c>
      <c r="G158" s="19">
        <v>1</v>
      </c>
    </row>
    <row r="159" spans="1:7" x14ac:dyDescent="0.25">
      <c r="A159" s="14">
        <v>42430</v>
      </c>
      <c r="B159" s="19">
        <v>458021</v>
      </c>
      <c r="C159" s="19">
        <v>471433</v>
      </c>
      <c r="E159" s="19">
        <v>471433</v>
      </c>
      <c r="F159" s="19">
        <v>473422</v>
      </c>
      <c r="G159" s="19">
        <v>1</v>
      </c>
    </row>
    <row r="160" spans="1:7" x14ac:dyDescent="0.25">
      <c r="A160" s="14">
        <v>42461</v>
      </c>
      <c r="B160" s="19">
        <v>455196</v>
      </c>
      <c r="C160" s="19">
        <v>471634</v>
      </c>
      <c r="E160" s="19">
        <v>471634</v>
      </c>
      <c r="F160" s="19">
        <v>470503</v>
      </c>
      <c r="G160" s="19">
        <v>1</v>
      </c>
    </row>
    <row r="161" spans="1:7" x14ac:dyDescent="0.25">
      <c r="A161" s="14">
        <v>42491</v>
      </c>
      <c r="B161" s="19">
        <v>449625</v>
      </c>
      <c r="C161" s="19">
        <v>467365</v>
      </c>
      <c r="E161" s="19">
        <v>467365</v>
      </c>
      <c r="F161" s="19">
        <v>468230</v>
      </c>
      <c r="G161" s="19">
        <v>1</v>
      </c>
    </row>
    <row r="162" spans="1:7" x14ac:dyDescent="0.25">
      <c r="A162" s="14">
        <v>42522</v>
      </c>
      <c r="B162" s="19">
        <v>452971</v>
      </c>
      <c r="C162" s="19">
        <v>466506</v>
      </c>
      <c r="E162" s="19">
        <v>466506</v>
      </c>
      <c r="F162" s="19">
        <v>466936</v>
      </c>
      <c r="G162" s="19">
        <v>1</v>
      </c>
    </row>
    <row r="163" spans="1:7" x14ac:dyDescent="0.25">
      <c r="A163" s="14">
        <v>42552</v>
      </c>
      <c r="B163" s="19">
        <v>461801</v>
      </c>
      <c r="C163" s="19">
        <v>466978</v>
      </c>
      <c r="E163" s="19">
        <v>466978</v>
      </c>
      <c r="F163" s="19">
        <v>466287</v>
      </c>
      <c r="G163" s="19">
        <v>1</v>
      </c>
    </row>
    <row r="164" spans="1:7" x14ac:dyDescent="0.25">
      <c r="A164" s="14">
        <v>42583</v>
      </c>
      <c r="B164" s="19">
        <v>465583</v>
      </c>
      <c r="C164" s="19">
        <v>466693</v>
      </c>
      <c r="E164" s="19">
        <v>466693</v>
      </c>
      <c r="F164" s="19">
        <v>465949</v>
      </c>
      <c r="G164" s="19">
        <v>1</v>
      </c>
    </row>
    <row r="165" spans="1:7" x14ac:dyDescent="0.25">
      <c r="A165" s="14">
        <v>42614</v>
      </c>
      <c r="B165" s="19">
        <v>466688</v>
      </c>
      <c r="C165" s="19">
        <v>465573</v>
      </c>
      <c r="E165" s="19">
        <v>465573</v>
      </c>
      <c r="F165" s="19">
        <v>466547</v>
      </c>
      <c r="G165" s="19">
        <v>1</v>
      </c>
    </row>
    <row r="166" spans="1:7" x14ac:dyDescent="0.25">
      <c r="A166" s="14">
        <v>42644</v>
      </c>
      <c r="B166" s="19">
        <v>467663</v>
      </c>
      <c r="C166" s="19">
        <v>467695</v>
      </c>
      <c r="E166" s="19">
        <v>467695</v>
      </c>
      <c r="F166" s="19">
        <v>468136</v>
      </c>
      <c r="G166" s="19">
        <v>1</v>
      </c>
    </row>
    <row r="167" spans="1:7" x14ac:dyDescent="0.25">
      <c r="A167" s="14">
        <v>42675</v>
      </c>
      <c r="B167" s="19">
        <v>483108</v>
      </c>
      <c r="C167" s="19">
        <v>470264</v>
      </c>
      <c r="E167" s="19">
        <v>470264</v>
      </c>
      <c r="F167" s="19">
        <v>470908</v>
      </c>
      <c r="G167" s="19">
        <v>1</v>
      </c>
    </row>
    <row r="168" spans="1:7" x14ac:dyDescent="0.25">
      <c r="A168" s="14">
        <v>42705</v>
      </c>
      <c r="B168" s="19">
        <v>506354</v>
      </c>
      <c r="C168" s="19">
        <v>477357</v>
      </c>
      <c r="E168" s="19">
        <v>477357</v>
      </c>
      <c r="F168" s="19">
        <v>474179</v>
      </c>
      <c r="G168" s="19">
        <v>1</v>
      </c>
    </row>
    <row r="169" spans="1:7" x14ac:dyDescent="0.25">
      <c r="A169" s="14">
        <v>42736</v>
      </c>
      <c r="B169" s="19">
        <v>503157</v>
      </c>
      <c r="C169" s="19">
        <v>482881</v>
      </c>
      <c r="E169" s="19">
        <v>482881</v>
      </c>
      <c r="F169" s="19">
        <v>476986</v>
      </c>
      <c r="G169" s="19">
        <v>1</v>
      </c>
    </row>
    <row r="170" spans="1:7" x14ac:dyDescent="0.25">
      <c r="A170" s="14">
        <v>42767</v>
      </c>
      <c r="B170" s="19">
        <v>489656</v>
      </c>
      <c r="C170" s="19">
        <v>480991</v>
      </c>
      <c r="E170" s="19">
        <v>480991</v>
      </c>
      <c r="F170" s="19">
        <v>478996</v>
      </c>
      <c r="G170" s="19">
        <v>1</v>
      </c>
    </row>
    <row r="171" spans="1:7" x14ac:dyDescent="0.25">
      <c r="A171" s="14">
        <v>42795</v>
      </c>
      <c r="B171" s="19">
        <v>464430</v>
      </c>
      <c r="C171" s="19">
        <v>479574</v>
      </c>
      <c r="E171" s="19">
        <v>479574</v>
      </c>
      <c r="F171" s="19">
        <v>480554</v>
      </c>
      <c r="G171" s="19">
        <v>1</v>
      </c>
    </row>
    <row r="172" spans="1:7" x14ac:dyDescent="0.25">
      <c r="A172" s="14">
        <v>42826</v>
      </c>
      <c r="B172" s="19">
        <v>462815</v>
      </c>
      <c r="C172" s="19">
        <v>481594</v>
      </c>
      <c r="E172" s="19">
        <v>481594</v>
      </c>
      <c r="F172" s="19">
        <v>481835</v>
      </c>
      <c r="G172" s="19">
        <v>1</v>
      </c>
    </row>
    <row r="173" spans="1:7" x14ac:dyDescent="0.25">
      <c r="A173" s="14">
        <v>42856</v>
      </c>
      <c r="B173" s="19">
        <v>463337</v>
      </c>
      <c r="C173" s="19">
        <v>483359</v>
      </c>
      <c r="E173" s="19">
        <v>483359</v>
      </c>
      <c r="F173" s="19">
        <v>482656</v>
      </c>
      <c r="G173" s="19">
        <v>1</v>
      </c>
    </row>
    <row r="174" spans="1:7" x14ac:dyDescent="0.25">
      <c r="A174" s="14">
        <v>42887</v>
      </c>
      <c r="B174" s="19">
        <v>469493</v>
      </c>
      <c r="C174" s="19">
        <v>483493</v>
      </c>
      <c r="E174" s="19">
        <v>483493</v>
      </c>
      <c r="F174" s="19">
        <v>482719</v>
      </c>
      <c r="G174" s="19">
        <v>1</v>
      </c>
    </row>
    <row r="175" spans="1:7" x14ac:dyDescent="0.25">
      <c r="A175" s="14">
        <v>42917</v>
      </c>
      <c r="B175" s="19">
        <v>478205</v>
      </c>
      <c r="C175" s="19">
        <v>482180</v>
      </c>
      <c r="E175" s="19">
        <v>482180</v>
      </c>
      <c r="F175" s="19">
        <v>482564</v>
      </c>
      <c r="G175" s="19">
        <v>1</v>
      </c>
    </row>
    <row r="176" spans="1:7" x14ac:dyDescent="0.25">
      <c r="A176" s="14">
        <v>42948</v>
      </c>
      <c r="B176" s="19">
        <v>482463</v>
      </c>
      <c r="C176" s="19">
        <v>482012</v>
      </c>
      <c r="E176" s="19">
        <v>482012</v>
      </c>
      <c r="F176" s="19">
        <v>482748</v>
      </c>
      <c r="G176" s="19">
        <v>1</v>
      </c>
    </row>
    <row r="177" spans="1:7" x14ac:dyDescent="0.25">
      <c r="A177" s="14">
        <v>42979</v>
      </c>
      <c r="B177" s="19">
        <v>484972</v>
      </c>
      <c r="C177" s="19">
        <v>483889</v>
      </c>
      <c r="E177" s="19">
        <v>483889</v>
      </c>
      <c r="F177" s="19">
        <v>484274</v>
      </c>
      <c r="G177" s="19">
        <v>1</v>
      </c>
    </row>
    <row r="178" spans="1:7" x14ac:dyDescent="0.25">
      <c r="A178" s="14">
        <v>43009</v>
      </c>
      <c r="B178" s="19">
        <v>487670</v>
      </c>
      <c r="C178" s="19">
        <v>487466</v>
      </c>
      <c r="E178" s="19">
        <v>487466</v>
      </c>
      <c r="F178" s="19">
        <v>487294</v>
      </c>
      <c r="G178" s="19">
        <v>1</v>
      </c>
    </row>
    <row r="179" spans="1:7" x14ac:dyDescent="0.25">
      <c r="A179" s="14">
        <v>43040</v>
      </c>
      <c r="B179" s="19">
        <v>502679</v>
      </c>
      <c r="C179" s="19">
        <v>490105</v>
      </c>
      <c r="E179" s="19">
        <v>490105</v>
      </c>
      <c r="F179" s="19">
        <v>491074</v>
      </c>
      <c r="G179" s="19">
        <v>1</v>
      </c>
    </row>
    <row r="180" spans="1:7" x14ac:dyDescent="0.25">
      <c r="A180" s="14">
        <v>43070</v>
      </c>
      <c r="B180" s="19">
        <v>526641</v>
      </c>
      <c r="C180" s="19">
        <v>495631</v>
      </c>
      <c r="E180" s="19">
        <v>495631</v>
      </c>
      <c r="F180" s="19">
        <v>494384</v>
      </c>
      <c r="G180" s="19">
        <v>1</v>
      </c>
    </row>
    <row r="181" spans="1:7" x14ac:dyDescent="0.25">
      <c r="A181" s="14">
        <v>43101</v>
      </c>
      <c r="B181" s="19">
        <v>522673</v>
      </c>
      <c r="C181" s="19">
        <v>500868</v>
      </c>
      <c r="E181" s="19">
        <v>500868</v>
      </c>
      <c r="F181" s="19">
        <v>496126</v>
      </c>
      <c r="G181" s="19">
        <v>1</v>
      </c>
    </row>
    <row r="182" spans="1:7" x14ac:dyDescent="0.25">
      <c r="A182" s="14">
        <v>43132</v>
      </c>
      <c r="B182" s="19">
        <v>503828</v>
      </c>
      <c r="C182" s="19">
        <v>496525</v>
      </c>
      <c r="E182" s="19">
        <v>496525</v>
      </c>
      <c r="F182" s="19">
        <v>495988</v>
      </c>
      <c r="G182" s="19">
        <v>1</v>
      </c>
    </row>
    <row r="183" spans="1:7" x14ac:dyDescent="0.25">
      <c r="A183" s="14">
        <v>43160</v>
      </c>
      <c r="B183" s="19">
        <v>476292</v>
      </c>
      <c r="C183" s="19">
        <v>493912</v>
      </c>
      <c r="E183" s="19">
        <v>493912</v>
      </c>
      <c r="F183" s="19">
        <v>494172</v>
      </c>
      <c r="G183" s="19">
        <v>1</v>
      </c>
    </row>
    <row r="184" spans="1:7" x14ac:dyDescent="0.25">
      <c r="A184" s="14">
        <v>43191</v>
      </c>
      <c r="B184" s="19">
        <v>470232</v>
      </c>
      <c r="C184" s="19">
        <v>491181</v>
      </c>
      <c r="E184" s="19">
        <v>491181</v>
      </c>
      <c r="F184" s="19">
        <v>491397</v>
      </c>
      <c r="G184" s="19">
        <v>1</v>
      </c>
    </row>
    <row r="185" spans="1:7" x14ac:dyDescent="0.25">
      <c r="A185" s="14">
        <v>43221</v>
      </c>
      <c r="B185" s="19">
        <v>468154</v>
      </c>
      <c r="C185" s="19">
        <v>489708</v>
      </c>
      <c r="E185" s="19">
        <v>489708</v>
      </c>
      <c r="F185" s="19">
        <v>488874</v>
      </c>
      <c r="G185" s="19">
        <v>1</v>
      </c>
    </row>
    <row r="186" spans="1:7" x14ac:dyDescent="0.25">
      <c r="A186" s="14">
        <v>43252</v>
      </c>
      <c r="B186" s="19">
        <v>473294</v>
      </c>
      <c r="C186" s="19">
        <v>486239</v>
      </c>
      <c r="E186" s="19">
        <v>486239</v>
      </c>
      <c r="F186" s="19">
        <v>487626</v>
      </c>
      <c r="G186" s="19">
        <v>1</v>
      </c>
    </row>
    <row r="187" spans="1:7" x14ac:dyDescent="0.25">
      <c r="A187" s="14">
        <v>43282</v>
      </c>
      <c r="B187" s="19">
        <v>485901</v>
      </c>
      <c r="C187" s="19">
        <v>487171</v>
      </c>
      <c r="E187" s="19">
        <v>487171</v>
      </c>
      <c r="F187" s="19">
        <v>488254</v>
      </c>
      <c r="G187" s="19">
        <v>1</v>
      </c>
    </row>
    <row r="188" spans="1:7" x14ac:dyDescent="0.25">
      <c r="A188" s="14">
        <v>43313</v>
      </c>
      <c r="B188" s="19">
        <v>495049</v>
      </c>
      <c r="C188" s="19">
        <v>490518</v>
      </c>
      <c r="E188" s="19">
        <v>490518</v>
      </c>
      <c r="F188" s="19">
        <v>490372</v>
      </c>
      <c r="G188" s="19">
        <v>1</v>
      </c>
    </row>
    <row r="189" spans="1:7" x14ac:dyDescent="0.25">
      <c r="A189" s="14">
        <v>43344</v>
      </c>
      <c r="B189" s="19">
        <v>496026</v>
      </c>
      <c r="C189" s="19">
        <v>493371</v>
      </c>
      <c r="E189" s="19">
        <v>493371</v>
      </c>
      <c r="F189" s="19">
        <v>492243</v>
      </c>
      <c r="G189" s="19">
        <v>1</v>
      </c>
    </row>
    <row r="190" spans="1:7" x14ac:dyDescent="0.25">
      <c r="A190" s="14">
        <v>43374</v>
      </c>
      <c r="B190" s="19">
        <v>494306</v>
      </c>
      <c r="C190" s="19">
        <v>493946</v>
      </c>
      <c r="E190" s="19">
        <v>493946</v>
      </c>
      <c r="F190" s="19">
        <v>492721</v>
      </c>
      <c r="G190" s="19">
        <v>1</v>
      </c>
    </row>
    <row r="191" spans="1:7" x14ac:dyDescent="0.25">
      <c r="A191" s="14">
        <v>43405</v>
      </c>
      <c r="B191" s="19">
        <v>503786</v>
      </c>
      <c r="C191" s="19">
        <v>492443</v>
      </c>
      <c r="E191" s="19">
        <v>492443</v>
      </c>
      <c r="F191" s="19">
        <v>491605</v>
      </c>
      <c r="G191" s="19">
        <v>1</v>
      </c>
    </row>
    <row r="192" spans="1:7" x14ac:dyDescent="0.25">
      <c r="A192" s="14">
        <v>43435</v>
      </c>
      <c r="B192" s="19">
        <v>516385</v>
      </c>
      <c r="C192" s="19">
        <v>487466</v>
      </c>
      <c r="E192" s="19">
        <v>487466</v>
      </c>
      <c r="F192" s="19">
        <v>490693</v>
      </c>
      <c r="G192" s="19">
        <v>1</v>
      </c>
    </row>
    <row r="193" spans="1:7" x14ac:dyDescent="0.25">
      <c r="A193" s="14">
        <v>43466</v>
      </c>
      <c r="B193" s="19">
        <v>512078</v>
      </c>
      <c r="C193" s="19">
        <v>492243</v>
      </c>
      <c r="E193" s="19">
        <v>492243</v>
      </c>
      <c r="F193" s="19">
        <v>491262</v>
      </c>
      <c r="G193" s="19">
        <v>1</v>
      </c>
    </row>
    <row r="194" spans="1:7" x14ac:dyDescent="0.25">
      <c r="A194" s="14">
        <v>43497</v>
      </c>
      <c r="B194" s="19">
        <v>495593</v>
      </c>
      <c r="C194" s="19">
        <v>491356</v>
      </c>
      <c r="E194" s="19">
        <v>491356</v>
      </c>
      <c r="F194" s="19">
        <v>493006</v>
      </c>
      <c r="G194" s="19">
        <v>1</v>
      </c>
    </row>
    <row r="195" spans="1:7" x14ac:dyDescent="0.25">
      <c r="A195" s="14">
        <v>43525</v>
      </c>
      <c r="B195" s="19">
        <v>478540</v>
      </c>
      <c r="C195" s="19">
        <v>498387</v>
      </c>
      <c r="E195" s="19">
        <v>498387</v>
      </c>
      <c r="F195" s="19">
        <v>494781</v>
      </c>
      <c r="G195" s="19">
        <v>1</v>
      </c>
    </row>
    <row r="196" spans="1:7" x14ac:dyDescent="0.25">
      <c r="A196" s="14">
        <v>43556</v>
      </c>
      <c r="B196" s="19">
        <v>472943</v>
      </c>
      <c r="C196" s="19">
        <v>495113</v>
      </c>
      <c r="E196" s="19">
        <v>495113</v>
      </c>
      <c r="F196" s="19">
        <v>496223</v>
      </c>
      <c r="G196" s="19">
        <v>1</v>
      </c>
    </row>
    <row r="197" spans="1:7" x14ac:dyDescent="0.25">
      <c r="A197" s="14">
        <v>43586</v>
      </c>
      <c r="B197" s="19">
        <v>473345</v>
      </c>
      <c r="C197" s="19">
        <v>495478</v>
      </c>
      <c r="E197" s="19">
        <v>495478</v>
      </c>
      <c r="F197" s="19">
        <v>497411</v>
      </c>
      <c r="G197" s="19">
        <v>1</v>
      </c>
    </row>
    <row r="198" spans="1:7" x14ac:dyDescent="0.25">
      <c r="A198" s="14">
        <v>43617</v>
      </c>
      <c r="B198" s="19">
        <v>471259</v>
      </c>
      <c r="C198" s="19">
        <v>481160</v>
      </c>
      <c r="E198" s="19">
        <v>481160</v>
      </c>
      <c r="F198" s="19">
        <v>498276</v>
      </c>
      <c r="G198" s="19">
        <v>1</v>
      </c>
    </row>
    <row r="199" spans="1:7" x14ac:dyDescent="0.25">
      <c r="A199" s="14">
        <v>43647</v>
      </c>
      <c r="B199" s="19">
        <v>491537</v>
      </c>
      <c r="C199" s="19">
        <v>489500</v>
      </c>
      <c r="E199" s="19">
        <v>489500</v>
      </c>
      <c r="F199" s="19">
        <v>498469</v>
      </c>
      <c r="G199" s="19">
        <v>1</v>
      </c>
    </row>
    <row r="200" spans="1:7" x14ac:dyDescent="0.25">
      <c r="A200" s="14">
        <v>43678</v>
      </c>
      <c r="B200" s="19">
        <v>497175</v>
      </c>
      <c r="C200" s="19">
        <v>488607</v>
      </c>
      <c r="E200" s="19">
        <v>488607</v>
      </c>
      <c r="F200" s="19">
        <v>498040</v>
      </c>
      <c r="G200" s="19">
        <v>1</v>
      </c>
    </row>
    <row r="201" spans="1:7" x14ac:dyDescent="0.25">
      <c r="A201" s="14">
        <v>43709</v>
      </c>
      <c r="B201" s="19">
        <v>513033</v>
      </c>
      <c r="C201" s="19">
        <v>508597</v>
      </c>
      <c r="E201" s="19">
        <v>508597</v>
      </c>
      <c r="F201" s="19">
        <v>516979</v>
      </c>
      <c r="G201" s="19">
        <v>1</v>
      </c>
    </row>
    <row r="202" spans="1:7" x14ac:dyDescent="0.25">
      <c r="A202" s="14">
        <v>43739</v>
      </c>
      <c r="B202" s="19">
        <v>513222</v>
      </c>
      <c r="C202" s="19">
        <v>513934</v>
      </c>
      <c r="E202" s="19">
        <v>513934</v>
      </c>
      <c r="F202" s="19">
        <v>517729</v>
      </c>
      <c r="G202" s="19">
        <v>1</v>
      </c>
    </row>
    <row r="203" spans="1:7" x14ac:dyDescent="0.25">
      <c r="A203" s="14">
        <v>43770</v>
      </c>
      <c r="B203" s="19">
        <v>525583</v>
      </c>
      <c r="C203" s="19">
        <v>515495</v>
      </c>
      <c r="E203" s="19">
        <v>515495</v>
      </c>
      <c r="F203" s="19">
        <v>519755</v>
      </c>
      <c r="G203" s="19">
        <v>1</v>
      </c>
    </row>
    <row r="204" spans="1:7" x14ac:dyDescent="0.25">
      <c r="A204" s="14">
        <v>43800</v>
      </c>
      <c r="B204" s="19">
        <v>550861</v>
      </c>
      <c r="C204" s="19">
        <v>521581</v>
      </c>
      <c r="E204" s="19">
        <v>521581</v>
      </c>
      <c r="F204" s="19">
        <v>521446</v>
      </c>
      <c r="G204" s="19">
        <v>1</v>
      </c>
    </row>
    <row r="205" spans="1:7" x14ac:dyDescent="0.25">
      <c r="A205" s="14">
        <v>43831</v>
      </c>
      <c r="B205" s="19">
        <v>539919</v>
      </c>
      <c r="C205" s="19">
        <v>521189</v>
      </c>
      <c r="E205" s="19">
        <v>521189</v>
      </c>
      <c r="F205" s="19">
        <v>521704</v>
      </c>
      <c r="G205" s="19">
        <v>1</v>
      </c>
    </row>
    <row r="206" spans="1:7" x14ac:dyDescent="0.25">
      <c r="A206" s="14">
        <v>43862</v>
      </c>
      <c r="B206" s="19">
        <v>521663</v>
      </c>
      <c r="C206" s="19">
        <v>519330</v>
      </c>
      <c r="E206" s="19">
        <v>519330</v>
      </c>
      <c r="F206" s="19">
        <v>521383</v>
      </c>
      <c r="G206" s="19">
        <v>1</v>
      </c>
    </row>
    <row r="207" spans="1:7" x14ac:dyDescent="0.25">
      <c r="A207" s="14">
        <v>43891</v>
      </c>
      <c r="B207" s="19">
        <v>475987</v>
      </c>
      <c r="C207" s="19">
        <v>498320</v>
      </c>
      <c r="E207" s="19">
        <v>498320</v>
      </c>
      <c r="F207" s="19">
        <v>521855</v>
      </c>
      <c r="G207" s="19">
        <v>1</v>
      </c>
    </row>
    <row r="208" spans="1:7" x14ac:dyDescent="0.25">
      <c r="A208" s="14">
        <v>43922</v>
      </c>
      <c r="B208" s="19">
        <v>476219</v>
      </c>
      <c r="C208" s="19">
        <v>498536</v>
      </c>
      <c r="E208" s="19">
        <v>498536</v>
      </c>
      <c r="F208" s="19">
        <v>523572</v>
      </c>
      <c r="G208" s="19">
        <v>1</v>
      </c>
    </row>
    <row r="209" spans="1:7" x14ac:dyDescent="0.25">
      <c r="A209" s="14">
        <v>43952</v>
      </c>
      <c r="B209" s="19">
        <v>493548</v>
      </c>
      <c r="C209" s="19">
        <v>516208</v>
      </c>
      <c r="E209" s="19">
        <v>516208</v>
      </c>
      <c r="F209" s="19">
        <v>526463</v>
      </c>
      <c r="G209" s="19">
        <v>1</v>
      </c>
    </row>
    <row r="210" spans="1:7" x14ac:dyDescent="0.25">
      <c r="A210" s="14">
        <v>43983</v>
      </c>
      <c r="B210" s="19">
        <v>522724</v>
      </c>
      <c r="C210" s="19">
        <v>530720</v>
      </c>
      <c r="E210" s="19">
        <v>530720</v>
      </c>
      <c r="F210" s="19">
        <v>529105</v>
      </c>
      <c r="G210" s="19">
        <v>1</v>
      </c>
    </row>
    <row r="211" spans="1:7" x14ac:dyDescent="0.25">
      <c r="A211" s="14">
        <v>44013</v>
      </c>
      <c r="B211" s="19">
        <v>541807</v>
      </c>
      <c r="C211" s="19">
        <v>537488</v>
      </c>
      <c r="E211" s="19">
        <v>537488</v>
      </c>
      <c r="F211" s="19">
        <v>529714</v>
      </c>
      <c r="G211" s="19">
        <v>1</v>
      </c>
    </row>
    <row r="212" spans="1:7" x14ac:dyDescent="0.25">
      <c r="A212" s="14">
        <v>44044</v>
      </c>
      <c r="B212" s="19">
        <v>540126</v>
      </c>
      <c r="C212" s="19">
        <v>527265</v>
      </c>
      <c r="E212" s="19">
        <v>527265</v>
      </c>
      <c r="F212" s="19">
        <v>527352</v>
      </c>
      <c r="G212" s="19">
        <v>1</v>
      </c>
    </row>
    <row r="213" spans="1:7" x14ac:dyDescent="0.25">
      <c r="A213" s="14">
        <v>44075</v>
      </c>
      <c r="B213" s="19">
        <v>526303</v>
      </c>
      <c r="C213" s="19">
        <v>520212</v>
      </c>
      <c r="E213" s="19">
        <v>520212</v>
      </c>
      <c r="F213" s="19">
        <v>522260</v>
      </c>
      <c r="G213" s="19">
        <v>1</v>
      </c>
    </row>
    <row r="214" spans="1:7" x14ac:dyDescent="0.25">
      <c r="A214" s="14">
        <v>44105</v>
      </c>
      <c r="B214" s="19">
        <v>509380</v>
      </c>
      <c r="C214" s="19">
        <v>511743</v>
      </c>
      <c r="E214" s="19">
        <v>511743</v>
      </c>
      <c r="F214" s="19">
        <v>515419</v>
      </c>
      <c r="G214" s="19">
        <v>1</v>
      </c>
    </row>
    <row r="215" spans="1:7" x14ac:dyDescent="0.25">
      <c r="A215" s="14">
        <v>44136</v>
      </c>
      <c r="B215" s="19">
        <v>499580</v>
      </c>
      <c r="C215" s="19">
        <v>491235</v>
      </c>
      <c r="E215" s="19">
        <v>491235</v>
      </c>
      <c r="F215" s="19">
        <v>492384</v>
      </c>
      <c r="G215" s="19">
        <v>1</v>
      </c>
    </row>
    <row r="216" spans="1:7" x14ac:dyDescent="0.25">
      <c r="A216" s="14">
        <v>44166</v>
      </c>
      <c r="B216" s="19">
        <v>513350</v>
      </c>
      <c r="C216" s="19">
        <v>487183</v>
      </c>
      <c r="E216" s="19">
        <v>487183</v>
      </c>
      <c r="F216" s="19">
        <v>488559</v>
      </c>
      <c r="G216" s="19">
        <v>1</v>
      </c>
    </row>
    <row r="217" spans="1:7" x14ac:dyDescent="0.25">
      <c r="A217" s="14">
        <v>44197</v>
      </c>
      <c r="B217" s="19">
        <v>500402</v>
      </c>
      <c r="C217" s="19">
        <v>484733</v>
      </c>
      <c r="E217" s="19">
        <v>484733</v>
      </c>
      <c r="F217" s="19">
        <v>487294</v>
      </c>
      <c r="G217" s="19">
        <v>1</v>
      </c>
    </row>
    <row r="218" spans="1:7" x14ac:dyDescent="0.25">
      <c r="A218" s="14">
        <v>44228</v>
      </c>
      <c r="B218" s="19">
        <v>490990</v>
      </c>
      <c r="C218" s="19">
        <v>489587</v>
      </c>
      <c r="E218" s="19">
        <v>489587</v>
      </c>
      <c r="F218" s="19">
        <v>487637</v>
      </c>
      <c r="G218" s="19">
        <v>1</v>
      </c>
    </row>
    <row r="219" spans="1:7" x14ac:dyDescent="0.25">
      <c r="A219" s="14">
        <v>44256</v>
      </c>
      <c r="B219" s="19">
        <v>463925</v>
      </c>
      <c r="C219" s="19">
        <v>487145</v>
      </c>
      <c r="E219" s="19">
        <v>487145</v>
      </c>
      <c r="F219" s="19">
        <v>489181</v>
      </c>
      <c r="G219" s="19">
        <v>1</v>
      </c>
    </row>
    <row r="220" spans="1:7" x14ac:dyDescent="0.25">
      <c r="A220" s="14">
        <v>44287</v>
      </c>
      <c r="B220" s="19">
        <v>469405</v>
      </c>
      <c r="C220" s="19">
        <v>491057</v>
      </c>
      <c r="E220" s="19">
        <v>491057</v>
      </c>
      <c r="F220" s="19">
        <v>491252</v>
      </c>
      <c r="G220" s="19">
        <v>1</v>
      </c>
    </row>
    <row r="221" spans="1:7" x14ac:dyDescent="0.25">
      <c r="A221" s="14">
        <v>44317</v>
      </c>
      <c r="B221" s="19">
        <v>470845</v>
      </c>
      <c r="C221" s="19">
        <v>491982</v>
      </c>
      <c r="E221" s="19">
        <v>491982</v>
      </c>
      <c r="F221" s="19">
        <v>492505</v>
      </c>
      <c r="G221" s="19">
        <v>1</v>
      </c>
    </row>
    <row r="222" spans="1:7" x14ac:dyDescent="0.25">
      <c r="A222" s="14">
        <v>44348</v>
      </c>
      <c r="B222" s="19">
        <v>488738</v>
      </c>
      <c r="C222" s="19">
        <v>494343</v>
      </c>
      <c r="E222" s="19">
        <v>494343</v>
      </c>
      <c r="F222" s="19">
        <v>491971</v>
      </c>
      <c r="G222" s="19">
        <v>1</v>
      </c>
    </row>
    <row r="223" spans="1:7" x14ac:dyDescent="0.25">
      <c r="A223" s="14">
        <v>44378</v>
      </c>
      <c r="B223" s="19">
        <v>505227</v>
      </c>
      <c r="C223" s="19">
        <v>500522</v>
      </c>
      <c r="E223" s="19">
        <v>500522</v>
      </c>
      <c r="F223" s="19">
        <v>488913</v>
      </c>
      <c r="G223" s="19">
        <v>1</v>
      </c>
    </row>
    <row r="224" spans="1:7" x14ac:dyDescent="0.25">
      <c r="A224" s="14">
        <v>44409</v>
      </c>
      <c r="B224" s="19">
        <v>503492</v>
      </c>
      <c r="C224" s="19">
        <v>490278</v>
      </c>
      <c r="E224" s="19">
        <v>490278</v>
      </c>
      <c r="F224" s="19">
        <v>483149</v>
      </c>
      <c r="G224" s="19">
        <v>1</v>
      </c>
    </row>
    <row r="225" spans="1:7" x14ac:dyDescent="0.25">
      <c r="A225" s="14">
        <v>44440</v>
      </c>
      <c r="B225" s="19">
        <v>483380</v>
      </c>
      <c r="C225" s="19">
        <v>477297</v>
      </c>
      <c r="E225" s="19">
        <v>477297</v>
      </c>
      <c r="F225" s="19">
        <v>476519</v>
      </c>
      <c r="G225" s="19">
        <v>1</v>
      </c>
    </row>
    <row r="226" spans="1:7" x14ac:dyDescent="0.25">
      <c r="A226" s="14">
        <v>44470</v>
      </c>
      <c r="B226" s="19">
        <v>465371</v>
      </c>
      <c r="C226" s="19">
        <v>468741</v>
      </c>
      <c r="E226" s="19">
        <v>468741</v>
      </c>
      <c r="F226" s="19">
        <v>469997</v>
      </c>
      <c r="G226" s="19">
        <v>1</v>
      </c>
    </row>
    <row r="227" spans="1:7" x14ac:dyDescent="0.25">
      <c r="A227" s="14">
        <v>44501</v>
      </c>
      <c r="B227" s="19">
        <v>470916</v>
      </c>
      <c r="C227" s="19">
        <v>463821</v>
      </c>
      <c r="E227">
        <v>463821</v>
      </c>
      <c r="F227">
        <v>463937</v>
      </c>
      <c r="G227">
        <v>1</v>
      </c>
    </row>
    <row r="228" spans="1:7" x14ac:dyDescent="0.25">
      <c r="A228" s="1"/>
    </row>
    <row r="229" spans="1:7" x14ac:dyDescent="0.25">
      <c r="A229" s="1"/>
    </row>
    <row r="230" spans="1:7" x14ac:dyDescent="0.25">
      <c r="A230" s="1"/>
    </row>
    <row r="231" spans="1:7" x14ac:dyDescent="0.25">
      <c r="A231" s="1"/>
    </row>
    <row r="232" spans="1:7" x14ac:dyDescent="0.25">
      <c r="A232" s="1"/>
    </row>
    <row r="233" spans="1:7" x14ac:dyDescent="0.25">
      <c r="A233" s="1"/>
    </row>
    <row r="234" spans="1:7" x14ac:dyDescent="0.25">
      <c r="A234" s="1"/>
    </row>
    <row r="235" spans="1:7" x14ac:dyDescent="0.25">
      <c r="A235" s="1"/>
    </row>
    <row r="236" spans="1:7" x14ac:dyDescent="0.25">
      <c r="A236" s="1"/>
    </row>
    <row r="237" spans="1:7" x14ac:dyDescent="0.25">
      <c r="A237" s="1"/>
    </row>
    <row r="238" spans="1:7" x14ac:dyDescent="0.25">
      <c r="A238" s="1"/>
    </row>
    <row r="239" spans="1:7" x14ac:dyDescent="0.25">
      <c r="A239" s="1"/>
    </row>
    <row r="240" spans="1:7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FB334-B5B6-4962-9E32-2143686DA08B}">
  <sheetPr codeName="Planilha1"/>
  <dimension ref="A1:AA246"/>
  <sheetViews>
    <sheetView zoomScale="115" zoomScaleNormal="115" workbookViewId="0">
      <selection activeCell="E3" sqref="E3"/>
    </sheetView>
  </sheetViews>
  <sheetFormatPr defaultRowHeight="15" x14ac:dyDescent="0.25"/>
  <cols>
    <col min="1" max="1" width="11.85546875" bestFit="1" customWidth="1"/>
    <col min="2" max="2" width="8" bestFit="1" customWidth="1"/>
    <col min="3" max="3" width="10.7109375" bestFit="1" customWidth="1"/>
    <col min="4" max="4" width="5.140625" customWidth="1"/>
    <col min="5" max="7" width="9.140625" customWidth="1"/>
    <col min="11" max="11" width="5" customWidth="1"/>
    <col min="12" max="12" width="10.42578125" bestFit="1" customWidth="1"/>
  </cols>
  <sheetData>
    <row r="1" spans="1:27" x14ac:dyDescent="0.25">
      <c r="A1" s="12" t="s">
        <v>23</v>
      </c>
      <c r="E1" s="12" t="s">
        <v>24</v>
      </c>
      <c r="F1" s="12"/>
      <c r="G1" s="12"/>
      <c r="W1" s="12" t="s">
        <v>30</v>
      </c>
    </row>
    <row r="2" spans="1:27" x14ac:dyDescent="0.25">
      <c r="A2" s="13" t="s">
        <v>13</v>
      </c>
      <c r="B2" s="13" t="s">
        <v>22</v>
      </c>
      <c r="C2" s="13" t="s">
        <v>25</v>
      </c>
      <c r="E2" s="13" t="s">
        <v>9</v>
      </c>
      <c r="F2" s="13" t="s">
        <v>31</v>
      </c>
      <c r="G2" s="13" t="s">
        <v>32</v>
      </c>
      <c r="H2" s="13" t="s">
        <v>11</v>
      </c>
      <c r="I2" s="13" t="s">
        <v>39</v>
      </c>
      <c r="J2" s="13" t="s">
        <v>12</v>
      </c>
      <c r="L2" s="13" t="s">
        <v>27</v>
      </c>
      <c r="W2" t="str" cm="1">
        <f t="array" ref="W2:AA28">xlDESSAZ_SeasonalPlot(A3:A105,G3:G105,4)</f>
        <v/>
      </c>
      <c r="X2">
        <v>1</v>
      </c>
      <c r="Y2">
        <v>2</v>
      </c>
      <c r="Z2">
        <v>3</v>
      </c>
      <c r="AA2">
        <v>4</v>
      </c>
    </row>
    <row r="3" spans="1:27" x14ac:dyDescent="0.25">
      <c r="A3" s="14">
        <v>35065</v>
      </c>
      <c r="B3" s="7">
        <v>96.8</v>
      </c>
      <c r="C3" s="7">
        <v>99.5</v>
      </c>
      <c r="E3" s="7" cm="1">
        <f t="array" ref="E3:J105">ROUND(xlDESSAZ($A$3:$A$105,$B$3:$B$105,$E$2:$J$2,,,Specs!$D$3),1)</f>
        <v>99.5</v>
      </c>
      <c r="F3" s="7">
        <v>99.5</v>
      </c>
      <c r="G3" s="18">
        <v>1</v>
      </c>
      <c r="H3" s="7">
        <v>171.4</v>
      </c>
      <c r="I3" s="7">
        <v>172</v>
      </c>
      <c r="J3" s="7">
        <v>172.5</v>
      </c>
      <c r="L3" s="9">
        <f>(E3-C3)/C3</f>
        <v>0</v>
      </c>
      <c r="W3">
        <v>1996</v>
      </c>
      <c r="X3">
        <v>1</v>
      </c>
      <c r="Y3">
        <v>1</v>
      </c>
      <c r="Z3">
        <v>1</v>
      </c>
      <c r="AA3">
        <v>1</v>
      </c>
    </row>
    <row r="4" spans="1:27" x14ac:dyDescent="0.25">
      <c r="A4" s="14">
        <v>35156</v>
      </c>
      <c r="B4">
        <v>100.1</v>
      </c>
      <c r="C4" s="7">
        <v>100.4</v>
      </c>
      <c r="E4" s="7">
        <v>100.4</v>
      </c>
      <c r="F4" s="7">
        <v>101.1</v>
      </c>
      <c r="G4" s="18">
        <v>1</v>
      </c>
      <c r="H4" s="7">
        <v>168.1</v>
      </c>
      <c r="I4" s="7">
        <v>168.9</v>
      </c>
      <c r="J4" s="7">
        <v>169.7</v>
      </c>
      <c r="L4" s="9">
        <f t="shared" ref="L4:L67" si="0">(E4-C4)/C4</f>
        <v>0</v>
      </c>
      <c r="W4">
        <v>1997</v>
      </c>
      <c r="X4">
        <v>1</v>
      </c>
      <c r="Y4">
        <v>1</v>
      </c>
      <c r="Z4">
        <v>1</v>
      </c>
      <c r="AA4">
        <v>1</v>
      </c>
    </row>
    <row r="5" spans="1:27" x14ac:dyDescent="0.25">
      <c r="A5" s="14">
        <v>35247</v>
      </c>
      <c r="B5">
        <v>107.6</v>
      </c>
      <c r="C5">
        <v>104.4</v>
      </c>
      <c r="E5" s="7">
        <v>104.4</v>
      </c>
      <c r="F5" s="7">
        <v>102.4</v>
      </c>
      <c r="G5" s="18">
        <v>1</v>
      </c>
      <c r="H5" s="7">
        <v>169.4</v>
      </c>
      <c r="I5" s="7">
        <v>170.4</v>
      </c>
      <c r="J5" s="7">
        <v>171.4</v>
      </c>
      <c r="L5" s="9">
        <f t="shared" si="0"/>
        <v>0</v>
      </c>
      <c r="W5">
        <v>1998</v>
      </c>
      <c r="X5">
        <v>1</v>
      </c>
      <c r="Y5">
        <v>1</v>
      </c>
      <c r="Z5">
        <v>1</v>
      </c>
      <c r="AA5">
        <v>1</v>
      </c>
    </row>
    <row r="6" spans="1:27" x14ac:dyDescent="0.25">
      <c r="A6" s="14">
        <v>35339</v>
      </c>
      <c r="B6">
        <v>104.3</v>
      </c>
      <c r="C6">
        <v>103.3</v>
      </c>
      <c r="E6" s="7">
        <v>103.3</v>
      </c>
      <c r="F6" s="7">
        <v>103.4</v>
      </c>
      <c r="G6" s="18">
        <v>1</v>
      </c>
      <c r="H6" s="7">
        <v>173.3</v>
      </c>
      <c r="I6" s="7">
        <v>174.5</v>
      </c>
      <c r="J6" s="7">
        <v>175.7</v>
      </c>
      <c r="L6" s="9">
        <f t="shared" si="0"/>
        <v>0</v>
      </c>
      <c r="W6">
        <v>1999</v>
      </c>
      <c r="X6">
        <v>1</v>
      </c>
      <c r="Y6">
        <v>1</v>
      </c>
      <c r="Z6">
        <v>1</v>
      </c>
      <c r="AA6">
        <v>1</v>
      </c>
    </row>
    <row r="7" spans="1:27" x14ac:dyDescent="0.25">
      <c r="A7" s="14">
        <v>35431</v>
      </c>
      <c r="B7">
        <v>100.1</v>
      </c>
      <c r="C7">
        <v>104.3</v>
      </c>
      <c r="E7" s="7">
        <v>104.3</v>
      </c>
      <c r="F7" s="7">
        <v>104.2</v>
      </c>
      <c r="G7" s="18">
        <v>1</v>
      </c>
      <c r="H7" s="7" t="e">
        <v>#N/A</v>
      </c>
      <c r="I7" s="7" t="e">
        <v>#N/A</v>
      </c>
      <c r="J7" s="7" t="e">
        <v>#N/A</v>
      </c>
      <c r="L7" s="9">
        <f t="shared" si="0"/>
        <v>0</v>
      </c>
      <c r="W7">
        <v>2000</v>
      </c>
      <c r="X7">
        <v>1</v>
      </c>
      <c r="Y7">
        <v>1</v>
      </c>
      <c r="Z7">
        <v>1</v>
      </c>
      <c r="AA7">
        <v>1</v>
      </c>
    </row>
    <row r="8" spans="1:27" x14ac:dyDescent="0.25">
      <c r="A8" s="14">
        <v>35521</v>
      </c>
      <c r="B8">
        <v>104.9</v>
      </c>
      <c r="C8">
        <v>105</v>
      </c>
      <c r="E8" s="7">
        <v>105</v>
      </c>
      <c r="F8" s="7">
        <v>105.2</v>
      </c>
      <c r="G8" s="18">
        <v>1</v>
      </c>
      <c r="H8" s="7" t="e">
        <v>#N/A</v>
      </c>
      <c r="I8" s="7" t="e">
        <v>#N/A</v>
      </c>
      <c r="J8" s="7" t="e">
        <v>#N/A</v>
      </c>
      <c r="L8" s="9">
        <f t="shared" si="0"/>
        <v>0</v>
      </c>
      <c r="W8">
        <v>2001</v>
      </c>
      <c r="X8">
        <v>1</v>
      </c>
      <c r="Y8">
        <v>1</v>
      </c>
      <c r="Z8">
        <v>1</v>
      </c>
      <c r="AA8">
        <v>1</v>
      </c>
    </row>
    <row r="9" spans="1:27" x14ac:dyDescent="0.25">
      <c r="A9" s="14">
        <v>35612</v>
      </c>
      <c r="B9">
        <v>109.5</v>
      </c>
      <c r="C9">
        <v>106.3</v>
      </c>
      <c r="E9" s="7">
        <v>106.3</v>
      </c>
      <c r="F9" s="7">
        <v>106.3</v>
      </c>
      <c r="G9" s="18">
        <v>1</v>
      </c>
      <c r="H9" s="7" t="e">
        <v>#N/A</v>
      </c>
      <c r="I9" s="7" t="e">
        <v>#N/A</v>
      </c>
      <c r="J9" s="7" t="e">
        <v>#N/A</v>
      </c>
      <c r="L9" s="9">
        <f t="shared" si="0"/>
        <v>0</v>
      </c>
      <c r="W9">
        <v>2002</v>
      </c>
      <c r="X9">
        <v>1</v>
      </c>
      <c r="Y9">
        <v>1</v>
      </c>
      <c r="Z9">
        <v>1</v>
      </c>
      <c r="AA9">
        <v>1</v>
      </c>
    </row>
    <row r="10" spans="1:27" x14ac:dyDescent="0.25">
      <c r="A10" s="14">
        <v>35704</v>
      </c>
      <c r="B10">
        <v>108.2</v>
      </c>
      <c r="C10">
        <v>107.1</v>
      </c>
      <c r="E10" s="7">
        <v>107.1</v>
      </c>
      <c r="F10" s="7">
        <v>106.9</v>
      </c>
      <c r="G10" s="18">
        <v>1</v>
      </c>
      <c r="H10" s="7" t="e">
        <v>#N/A</v>
      </c>
      <c r="I10" s="7" t="e">
        <v>#N/A</v>
      </c>
      <c r="J10" s="7" t="e">
        <v>#N/A</v>
      </c>
      <c r="L10" s="9">
        <f t="shared" si="0"/>
        <v>0</v>
      </c>
      <c r="W10">
        <v>2003</v>
      </c>
      <c r="X10">
        <v>1</v>
      </c>
      <c r="Y10">
        <v>1</v>
      </c>
      <c r="Z10">
        <v>1</v>
      </c>
      <c r="AA10">
        <v>1</v>
      </c>
    </row>
    <row r="11" spans="1:27" x14ac:dyDescent="0.25">
      <c r="A11" s="14">
        <v>35796</v>
      </c>
      <c r="B11">
        <v>101.1</v>
      </c>
      <c r="C11">
        <v>105.1</v>
      </c>
      <c r="E11" s="7">
        <v>105.1</v>
      </c>
      <c r="F11" s="7">
        <v>106.9</v>
      </c>
      <c r="G11" s="18">
        <v>1</v>
      </c>
      <c r="H11" s="7" t="e">
        <v>#N/A</v>
      </c>
      <c r="I11" s="7" t="e">
        <v>#N/A</v>
      </c>
      <c r="J11" s="7" t="e">
        <v>#N/A</v>
      </c>
      <c r="L11" s="9">
        <f t="shared" si="0"/>
        <v>0</v>
      </c>
      <c r="W11">
        <v>2004</v>
      </c>
      <c r="X11">
        <v>1</v>
      </c>
      <c r="Y11">
        <v>1</v>
      </c>
      <c r="Z11">
        <v>1</v>
      </c>
      <c r="AA11">
        <v>1</v>
      </c>
    </row>
    <row r="12" spans="1:27" x14ac:dyDescent="0.25">
      <c r="A12" s="14">
        <v>35886</v>
      </c>
      <c r="B12">
        <v>106.5</v>
      </c>
      <c r="C12">
        <v>106.8</v>
      </c>
      <c r="E12" s="7">
        <v>106.8</v>
      </c>
      <c r="F12" s="7">
        <v>106.9</v>
      </c>
      <c r="G12" s="18">
        <v>1</v>
      </c>
      <c r="H12" s="7" t="e">
        <v>#N/A</v>
      </c>
      <c r="I12" s="7" t="e">
        <v>#N/A</v>
      </c>
      <c r="J12" s="7" t="e">
        <v>#N/A</v>
      </c>
      <c r="L12" s="9">
        <f t="shared" si="0"/>
        <v>0</v>
      </c>
      <c r="W12">
        <v>2005</v>
      </c>
      <c r="X12">
        <v>1</v>
      </c>
      <c r="Y12">
        <v>1</v>
      </c>
      <c r="Z12">
        <v>1</v>
      </c>
      <c r="AA12">
        <v>1</v>
      </c>
    </row>
    <row r="13" spans="1:27" x14ac:dyDescent="0.25">
      <c r="A13" s="14">
        <v>35977</v>
      </c>
      <c r="B13">
        <v>109.9</v>
      </c>
      <c r="C13">
        <v>106.9</v>
      </c>
      <c r="E13" s="7">
        <v>106.9</v>
      </c>
      <c r="F13" s="7">
        <v>106.6</v>
      </c>
      <c r="G13" s="18">
        <v>1</v>
      </c>
      <c r="H13" s="7" t="e">
        <v>#N/A</v>
      </c>
      <c r="I13" s="7" t="e">
        <v>#N/A</v>
      </c>
      <c r="J13" s="7" t="e">
        <v>#N/A</v>
      </c>
      <c r="L13" s="9">
        <f t="shared" si="0"/>
        <v>0</v>
      </c>
      <c r="W13">
        <v>2006</v>
      </c>
      <c r="X13">
        <v>1</v>
      </c>
      <c r="Y13">
        <v>1</v>
      </c>
      <c r="Z13">
        <v>1</v>
      </c>
      <c r="AA13">
        <v>1</v>
      </c>
    </row>
    <row r="14" spans="1:27" x14ac:dyDescent="0.25">
      <c r="A14" s="14">
        <v>36069</v>
      </c>
      <c r="B14">
        <v>106.7</v>
      </c>
      <c r="C14">
        <v>105.6</v>
      </c>
      <c r="E14" s="7">
        <v>105.6</v>
      </c>
      <c r="F14" s="7">
        <v>105.9</v>
      </c>
      <c r="G14" s="18">
        <v>1</v>
      </c>
      <c r="H14" s="7" t="e">
        <v>#N/A</v>
      </c>
      <c r="I14" s="7" t="e">
        <v>#N/A</v>
      </c>
      <c r="J14" s="7" t="e">
        <v>#N/A</v>
      </c>
      <c r="L14" s="9">
        <f t="shared" si="0"/>
        <v>0</v>
      </c>
      <c r="W14">
        <v>2007</v>
      </c>
      <c r="X14">
        <v>1</v>
      </c>
      <c r="Y14">
        <v>1</v>
      </c>
      <c r="Z14">
        <v>1</v>
      </c>
      <c r="AA14">
        <v>1</v>
      </c>
    </row>
    <row r="15" spans="1:27" x14ac:dyDescent="0.25">
      <c r="A15" s="14">
        <v>36161</v>
      </c>
      <c r="B15">
        <v>101.9</v>
      </c>
      <c r="C15">
        <v>105.9</v>
      </c>
      <c r="E15" s="7">
        <v>105.9</v>
      </c>
      <c r="F15" s="7">
        <v>105.8</v>
      </c>
      <c r="G15" s="18">
        <v>1</v>
      </c>
      <c r="H15" s="7" t="e">
        <v>#N/A</v>
      </c>
      <c r="I15" s="7" t="e">
        <v>#N/A</v>
      </c>
      <c r="J15" s="7" t="e">
        <v>#N/A</v>
      </c>
      <c r="L15" s="9">
        <f t="shared" si="0"/>
        <v>0</v>
      </c>
      <c r="W15">
        <v>2008</v>
      </c>
      <c r="X15">
        <v>1</v>
      </c>
      <c r="Y15">
        <v>1</v>
      </c>
      <c r="Z15">
        <v>1</v>
      </c>
      <c r="AA15">
        <v>1</v>
      </c>
    </row>
    <row r="16" spans="1:27" x14ac:dyDescent="0.25">
      <c r="A16" s="14">
        <v>36251</v>
      </c>
      <c r="B16">
        <v>106</v>
      </c>
      <c r="C16">
        <v>106.2</v>
      </c>
      <c r="E16" s="7">
        <v>106.1</v>
      </c>
      <c r="F16" s="7">
        <v>106</v>
      </c>
      <c r="G16" s="18">
        <v>1</v>
      </c>
      <c r="H16" s="7" t="e">
        <v>#N/A</v>
      </c>
      <c r="I16" s="7" t="e">
        <v>#N/A</v>
      </c>
      <c r="J16" s="7" t="e">
        <v>#N/A</v>
      </c>
      <c r="L16" s="9">
        <f t="shared" si="0"/>
        <v>-9.416195856874626E-4</v>
      </c>
      <c r="W16">
        <v>2009</v>
      </c>
      <c r="X16">
        <v>1</v>
      </c>
      <c r="Y16">
        <v>1</v>
      </c>
      <c r="Z16">
        <v>1</v>
      </c>
      <c r="AA16">
        <v>1</v>
      </c>
    </row>
    <row r="17" spans="1:27" x14ac:dyDescent="0.25">
      <c r="A17" s="14">
        <v>36342</v>
      </c>
      <c r="B17">
        <v>109.2</v>
      </c>
      <c r="C17">
        <v>106.4</v>
      </c>
      <c r="E17" s="7">
        <v>106.4</v>
      </c>
      <c r="F17" s="7">
        <v>106.6</v>
      </c>
      <c r="G17" s="18">
        <v>1</v>
      </c>
      <c r="H17" s="7" t="e">
        <v>#N/A</v>
      </c>
      <c r="I17" s="7" t="e">
        <v>#N/A</v>
      </c>
      <c r="J17" s="7" t="e">
        <v>#N/A</v>
      </c>
      <c r="L17" s="9">
        <f t="shared" si="0"/>
        <v>0</v>
      </c>
      <c r="W17">
        <v>2010</v>
      </c>
      <c r="X17">
        <v>1</v>
      </c>
      <c r="Y17">
        <v>1</v>
      </c>
      <c r="Z17">
        <v>1</v>
      </c>
      <c r="AA17">
        <v>1</v>
      </c>
    </row>
    <row r="18" spans="1:27" x14ac:dyDescent="0.25">
      <c r="A18" s="14">
        <v>36434</v>
      </c>
      <c r="B18">
        <v>109</v>
      </c>
      <c r="C18">
        <v>107.8</v>
      </c>
      <c r="E18" s="7">
        <v>107.9</v>
      </c>
      <c r="F18" s="7">
        <v>107.7</v>
      </c>
      <c r="G18" s="18">
        <v>1</v>
      </c>
      <c r="H18" s="7" t="e">
        <v>#N/A</v>
      </c>
      <c r="I18" s="7" t="e">
        <v>#N/A</v>
      </c>
      <c r="J18" s="7" t="e">
        <v>#N/A</v>
      </c>
      <c r="L18" s="9">
        <f t="shared" si="0"/>
        <v>9.2764378478672109E-4</v>
      </c>
      <c r="W18">
        <v>2011</v>
      </c>
      <c r="X18">
        <v>1</v>
      </c>
      <c r="Y18">
        <v>1</v>
      </c>
      <c r="Z18">
        <v>1</v>
      </c>
      <c r="AA18">
        <v>1</v>
      </c>
    </row>
    <row r="19" spans="1:27" x14ac:dyDescent="0.25">
      <c r="A19" s="14">
        <v>36526</v>
      </c>
      <c r="B19">
        <v>106.4</v>
      </c>
      <c r="C19">
        <v>109</v>
      </c>
      <c r="E19" s="7">
        <v>109</v>
      </c>
      <c r="F19" s="7">
        <v>109.1</v>
      </c>
      <c r="G19" s="18">
        <v>1</v>
      </c>
      <c r="H19" s="7" t="e">
        <v>#N/A</v>
      </c>
      <c r="I19" s="7" t="e">
        <v>#N/A</v>
      </c>
      <c r="J19" s="7" t="e">
        <v>#N/A</v>
      </c>
      <c r="L19" s="9">
        <f t="shared" si="0"/>
        <v>0</v>
      </c>
      <c r="W19">
        <v>2012</v>
      </c>
      <c r="X19">
        <v>1</v>
      </c>
      <c r="Y19">
        <v>1</v>
      </c>
      <c r="Z19">
        <v>1</v>
      </c>
      <c r="AA19">
        <v>1</v>
      </c>
    </row>
    <row r="20" spans="1:27" x14ac:dyDescent="0.25">
      <c r="A20" s="14">
        <v>36617</v>
      </c>
      <c r="B20">
        <v>110.3</v>
      </c>
      <c r="C20">
        <v>110.5</v>
      </c>
      <c r="E20" s="7">
        <v>110.6</v>
      </c>
      <c r="F20" s="7">
        <v>110.5</v>
      </c>
      <c r="G20" s="18">
        <v>1</v>
      </c>
      <c r="H20" s="7" t="e">
        <v>#N/A</v>
      </c>
      <c r="I20" s="7" t="e">
        <v>#N/A</v>
      </c>
      <c r="J20" s="7" t="e">
        <v>#N/A</v>
      </c>
      <c r="L20" s="9">
        <f t="shared" si="0"/>
        <v>9.049773755655594E-4</v>
      </c>
      <c r="W20">
        <v>2013</v>
      </c>
      <c r="X20">
        <v>1</v>
      </c>
      <c r="Y20">
        <v>1</v>
      </c>
      <c r="Z20">
        <v>1</v>
      </c>
      <c r="AA20">
        <v>1</v>
      </c>
    </row>
    <row r="21" spans="1:27" x14ac:dyDescent="0.25">
      <c r="A21" s="14">
        <v>36708</v>
      </c>
      <c r="B21">
        <v>114.2</v>
      </c>
      <c r="C21">
        <v>111.8</v>
      </c>
      <c r="E21" s="7">
        <v>111.8</v>
      </c>
      <c r="F21" s="7">
        <v>111.9</v>
      </c>
      <c r="G21" s="18">
        <v>1</v>
      </c>
      <c r="H21" s="7" t="e">
        <v>#N/A</v>
      </c>
      <c r="I21" s="7" t="e">
        <v>#N/A</v>
      </c>
      <c r="J21" s="7" t="e">
        <v>#N/A</v>
      </c>
      <c r="L21" s="9">
        <f t="shared" si="0"/>
        <v>0</v>
      </c>
      <c r="W21">
        <v>2014</v>
      </c>
      <c r="X21">
        <v>1</v>
      </c>
      <c r="Y21">
        <v>1</v>
      </c>
      <c r="Z21">
        <v>1</v>
      </c>
      <c r="AA21">
        <v>1</v>
      </c>
    </row>
    <row r="22" spans="1:27" x14ac:dyDescent="0.25">
      <c r="A22" s="14">
        <v>36800</v>
      </c>
      <c r="B22">
        <v>114</v>
      </c>
      <c r="C22">
        <v>113.2</v>
      </c>
      <c r="E22" s="7">
        <v>113.2</v>
      </c>
      <c r="F22" s="7">
        <v>113.1</v>
      </c>
      <c r="G22" s="18">
        <v>1</v>
      </c>
      <c r="H22" s="7" t="e">
        <v>#N/A</v>
      </c>
      <c r="I22" s="7" t="e">
        <v>#N/A</v>
      </c>
      <c r="J22" s="7" t="e">
        <v>#N/A</v>
      </c>
      <c r="L22" s="9">
        <f t="shared" si="0"/>
        <v>0</v>
      </c>
      <c r="W22">
        <v>2015</v>
      </c>
      <c r="X22">
        <v>1</v>
      </c>
      <c r="Y22">
        <v>1</v>
      </c>
      <c r="Z22">
        <v>1</v>
      </c>
      <c r="AA22">
        <v>1</v>
      </c>
    </row>
    <row r="23" spans="1:27" x14ac:dyDescent="0.25">
      <c r="A23" s="14">
        <v>36892</v>
      </c>
      <c r="B23">
        <v>110.1</v>
      </c>
      <c r="C23">
        <v>113.6</v>
      </c>
      <c r="E23" s="7">
        <v>113.6</v>
      </c>
      <c r="F23" s="7">
        <v>113.5</v>
      </c>
      <c r="G23" s="18">
        <v>1</v>
      </c>
      <c r="H23" s="7" t="e">
        <v>#N/A</v>
      </c>
      <c r="I23" s="7" t="e">
        <v>#N/A</v>
      </c>
      <c r="J23" s="7" t="e">
        <v>#N/A</v>
      </c>
      <c r="L23" s="9">
        <f t="shared" si="0"/>
        <v>0</v>
      </c>
      <c r="W23">
        <v>2016</v>
      </c>
      <c r="X23">
        <v>1</v>
      </c>
      <c r="Y23">
        <v>1</v>
      </c>
      <c r="Z23">
        <v>1</v>
      </c>
      <c r="AA23">
        <v>1</v>
      </c>
    </row>
    <row r="24" spans="1:27" x14ac:dyDescent="0.25">
      <c r="A24" s="14">
        <v>36982</v>
      </c>
      <c r="B24">
        <v>112.8</v>
      </c>
      <c r="C24">
        <v>113.1</v>
      </c>
      <c r="E24" s="7">
        <v>113</v>
      </c>
      <c r="F24" s="7">
        <v>113</v>
      </c>
      <c r="G24" s="18">
        <v>1</v>
      </c>
      <c r="H24" s="7" t="e">
        <v>#N/A</v>
      </c>
      <c r="I24" s="7" t="e">
        <v>#N/A</v>
      </c>
      <c r="J24" s="7" t="e">
        <v>#N/A</v>
      </c>
      <c r="L24" s="9">
        <f t="shared" si="0"/>
        <v>-8.8417329796635117E-4</v>
      </c>
      <c r="W24">
        <v>2017</v>
      </c>
      <c r="X24">
        <v>1</v>
      </c>
      <c r="Y24">
        <v>1</v>
      </c>
      <c r="Z24">
        <v>1</v>
      </c>
      <c r="AA24">
        <v>1</v>
      </c>
    </row>
    <row r="25" spans="1:27" x14ac:dyDescent="0.25">
      <c r="A25" s="14">
        <v>37073</v>
      </c>
      <c r="B25">
        <v>114.7</v>
      </c>
      <c r="C25">
        <v>112.5</v>
      </c>
      <c r="E25" s="7">
        <v>112.5</v>
      </c>
      <c r="F25" s="7">
        <v>112.5</v>
      </c>
      <c r="G25" s="18">
        <v>1</v>
      </c>
      <c r="H25" s="7" t="e">
        <v>#N/A</v>
      </c>
      <c r="I25" s="7" t="e">
        <v>#N/A</v>
      </c>
      <c r="J25" s="7" t="e">
        <v>#N/A</v>
      </c>
      <c r="L25" s="9">
        <f t="shared" si="0"/>
        <v>0</v>
      </c>
      <c r="W25">
        <v>2018</v>
      </c>
      <c r="X25">
        <v>1</v>
      </c>
      <c r="Y25">
        <v>1</v>
      </c>
      <c r="Z25">
        <v>1</v>
      </c>
      <c r="AA25">
        <v>1</v>
      </c>
    </row>
    <row r="26" spans="1:27" x14ac:dyDescent="0.25">
      <c r="A26" s="14">
        <v>37165</v>
      </c>
      <c r="B26">
        <v>113.4</v>
      </c>
      <c r="C26">
        <v>112.2</v>
      </c>
      <c r="E26" s="7">
        <v>112.2</v>
      </c>
      <c r="F26" s="7">
        <v>112.8</v>
      </c>
      <c r="G26" s="18">
        <v>1</v>
      </c>
      <c r="H26" s="7" t="e">
        <v>#N/A</v>
      </c>
      <c r="I26" s="7" t="e">
        <v>#N/A</v>
      </c>
      <c r="J26" s="7" t="e">
        <v>#N/A</v>
      </c>
      <c r="L26" s="9">
        <f t="shared" si="0"/>
        <v>0</v>
      </c>
      <c r="W26">
        <v>2019</v>
      </c>
      <c r="X26">
        <v>1</v>
      </c>
      <c r="Y26">
        <v>1</v>
      </c>
      <c r="Z26">
        <v>1</v>
      </c>
      <c r="AA26">
        <v>1</v>
      </c>
    </row>
    <row r="27" spans="1:27" x14ac:dyDescent="0.25">
      <c r="A27" s="14">
        <v>37257</v>
      </c>
      <c r="B27">
        <v>110.6</v>
      </c>
      <c r="C27">
        <v>114.7</v>
      </c>
      <c r="E27" s="7">
        <v>114.7</v>
      </c>
      <c r="F27" s="7">
        <v>113.9</v>
      </c>
      <c r="G27" s="18">
        <v>1</v>
      </c>
      <c r="H27" s="7" t="e">
        <v>#N/A</v>
      </c>
      <c r="I27" s="7" t="e">
        <v>#N/A</v>
      </c>
      <c r="J27" s="7" t="e">
        <v>#N/A</v>
      </c>
      <c r="L27" s="9">
        <f t="shared" si="0"/>
        <v>0</v>
      </c>
      <c r="W27">
        <v>2020</v>
      </c>
      <c r="X27">
        <v>1</v>
      </c>
      <c r="Y27">
        <v>0.9</v>
      </c>
      <c r="Z27">
        <v>1</v>
      </c>
      <c r="AA27">
        <v>1</v>
      </c>
    </row>
    <row r="28" spans="1:27" x14ac:dyDescent="0.25">
      <c r="A28" s="14">
        <v>37347</v>
      </c>
      <c r="B28">
        <v>115.4</v>
      </c>
      <c r="C28">
        <v>115.4</v>
      </c>
      <c r="E28" s="7">
        <v>115.4</v>
      </c>
      <c r="F28" s="7">
        <v>115.4</v>
      </c>
      <c r="G28" s="18">
        <v>1</v>
      </c>
      <c r="H28" s="7" t="e">
        <v>#N/A</v>
      </c>
      <c r="I28" s="7" t="e">
        <v>#N/A</v>
      </c>
      <c r="J28" s="7" t="e">
        <v>#N/A</v>
      </c>
      <c r="L28" s="9">
        <f t="shared" si="0"/>
        <v>0</v>
      </c>
      <c r="W28">
        <v>2021</v>
      </c>
      <c r="X28">
        <v>1</v>
      </c>
      <c r="Y28">
        <v>1</v>
      </c>
      <c r="Z28">
        <v>1</v>
      </c>
      <c r="AA28" t="e">
        <v>#N/A</v>
      </c>
    </row>
    <row r="29" spans="1:27" x14ac:dyDescent="0.25">
      <c r="A29" s="14">
        <v>37438</v>
      </c>
      <c r="B29">
        <v>119.5</v>
      </c>
      <c r="C29">
        <v>116.8</v>
      </c>
      <c r="E29" s="7">
        <v>116.8</v>
      </c>
      <c r="F29" s="7">
        <v>116.9</v>
      </c>
      <c r="G29" s="18">
        <v>1</v>
      </c>
      <c r="H29" s="7" t="e">
        <v>#N/A</v>
      </c>
      <c r="I29" s="7" t="e">
        <v>#N/A</v>
      </c>
      <c r="J29" s="7" t="e">
        <v>#N/A</v>
      </c>
      <c r="L29" s="9">
        <f t="shared" si="0"/>
        <v>0</v>
      </c>
    </row>
    <row r="30" spans="1:27" x14ac:dyDescent="0.25">
      <c r="A30" s="14">
        <v>37530</v>
      </c>
      <c r="B30">
        <v>119.2</v>
      </c>
      <c r="C30">
        <v>118</v>
      </c>
      <c r="E30" s="7">
        <v>118</v>
      </c>
      <c r="F30" s="7">
        <v>117.8</v>
      </c>
      <c r="G30" s="18">
        <v>1</v>
      </c>
      <c r="H30" s="7" t="e">
        <v>#N/A</v>
      </c>
      <c r="I30" s="7" t="e">
        <v>#N/A</v>
      </c>
      <c r="J30" s="7" t="e">
        <v>#N/A</v>
      </c>
      <c r="L30" s="9">
        <f t="shared" si="0"/>
        <v>0</v>
      </c>
    </row>
    <row r="31" spans="1:27" x14ac:dyDescent="0.25">
      <c r="A31" s="14">
        <v>37622</v>
      </c>
      <c r="B31">
        <v>113.6</v>
      </c>
      <c r="C31">
        <v>117.5</v>
      </c>
      <c r="E31" s="7">
        <v>117.5</v>
      </c>
      <c r="F31" s="7">
        <v>117.4</v>
      </c>
      <c r="G31" s="18">
        <v>1</v>
      </c>
      <c r="H31" s="7" t="e">
        <v>#N/A</v>
      </c>
      <c r="I31" s="7" t="e">
        <v>#N/A</v>
      </c>
      <c r="J31" s="7" t="e">
        <v>#N/A</v>
      </c>
      <c r="L31" s="9">
        <f t="shared" si="0"/>
        <v>0</v>
      </c>
    </row>
    <row r="32" spans="1:27" x14ac:dyDescent="0.25">
      <c r="A32" s="14">
        <v>37712</v>
      </c>
      <c r="B32">
        <v>116.3</v>
      </c>
      <c r="C32">
        <v>116.5</v>
      </c>
      <c r="E32" s="7">
        <v>116.4</v>
      </c>
      <c r="F32" s="7">
        <v>116.8</v>
      </c>
      <c r="G32" s="18">
        <v>1</v>
      </c>
      <c r="H32" s="7" t="e">
        <v>#N/A</v>
      </c>
      <c r="I32" s="7" t="e">
        <v>#N/A</v>
      </c>
      <c r="J32" s="7" t="e">
        <v>#N/A</v>
      </c>
      <c r="L32" s="9">
        <f t="shared" si="0"/>
        <v>-8.5836909871239752E-4</v>
      </c>
    </row>
    <row r="33" spans="1:12" x14ac:dyDescent="0.25">
      <c r="A33" s="14">
        <v>37803</v>
      </c>
      <c r="B33">
        <v>120.2</v>
      </c>
      <c r="C33">
        <v>117.6</v>
      </c>
      <c r="E33" s="7">
        <v>117.5</v>
      </c>
      <c r="F33" s="7">
        <v>117.4</v>
      </c>
      <c r="G33" s="18">
        <v>1</v>
      </c>
      <c r="H33" s="7" t="e">
        <v>#N/A</v>
      </c>
      <c r="I33" s="7" t="e">
        <v>#N/A</v>
      </c>
      <c r="J33" s="7" t="e">
        <v>#N/A</v>
      </c>
      <c r="L33" s="9">
        <f t="shared" si="0"/>
        <v>-8.5034013605437349E-4</v>
      </c>
    </row>
    <row r="34" spans="1:12" x14ac:dyDescent="0.25">
      <c r="A34" s="14">
        <v>37895</v>
      </c>
      <c r="B34">
        <v>119.9</v>
      </c>
      <c r="C34">
        <v>118.8</v>
      </c>
      <c r="E34" s="7">
        <v>118.8</v>
      </c>
      <c r="F34" s="7">
        <v>118.7</v>
      </c>
      <c r="G34" s="18">
        <v>1</v>
      </c>
      <c r="H34" s="7" t="e">
        <v>#N/A</v>
      </c>
      <c r="I34" s="7" t="e">
        <v>#N/A</v>
      </c>
      <c r="J34" s="7" t="e">
        <v>#N/A</v>
      </c>
      <c r="L34" s="9">
        <f t="shared" si="0"/>
        <v>0</v>
      </c>
    </row>
    <row r="35" spans="1:12" x14ac:dyDescent="0.25">
      <c r="A35" s="14">
        <v>37987</v>
      </c>
      <c r="B35">
        <v>118</v>
      </c>
      <c r="C35">
        <v>120.5</v>
      </c>
      <c r="E35" s="7">
        <v>120.5</v>
      </c>
      <c r="F35" s="7">
        <v>120.8</v>
      </c>
      <c r="G35" s="18">
        <v>1</v>
      </c>
      <c r="H35" s="7" t="e">
        <v>#N/A</v>
      </c>
      <c r="I35" s="7" t="e">
        <v>#N/A</v>
      </c>
      <c r="J35" s="7" t="e">
        <v>#N/A</v>
      </c>
      <c r="L35" s="9">
        <f t="shared" si="0"/>
        <v>0</v>
      </c>
    </row>
    <row r="36" spans="1:12" x14ac:dyDescent="0.25">
      <c r="A36" s="14">
        <v>38078</v>
      </c>
      <c r="B36">
        <v>123.7</v>
      </c>
      <c r="C36">
        <v>123.8</v>
      </c>
      <c r="E36" s="7">
        <v>123.8</v>
      </c>
      <c r="F36" s="7">
        <v>123.5</v>
      </c>
      <c r="G36" s="18">
        <v>1</v>
      </c>
      <c r="H36" s="7" t="e">
        <v>#N/A</v>
      </c>
      <c r="I36" s="7" t="e">
        <v>#N/A</v>
      </c>
      <c r="J36" s="7" t="e">
        <v>#N/A</v>
      </c>
      <c r="L36" s="9">
        <f t="shared" si="0"/>
        <v>0</v>
      </c>
    </row>
    <row r="37" spans="1:12" x14ac:dyDescent="0.25">
      <c r="A37" s="14">
        <v>38169</v>
      </c>
      <c r="B37">
        <v>128.1</v>
      </c>
      <c r="C37">
        <v>125.3</v>
      </c>
      <c r="E37" s="7">
        <v>125.3</v>
      </c>
      <c r="F37" s="7">
        <v>125.4</v>
      </c>
      <c r="G37" s="18">
        <v>1</v>
      </c>
      <c r="H37" s="7" t="e">
        <v>#N/A</v>
      </c>
      <c r="I37" s="7" t="e">
        <v>#N/A</v>
      </c>
      <c r="J37" s="7" t="e">
        <v>#N/A</v>
      </c>
      <c r="L37" s="9">
        <f t="shared" si="0"/>
        <v>0</v>
      </c>
    </row>
    <row r="38" spans="1:12" x14ac:dyDescent="0.25">
      <c r="A38" s="14">
        <v>38261</v>
      </c>
      <c r="B38">
        <v>127.4</v>
      </c>
      <c r="C38">
        <v>126.3</v>
      </c>
      <c r="E38" s="7">
        <v>126.3</v>
      </c>
      <c r="F38" s="7">
        <v>126.3</v>
      </c>
      <c r="G38" s="18">
        <v>1</v>
      </c>
      <c r="H38" s="7" t="e">
        <v>#N/A</v>
      </c>
      <c r="I38" s="7" t="e">
        <v>#N/A</v>
      </c>
      <c r="J38" s="7" t="e">
        <v>#N/A</v>
      </c>
      <c r="L38" s="9">
        <f t="shared" si="0"/>
        <v>0</v>
      </c>
    </row>
    <row r="39" spans="1:12" x14ac:dyDescent="0.25">
      <c r="A39" s="14">
        <v>38353</v>
      </c>
      <c r="B39">
        <v>122.9</v>
      </c>
      <c r="C39">
        <v>127.2</v>
      </c>
      <c r="E39" s="7">
        <v>127.2</v>
      </c>
      <c r="F39" s="7">
        <v>127.2</v>
      </c>
      <c r="G39" s="18">
        <v>1</v>
      </c>
      <c r="H39" s="7" t="e">
        <v>#N/A</v>
      </c>
      <c r="I39" s="7" t="e">
        <v>#N/A</v>
      </c>
      <c r="J39" s="7" t="e">
        <v>#N/A</v>
      </c>
      <c r="L39" s="9">
        <f t="shared" si="0"/>
        <v>0</v>
      </c>
    </row>
    <row r="40" spans="1:12" x14ac:dyDescent="0.25">
      <c r="A40" s="14">
        <v>38443</v>
      </c>
      <c r="B40">
        <v>129.19999999999999</v>
      </c>
      <c r="C40">
        <v>129</v>
      </c>
      <c r="E40" s="7">
        <v>129</v>
      </c>
      <c r="F40" s="7">
        <v>127.8</v>
      </c>
      <c r="G40" s="18">
        <v>1</v>
      </c>
      <c r="H40" s="7" t="e">
        <v>#N/A</v>
      </c>
      <c r="I40" s="7" t="e">
        <v>#N/A</v>
      </c>
      <c r="J40" s="7" t="e">
        <v>#N/A</v>
      </c>
      <c r="L40" s="9">
        <f t="shared" si="0"/>
        <v>0</v>
      </c>
    </row>
    <row r="41" spans="1:12" x14ac:dyDescent="0.25">
      <c r="A41" s="14">
        <v>38534</v>
      </c>
      <c r="B41">
        <v>130.80000000000001</v>
      </c>
      <c r="C41">
        <v>128</v>
      </c>
      <c r="E41" s="7">
        <v>128</v>
      </c>
      <c r="F41" s="7">
        <v>128.30000000000001</v>
      </c>
      <c r="G41" s="18">
        <v>1</v>
      </c>
      <c r="H41" s="7" t="e">
        <v>#N/A</v>
      </c>
      <c r="I41" s="7" t="e">
        <v>#N/A</v>
      </c>
      <c r="J41" s="7" t="e">
        <v>#N/A</v>
      </c>
      <c r="L41" s="9">
        <f t="shared" si="0"/>
        <v>0</v>
      </c>
    </row>
    <row r="42" spans="1:12" x14ac:dyDescent="0.25">
      <c r="A42" s="14">
        <v>38626</v>
      </c>
      <c r="B42">
        <v>130.1</v>
      </c>
      <c r="C42">
        <v>129.6</v>
      </c>
      <c r="E42" s="7">
        <v>129.6</v>
      </c>
      <c r="F42" s="7">
        <v>129.6</v>
      </c>
      <c r="G42" s="18">
        <v>1</v>
      </c>
      <c r="H42" s="7" t="e">
        <v>#N/A</v>
      </c>
      <c r="I42" s="7" t="e">
        <v>#N/A</v>
      </c>
      <c r="J42" s="7" t="e">
        <v>#N/A</v>
      </c>
      <c r="L42" s="9">
        <f t="shared" si="0"/>
        <v>0</v>
      </c>
    </row>
    <row r="43" spans="1:12" x14ac:dyDescent="0.25">
      <c r="A43" s="14">
        <v>38718</v>
      </c>
      <c r="B43">
        <v>128.19999999999999</v>
      </c>
      <c r="C43">
        <v>131.80000000000001</v>
      </c>
      <c r="E43" s="7">
        <v>131.80000000000001</v>
      </c>
      <c r="F43" s="7">
        <v>131.19999999999999</v>
      </c>
      <c r="G43" s="18">
        <v>1</v>
      </c>
      <c r="H43" s="7" t="e">
        <v>#N/A</v>
      </c>
      <c r="I43" s="7" t="e">
        <v>#N/A</v>
      </c>
      <c r="J43" s="7" t="e">
        <v>#N/A</v>
      </c>
      <c r="L43" s="9">
        <f t="shared" si="0"/>
        <v>0</v>
      </c>
    </row>
    <row r="44" spans="1:12" x14ac:dyDescent="0.25">
      <c r="A44" s="14">
        <v>38808</v>
      </c>
      <c r="B44">
        <v>132.1</v>
      </c>
      <c r="C44">
        <v>132.1</v>
      </c>
      <c r="E44" s="7">
        <v>132.1</v>
      </c>
      <c r="F44" s="7">
        <v>132.5</v>
      </c>
      <c r="G44" s="18">
        <v>1</v>
      </c>
      <c r="H44" s="7" t="e">
        <v>#N/A</v>
      </c>
      <c r="I44" s="7" t="e">
        <v>#N/A</v>
      </c>
      <c r="J44" s="7" t="e">
        <v>#N/A</v>
      </c>
      <c r="L44" s="9">
        <f t="shared" si="0"/>
        <v>0</v>
      </c>
    </row>
    <row r="45" spans="1:12" x14ac:dyDescent="0.25">
      <c r="A45" s="14">
        <v>38899</v>
      </c>
      <c r="B45">
        <v>136.69999999999999</v>
      </c>
      <c r="C45">
        <v>134.30000000000001</v>
      </c>
      <c r="E45" s="7">
        <v>134.30000000000001</v>
      </c>
      <c r="F45" s="7">
        <v>134</v>
      </c>
      <c r="G45" s="18">
        <v>1</v>
      </c>
      <c r="H45" s="7" t="e">
        <v>#N/A</v>
      </c>
      <c r="I45" s="7" t="e">
        <v>#N/A</v>
      </c>
      <c r="J45" s="7" t="e">
        <v>#N/A</v>
      </c>
      <c r="L45" s="9">
        <f t="shared" si="0"/>
        <v>0</v>
      </c>
    </row>
    <row r="46" spans="1:12" x14ac:dyDescent="0.25">
      <c r="A46" s="14">
        <v>38991</v>
      </c>
      <c r="B46">
        <v>136.4</v>
      </c>
      <c r="C46">
        <v>135.9</v>
      </c>
      <c r="E46" s="7">
        <v>135.9</v>
      </c>
      <c r="F46" s="7">
        <v>136.1</v>
      </c>
      <c r="G46" s="18">
        <v>1</v>
      </c>
      <c r="H46" s="7" t="e">
        <v>#N/A</v>
      </c>
      <c r="I46" s="7" t="e">
        <v>#N/A</v>
      </c>
      <c r="J46" s="7" t="e">
        <v>#N/A</v>
      </c>
      <c r="L46" s="9">
        <f t="shared" si="0"/>
        <v>0</v>
      </c>
    </row>
    <row r="47" spans="1:12" x14ac:dyDescent="0.25">
      <c r="A47" s="14">
        <v>39083</v>
      </c>
      <c r="B47">
        <v>134.80000000000001</v>
      </c>
      <c r="C47">
        <v>138.6</v>
      </c>
      <c r="E47" s="7">
        <v>138.6</v>
      </c>
      <c r="F47" s="7">
        <v>138.5</v>
      </c>
      <c r="G47" s="18">
        <v>1</v>
      </c>
      <c r="H47" s="7" t="e">
        <v>#N/A</v>
      </c>
      <c r="I47" s="7" t="e">
        <v>#N/A</v>
      </c>
      <c r="J47" s="7" t="e">
        <v>#N/A</v>
      </c>
      <c r="L47" s="9">
        <f t="shared" si="0"/>
        <v>0</v>
      </c>
    </row>
    <row r="48" spans="1:12" x14ac:dyDescent="0.25">
      <c r="A48" s="14">
        <v>39173</v>
      </c>
      <c r="B48">
        <v>140.80000000000001</v>
      </c>
      <c r="C48">
        <v>140.80000000000001</v>
      </c>
      <c r="E48" s="7">
        <v>140.80000000000001</v>
      </c>
      <c r="F48" s="7">
        <v>140.69999999999999</v>
      </c>
      <c r="G48" s="18">
        <v>1</v>
      </c>
      <c r="H48" s="7" t="e">
        <v>#N/A</v>
      </c>
      <c r="I48" s="7" t="e">
        <v>#N/A</v>
      </c>
      <c r="J48" s="7" t="e">
        <v>#N/A</v>
      </c>
      <c r="L48" s="9">
        <f t="shared" si="0"/>
        <v>0</v>
      </c>
    </row>
    <row r="49" spans="1:12" x14ac:dyDescent="0.25">
      <c r="A49" s="14">
        <v>39264</v>
      </c>
      <c r="B49">
        <v>144.80000000000001</v>
      </c>
      <c r="C49">
        <v>142.19999999999999</v>
      </c>
      <c r="E49" s="7">
        <v>142.30000000000001</v>
      </c>
      <c r="F49" s="7">
        <v>142.4</v>
      </c>
      <c r="G49" s="18">
        <v>1</v>
      </c>
      <c r="H49" s="7" t="e">
        <v>#N/A</v>
      </c>
      <c r="I49" s="7" t="e">
        <v>#N/A</v>
      </c>
      <c r="J49" s="7" t="e">
        <v>#N/A</v>
      </c>
      <c r="L49" s="9">
        <f t="shared" si="0"/>
        <v>7.0323488045023026E-4</v>
      </c>
    </row>
    <row r="50" spans="1:12" x14ac:dyDescent="0.25">
      <c r="A50" s="14">
        <v>39356</v>
      </c>
      <c r="B50">
        <v>145.4</v>
      </c>
      <c r="C50">
        <v>144.4</v>
      </c>
      <c r="E50" s="7">
        <v>144.4</v>
      </c>
      <c r="F50" s="7">
        <v>144.1</v>
      </c>
      <c r="G50" s="18">
        <v>1</v>
      </c>
      <c r="H50" s="7" t="e">
        <v>#N/A</v>
      </c>
      <c r="I50" s="7" t="e">
        <v>#N/A</v>
      </c>
      <c r="J50" s="7" t="e">
        <v>#N/A</v>
      </c>
      <c r="L50" s="9">
        <f t="shared" si="0"/>
        <v>0</v>
      </c>
    </row>
    <row r="51" spans="1:12" x14ac:dyDescent="0.25">
      <c r="A51" s="14">
        <v>39448</v>
      </c>
      <c r="B51">
        <v>143.1</v>
      </c>
      <c r="C51">
        <v>146.1</v>
      </c>
      <c r="E51" s="7">
        <v>146</v>
      </c>
      <c r="F51" s="7">
        <v>146.4</v>
      </c>
      <c r="G51" s="18">
        <v>1</v>
      </c>
      <c r="H51" s="7" t="e">
        <v>#N/A</v>
      </c>
      <c r="I51" s="7" t="e">
        <v>#N/A</v>
      </c>
      <c r="J51" s="7" t="e">
        <v>#N/A</v>
      </c>
      <c r="L51" s="9">
        <f t="shared" si="0"/>
        <v>-6.8446269678298639E-4</v>
      </c>
    </row>
    <row r="52" spans="1:12" x14ac:dyDescent="0.25">
      <c r="A52" s="14">
        <v>39539</v>
      </c>
      <c r="B52">
        <v>149.69999999999999</v>
      </c>
      <c r="C52">
        <v>149.4</v>
      </c>
      <c r="E52" s="7">
        <v>149.4</v>
      </c>
      <c r="F52" s="7">
        <v>149.30000000000001</v>
      </c>
      <c r="G52" s="18">
        <v>1</v>
      </c>
      <c r="H52" s="7" t="e">
        <v>#N/A</v>
      </c>
      <c r="I52" s="7" t="e">
        <v>#N/A</v>
      </c>
      <c r="J52" s="7" t="e">
        <v>#N/A</v>
      </c>
      <c r="L52" s="9">
        <f t="shared" si="0"/>
        <v>0</v>
      </c>
    </row>
    <row r="53" spans="1:12" x14ac:dyDescent="0.25">
      <c r="A53" s="14">
        <v>39630</v>
      </c>
      <c r="B53">
        <v>154.9</v>
      </c>
      <c r="C53">
        <v>151.6</v>
      </c>
      <c r="E53" s="7">
        <v>151.69999999999999</v>
      </c>
      <c r="F53" s="7">
        <v>151.5</v>
      </c>
      <c r="G53" s="18">
        <v>1</v>
      </c>
      <c r="H53" s="7" t="e">
        <v>#N/A</v>
      </c>
      <c r="I53" s="7" t="e">
        <v>#N/A</v>
      </c>
      <c r="J53" s="7" t="e">
        <v>#N/A</v>
      </c>
      <c r="L53" s="9">
        <f t="shared" si="0"/>
        <v>6.5963060686012088E-4</v>
      </c>
    </row>
    <row r="54" spans="1:12" x14ac:dyDescent="0.25">
      <c r="A54" s="14">
        <v>39722</v>
      </c>
      <c r="B54">
        <v>146.9</v>
      </c>
      <c r="C54">
        <v>145.9</v>
      </c>
      <c r="E54" s="7">
        <v>145.9</v>
      </c>
      <c r="F54" s="7">
        <v>144.69999999999999</v>
      </c>
      <c r="G54" s="18">
        <v>1</v>
      </c>
      <c r="H54" s="7" t="e">
        <v>#N/A</v>
      </c>
      <c r="I54" s="7" t="e">
        <v>#N/A</v>
      </c>
      <c r="J54" s="7" t="e">
        <v>#N/A</v>
      </c>
      <c r="L54" s="9">
        <f t="shared" si="0"/>
        <v>0</v>
      </c>
    </row>
    <row r="55" spans="1:12" x14ac:dyDescent="0.25">
      <c r="A55" s="14">
        <v>39814</v>
      </c>
      <c r="B55">
        <v>139.69999999999999</v>
      </c>
      <c r="C55">
        <v>143.9</v>
      </c>
      <c r="E55" s="7">
        <v>143.9</v>
      </c>
      <c r="F55" s="7">
        <v>145</v>
      </c>
      <c r="G55" s="18">
        <v>1</v>
      </c>
      <c r="H55" s="7" t="e">
        <v>#N/A</v>
      </c>
      <c r="I55" s="7" t="e">
        <v>#N/A</v>
      </c>
      <c r="J55" s="7" t="e">
        <v>#N/A</v>
      </c>
      <c r="L55" s="9">
        <f t="shared" si="0"/>
        <v>0</v>
      </c>
    </row>
    <row r="56" spans="1:12" x14ac:dyDescent="0.25">
      <c r="A56" s="14">
        <v>39904</v>
      </c>
      <c r="B56">
        <v>146.4</v>
      </c>
      <c r="C56">
        <v>146.5</v>
      </c>
      <c r="E56" s="7">
        <v>146.5</v>
      </c>
      <c r="F56" s="7">
        <v>146.6</v>
      </c>
      <c r="G56" s="18">
        <v>1</v>
      </c>
      <c r="H56" s="7" t="e">
        <v>#N/A</v>
      </c>
      <c r="I56" s="7" t="e">
        <v>#N/A</v>
      </c>
      <c r="J56" s="7" t="e">
        <v>#N/A</v>
      </c>
      <c r="L56" s="9">
        <f t="shared" si="0"/>
        <v>0</v>
      </c>
    </row>
    <row r="57" spans="1:12" x14ac:dyDescent="0.25">
      <c r="A57" s="14">
        <v>39995</v>
      </c>
      <c r="B57">
        <v>153.1</v>
      </c>
      <c r="C57">
        <v>149.9</v>
      </c>
      <c r="E57" s="7">
        <v>149.9</v>
      </c>
      <c r="F57" s="7">
        <v>149.9</v>
      </c>
      <c r="G57" s="18">
        <v>1</v>
      </c>
      <c r="H57" s="7" t="e">
        <v>#N/A</v>
      </c>
      <c r="I57" s="7" t="e">
        <v>#N/A</v>
      </c>
      <c r="J57" s="7" t="e">
        <v>#N/A</v>
      </c>
      <c r="L57" s="9">
        <f t="shared" si="0"/>
        <v>0</v>
      </c>
    </row>
    <row r="58" spans="1:12" x14ac:dyDescent="0.25">
      <c r="A58" s="14">
        <v>40087</v>
      </c>
      <c r="B58">
        <v>154.69999999999999</v>
      </c>
      <c r="C58">
        <v>153.69999999999999</v>
      </c>
      <c r="E58" s="7">
        <v>153.69999999999999</v>
      </c>
      <c r="F58" s="7">
        <v>153.80000000000001</v>
      </c>
      <c r="G58" s="18">
        <v>1</v>
      </c>
      <c r="H58" s="7" t="e">
        <v>#N/A</v>
      </c>
      <c r="I58" s="7" t="e">
        <v>#N/A</v>
      </c>
      <c r="J58" s="7" t="e">
        <v>#N/A</v>
      </c>
      <c r="L58" s="9">
        <f t="shared" si="0"/>
        <v>0</v>
      </c>
    </row>
    <row r="59" spans="1:12" x14ac:dyDescent="0.25">
      <c r="A59" s="14">
        <v>40179</v>
      </c>
      <c r="B59">
        <v>152.5</v>
      </c>
      <c r="C59">
        <v>157.19999999999999</v>
      </c>
      <c r="E59" s="7">
        <v>157.19999999999999</v>
      </c>
      <c r="F59" s="7">
        <v>156.9</v>
      </c>
      <c r="G59" s="18">
        <v>1</v>
      </c>
      <c r="H59" s="7" t="e">
        <v>#N/A</v>
      </c>
      <c r="I59" s="7" t="e">
        <v>#N/A</v>
      </c>
      <c r="J59" s="7" t="e">
        <v>#N/A</v>
      </c>
      <c r="L59" s="9">
        <f t="shared" si="0"/>
        <v>0</v>
      </c>
    </row>
    <row r="60" spans="1:12" x14ac:dyDescent="0.25">
      <c r="A60" s="14">
        <v>40269</v>
      </c>
      <c r="B60">
        <v>158.9</v>
      </c>
      <c r="C60">
        <v>158.69999999999999</v>
      </c>
      <c r="E60" s="7">
        <v>158.80000000000001</v>
      </c>
      <c r="F60" s="7">
        <v>158.9</v>
      </c>
      <c r="G60" s="18">
        <v>1</v>
      </c>
      <c r="H60" s="7" t="e">
        <v>#N/A</v>
      </c>
      <c r="I60" s="7" t="e">
        <v>#N/A</v>
      </c>
      <c r="J60" s="7" t="e">
        <v>#N/A</v>
      </c>
      <c r="L60" s="9">
        <f t="shared" si="0"/>
        <v>6.3011972274746534E-4</v>
      </c>
    </row>
    <row r="61" spans="1:12" x14ac:dyDescent="0.25">
      <c r="A61" s="14">
        <v>40360</v>
      </c>
      <c r="B61">
        <v>163.6</v>
      </c>
      <c r="C61">
        <v>160.4</v>
      </c>
      <c r="E61" s="7">
        <v>160.30000000000001</v>
      </c>
      <c r="F61" s="7">
        <v>160.4</v>
      </c>
      <c r="G61" s="18">
        <v>1</v>
      </c>
      <c r="H61" s="7" t="e">
        <v>#N/A</v>
      </c>
      <c r="I61" s="7" t="e">
        <v>#N/A</v>
      </c>
      <c r="J61" s="7" t="e">
        <v>#N/A</v>
      </c>
      <c r="L61" s="9">
        <f t="shared" si="0"/>
        <v>-6.2344139650869271E-4</v>
      </c>
    </row>
    <row r="62" spans="1:12" x14ac:dyDescent="0.25">
      <c r="A62" s="14">
        <v>40452</v>
      </c>
      <c r="B62">
        <v>163.5</v>
      </c>
      <c r="C62">
        <v>162.5</v>
      </c>
      <c r="E62" s="7">
        <v>162.5</v>
      </c>
      <c r="F62" s="7">
        <v>162.6</v>
      </c>
      <c r="G62" s="18">
        <v>1</v>
      </c>
      <c r="H62" s="7" t="e">
        <v>#N/A</v>
      </c>
      <c r="I62" s="7" t="e">
        <v>#N/A</v>
      </c>
      <c r="J62" s="7" t="e">
        <v>#N/A</v>
      </c>
      <c r="L62" s="9">
        <f t="shared" si="0"/>
        <v>0</v>
      </c>
    </row>
    <row r="63" spans="1:12" x14ac:dyDescent="0.25">
      <c r="A63" s="14">
        <v>40544</v>
      </c>
      <c r="B63">
        <v>160.5</v>
      </c>
      <c r="C63">
        <v>164.9</v>
      </c>
      <c r="E63" s="7">
        <v>164.9</v>
      </c>
      <c r="F63" s="7">
        <v>164.9</v>
      </c>
      <c r="G63" s="18">
        <v>1</v>
      </c>
      <c r="H63" s="7" t="e">
        <v>#N/A</v>
      </c>
      <c r="I63" s="7" t="e">
        <v>#N/A</v>
      </c>
      <c r="J63" s="7" t="e">
        <v>#N/A</v>
      </c>
      <c r="L63" s="9">
        <f t="shared" si="0"/>
        <v>0</v>
      </c>
    </row>
    <row r="64" spans="1:12" x14ac:dyDescent="0.25">
      <c r="A64" s="14">
        <v>40634</v>
      </c>
      <c r="B64">
        <v>166.3</v>
      </c>
      <c r="C64">
        <v>166.5</v>
      </c>
      <c r="E64" s="7">
        <v>166.5</v>
      </c>
      <c r="F64" s="7">
        <v>166.1</v>
      </c>
      <c r="G64" s="18">
        <v>1</v>
      </c>
      <c r="H64" s="7" t="e">
        <v>#N/A</v>
      </c>
      <c r="I64" s="7" t="e">
        <v>#N/A</v>
      </c>
      <c r="J64" s="7" t="e">
        <v>#N/A</v>
      </c>
      <c r="L64" s="9">
        <f t="shared" si="0"/>
        <v>0</v>
      </c>
    </row>
    <row r="65" spans="1:12" x14ac:dyDescent="0.25">
      <c r="A65" s="14">
        <v>40725</v>
      </c>
      <c r="B65">
        <v>169.4</v>
      </c>
      <c r="C65">
        <v>166.1</v>
      </c>
      <c r="E65" s="7">
        <v>166.1</v>
      </c>
      <c r="F65" s="7">
        <v>166.6</v>
      </c>
      <c r="G65" s="18">
        <v>1</v>
      </c>
      <c r="H65" s="7" t="e">
        <v>#N/A</v>
      </c>
      <c r="I65" s="7" t="e">
        <v>#N/A</v>
      </c>
      <c r="J65" s="7" t="e">
        <v>#N/A</v>
      </c>
      <c r="L65" s="9">
        <f t="shared" si="0"/>
        <v>0</v>
      </c>
    </row>
    <row r="66" spans="1:12" x14ac:dyDescent="0.25">
      <c r="A66" s="14">
        <v>40817</v>
      </c>
      <c r="B66">
        <v>167.7</v>
      </c>
      <c r="C66">
        <v>167.5</v>
      </c>
      <c r="E66" s="7">
        <v>167.5</v>
      </c>
      <c r="F66" s="7">
        <v>166.6</v>
      </c>
      <c r="G66" s="18">
        <v>1</v>
      </c>
      <c r="H66" s="7" t="e">
        <v>#N/A</v>
      </c>
      <c r="I66" s="7" t="e">
        <v>#N/A</v>
      </c>
      <c r="J66" s="7" t="e">
        <v>#N/A</v>
      </c>
      <c r="L66" s="9">
        <f t="shared" si="0"/>
        <v>0</v>
      </c>
    </row>
    <row r="67" spans="1:12" x14ac:dyDescent="0.25">
      <c r="A67" s="14">
        <v>40909</v>
      </c>
      <c r="B67">
        <v>163.19999999999999</v>
      </c>
      <c r="C67">
        <v>165.3</v>
      </c>
      <c r="E67" s="7">
        <v>165.3</v>
      </c>
      <c r="F67" s="7">
        <v>166.9</v>
      </c>
      <c r="G67" s="18">
        <v>1</v>
      </c>
      <c r="H67" s="7" t="e">
        <v>#N/A</v>
      </c>
      <c r="I67" s="7" t="e">
        <v>#N/A</v>
      </c>
      <c r="J67" s="7" t="e">
        <v>#N/A</v>
      </c>
      <c r="L67" s="9">
        <f t="shared" si="0"/>
        <v>0</v>
      </c>
    </row>
    <row r="68" spans="1:12" x14ac:dyDescent="0.25">
      <c r="A68" s="14">
        <v>41000</v>
      </c>
      <c r="B68">
        <v>168</v>
      </c>
      <c r="C68">
        <v>168.2</v>
      </c>
      <c r="E68" s="7">
        <v>168.2</v>
      </c>
      <c r="F68" s="7">
        <v>168.4</v>
      </c>
      <c r="G68" s="18">
        <v>1</v>
      </c>
      <c r="H68" s="7" t="e">
        <v>#N/A</v>
      </c>
      <c r="I68" s="7" t="e">
        <v>#N/A</v>
      </c>
      <c r="J68" s="7" t="e">
        <v>#N/A</v>
      </c>
      <c r="L68" s="9">
        <f t="shared" ref="L68:L105" si="1">(E68-C68)/C68</f>
        <v>0</v>
      </c>
    </row>
    <row r="69" spans="1:12" x14ac:dyDescent="0.25">
      <c r="A69" s="14">
        <v>41091</v>
      </c>
      <c r="B69">
        <v>173.6</v>
      </c>
      <c r="C69">
        <v>171.1</v>
      </c>
      <c r="E69" s="7">
        <v>171.1</v>
      </c>
      <c r="F69" s="7">
        <v>170.5</v>
      </c>
      <c r="G69" s="18">
        <v>1</v>
      </c>
      <c r="H69" s="7" t="e">
        <v>#N/A</v>
      </c>
      <c r="I69" s="7" t="e">
        <v>#N/A</v>
      </c>
      <c r="J69" s="7" t="e">
        <v>#N/A</v>
      </c>
      <c r="L69" s="9">
        <f t="shared" si="1"/>
        <v>0</v>
      </c>
    </row>
    <row r="70" spans="1:12" x14ac:dyDescent="0.25">
      <c r="A70" s="14">
        <v>41183</v>
      </c>
      <c r="B70">
        <v>171.9</v>
      </c>
      <c r="C70">
        <v>171.1</v>
      </c>
      <c r="E70" s="7">
        <v>171.1</v>
      </c>
      <c r="F70" s="7">
        <v>171.2</v>
      </c>
      <c r="G70" s="18">
        <v>1</v>
      </c>
      <c r="H70" s="7" t="e">
        <v>#N/A</v>
      </c>
      <c r="I70" s="7" t="e">
        <v>#N/A</v>
      </c>
      <c r="J70" s="7" t="e">
        <v>#N/A</v>
      </c>
      <c r="L70" s="9">
        <f t="shared" si="1"/>
        <v>0</v>
      </c>
    </row>
    <row r="71" spans="1:12" x14ac:dyDescent="0.25">
      <c r="A71" s="14">
        <v>41275</v>
      </c>
      <c r="B71">
        <v>167.6</v>
      </c>
      <c r="C71">
        <v>171.8</v>
      </c>
      <c r="E71" s="7">
        <v>171.8</v>
      </c>
      <c r="F71" s="7">
        <v>172.2</v>
      </c>
      <c r="G71" s="18">
        <v>1</v>
      </c>
      <c r="H71" s="7" t="e">
        <v>#N/A</v>
      </c>
      <c r="I71" s="7" t="e">
        <v>#N/A</v>
      </c>
      <c r="J71" s="7" t="e">
        <v>#N/A</v>
      </c>
      <c r="L71" s="9">
        <f t="shared" si="1"/>
        <v>0</v>
      </c>
    </row>
    <row r="72" spans="1:12" x14ac:dyDescent="0.25">
      <c r="A72" s="14">
        <v>41365</v>
      </c>
      <c r="B72">
        <v>174.7</v>
      </c>
      <c r="C72">
        <v>174.7</v>
      </c>
      <c r="E72" s="7">
        <v>174.7</v>
      </c>
      <c r="F72" s="7">
        <v>174.2</v>
      </c>
      <c r="G72" s="18">
        <v>1</v>
      </c>
      <c r="H72" s="7" t="e">
        <v>#N/A</v>
      </c>
      <c r="I72" s="7" t="e">
        <v>#N/A</v>
      </c>
      <c r="J72" s="7" t="e">
        <v>#N/A</v>
      </c>
      <c r="L72" s="9">
        <f t="shared" si="1"/>
        <v>0</v>
      </c>
    </row>
    <row r="73" spans="1:12" x14ac:dyDescent="0.25">
      <c r="A73" s="14">
        <v>41456</v>
      </c>
      <c r="B73">
        <v>178.4</v>
      </c>
      <c r="C73">
        <v>175.3</v>
      </c>
      <c r="E73" s="7">
        <v>175.3</v>
      </c>
      <c r="F73" s="7">
        <v>175.4</v>
      </c>
      <c r="G73" s="18">
        <v>1</v>
      </c>
      <c r="H73" s="7" t="e">
        <v>#N/A</v>
      </c>
      <c r="I73" s="7" t="e">
        <v>#N/A</v>
      </c>
      <c r="J73" s="7" t="e">
        <v>#N/A</v>
      </c>
      <c r="L73" s="9">
        <f t="shared" si="1"/>
        <v>0</v>
      </c>
    </row>
    <row r="74" spans="1:12" x14ac:dyDescent="0.25">
      <c r="A74" s="14">
        <v>41548</v>
      </c>
      <c r="B74">
        <v>176.3</v>
      </c>
      <c r="C74">
        <v>175.5</v>
      </c>
      <c r="E74" s="7">
        <v>175.5</v>
      </c>
      <c r="F74" s="7">
        <v>176</v>
      </c>
      <c r="G74" s="18">
        <v>1</v>
      </c>
      <c r="H74" s="7" t="e">
        <v>#N/A</v>
      </c>
      <c r="I74" s="7" t="e">
        <v>#N/A</v>
      </c>
      <c r="J74" s="7" t="e">
        <v>#N/A</v>
      </c>
      <c r="L74" s="9">
        <f t="shared" si="1"/>
        <v>0</v>
      </c>
    </row>
    <row r="75" spans="1:12" x14ac:dyDescent="0.25">
      <c r="A75" s="14">
        <v>41640</v>
      </c>
      <c r="B75">
        <v>173.4</v>
      </c>
      <c r="C75">
        <v>177.1</v>
      </c>
      <c r="E75" s="7">
        <v>177</v>
      </c>
      <c r="F75" s="7">
        <v>176</v>
      </c>
      <c r="G75" s="18">
        <v>1</v>
      </c>
      <c r="H75" s="7" t="e">
        <v>#N/A</v>
      </c>
      <c r="I75" s="7" t="e">
        <v>#N/A</v>
      </c>
      <c r="J75" s="7" t="e">
        <v>#N/A</v>
      </c>
      <c r="L75" s="9">
        <f t="shared" si="1"/>
        <v>-5.6465273856574991E-4</v>
      </c>
    </row>
    <row r="76" spans="1:12" x14ac:dyDescent="0.25">
      <c r="A76" s="14">
        <v>41730</v>
      </c>
      <c r="B76">
        <v>174</v>
      </c>
      <c r="C76">
        <v>174.4</v>
      </c>
      <c r="E76" s="7">
        <v>174.4</v>
      </c>
      <c r="F76" s="7">
        <v>175</v>
      </c>
      <c r="G76" s="18">
        <v>1</v>
      </c>
      <c r="H76" s="7" t="e">
        <v>#N/A</v>
      </c>
      <c r="I76" s="7" t="e">
        <v>#N/A</v>
      </c>
      <c r="J76" s="7" t="e">
        <v>#N/A</v>
      </c>
      <c r="L76" s="9">
        <f t="shared" si="1"/>
        <v>0</v>
      </c>
    </row>
    <row r="77" spans="1:12" x14ac:dyDescent="0.25">
      <c r="A77" s="14">
        <v>41821</v>
      </c>
      <c r="B77">
        <v>177.3</v>
      </c>
      <c r="C77">
        <v>174.4</v>
      </c>
      <c r="E77" s="7">
        <v>174.4</v>
      </c>
      <c r="F77" s="7">
        <v>174.5</v>
      </c>
      <c r="G77" s="18">
        <v>1</v>
      </c>
      <c r="H77" s="7" t="e">
        <v>#N/A</v>
      </c>
      <c r="I77" s="7" t="e">
        <v>#N/A</v>
      </c>
      <c r="J77" s="7" t="e">
        <v>#N/A</v>
      </c>
      <c r="L77" s="9">
        <f t="shared" si="1"/>
        <v>0</v>
      </c>
    </row>
    <row r="78" spans="1:12" x14ac:dyDescent="0.25">
      <c r="A78" s="14">
        <v>41913</v>
      </c>
      <c r="B78">
        <v>175.9</v>
      </c>
      <c r="C78">
        <v>175.2</v>
      </c>
      <c r="E78" s="7">
        <v>175.2</v>
      </c>
      <c r="F78" s="7">
        <v>175.1</v>
      </c>
      <c r="G78" s="18">
        <v>1</v>
      </c>
      <c r="H78" s="7" t="e">
        <v>#N/A</v>
      </c>
      <c r="I78" s="7" t="e">
        <v>#N/A</v>
      </c>
      <c r="J78" s="7" t="e">
        <v>#N/A</v>
      </c>
      <c r="L78" s="9">
        <f t="shared" si="1"/>
        <v>0</v>
      </c>
    </row>
    <row r="79" spans="1:12" x14ac:dyDescent="0.25">
      <c r="A79" s="14">
        <v>42005</v>
      </c>
      <c r="B79">
        <v>170.6</v>
      </c>
      <c r="C79">
        <v>174.1</v>
      </c>
      <c r="E79" s="7">
        <v>174</v>
      </c>
      <c r="F79" s="7">
        <v>173.6</v>
      </c>
      <c r="G79" s="18">
        <v>1</v>
      </c>
      <c r="H79" s="7" t="e">
        <v>#N/A</v>
      </c>
      <c r="I79" s="7" t="e">
        <v>#N/A</v>
      </c>
      <c r="J79" s="7" t="e">
        <v>#N/A</v>
      </c>
      <c r="L79" s="9">
        <f t="shared" si="1"/>
        <v>-5.7438253877078874E-4</v>
      </c>
    </row>
    <row r="80" spans="1:12" x14ac:dyDescent="0.25">
      <c r="A80" s="14">
        <v>42095</v>
      </c>
      <c r="B80">
        <v>169.2</v>
      </c>
      <c r="C80">
        <v>169.5</v>
      </c>
      <c r="E80" s="7">
        <v>169.5</v>
      </c>
      <c r="F80" s="7">
        <v>170</v>
      </c>
      <c r="G80" s="18">
        <v>1</v>
      </c>
      <c r="H80" s="7" t="e">
        <v>#N/A</v>
      </c>
      <c r="I80" s="7" t="e">
        <v>#N/A</v>
      </c>
      <c r="J80" s="7" t="e">
        <v>#N/A</v>
      </c>
      <c r="L80" s="9">
        <f t="shared" si="1"/>
        <v>0</v>
      </c>
    </row>
    <row r="81" spans="1:12" x14ac:dyDescent="0.25">
      <c r="A81" s="14">
        <v>42186</v>
      </c>
      <c r="B81">
        <v>169.7</v>
      </c>
      <c r="C81">
        <v>167</v>
      </c>
      <c r="E81" s="7">
        <v>167</v>
      </c>
      <c r="F81" s="7">
        <v>167.1</v>
      </c>
      <c r="G81" s="18">
        <v>1</v>
      </c>
      <c r="H81" s="7" t="e">
        <v>#N/A</v>
      </c>
      <c r="I81" s="7" t="e">
        <v>#N/A</v>
      </c>
      <c r="J81" s="7" t="e">
        <v>#N/A</v>
      </c>
      <c r="L81" s="9">
        <f t="shared" si="1"/>
        <v>0</v>
      </c>
    </row>
    <row r="82" spans="1:12" x14ac:dyDescent="0.25">
      <c r="A82" s="14">
        <v>42278</v>
      </c>
      <c r="B82">
        <v>166.2</v>
      </c>
      <c r="C82">
        <v>165.7</v>
      </c>
      <c r="E82" s="7">
        <v>165.7</v>
      </c>
      <c r="F82" s="7">
        <v>165.2</v>
      </c>
      <c r="G82" s="18">
        <v>1</v>
      </c>
      <c r="H82" s="7" t="e">
        <v>#N/A</v>
      </c>
      <c r="I82" s="7" t="e">
        <v>#N/A</v>
      </c>
      <c r="J82" s="7" t="e">
        <v>#N/A</v>
      </c>
      <c r="L82" s="9">
        <f t="shared" si="1"/>
        <v>0</v>
      </c>
    </row>
    <row r="83" spans="1:12" x14ac:dyDescent="0.25">
      <c r="A83" s="14">
        <v>42370</v>
      </c>
      <c r="B83">
        <v>161.9</v>
      </c>
      <c r="C83">
        <v>163</v>
      </c>
      <c r="E83" s="7">
        <v>163.1</v>
      </c>
      <c r="F83" s="7">
        <v>163.9</v>
      </c>
      <c r="G83" s="18">
        <v>1</v>
      </c>
      <c r="H83" s="7" t="e">
        <v>#N/A</v>
      </c>
      <c r="I83" s="7" t="e">
        <v>#N/A</v>
      </c>
      <c r="J83" s="7" t="e">
        <v>#N/A</v>
      </c>
      <c r="L83" s="9">
        <f t="shared" si="1"/>
        <v>6.1349693251530255E-4</v>
      </c>
    </row>
    <row r="84" spans="1:12" x14ac:dyDescent="0.25">
      <c r="A84" s="14">
        <v>42461</v>
      </c>
      <c r="B84">
        <v>163.80000000000001</v>
      </c>
      <c r="C84">
        <v>164</v>
      </c>
      <c r="E84" s="7">
        <v>164</v>
      </c>
      <c r="F84" s="7">
        <v>163.4</v>
      </c>
      <c r="G84" s="18">
        <v>1</v>
      </c>
      <c r="H84" s="7" t="e">
        <v>#N/A</v>
      </c>
      <c r="I84" s="7" t="e">
        <v>#N/A</v>
      </c>
      <c r="J84" s="7" t="e">
        <v>#N/A</v>
      </c>
      <c r="L84" s="9">
        <f t="shared" si="1"/>
        <v>0</v>
      </c>
    </row>
    <row r="85" spans="1:12" x14ac:dyDescent="0.25">
      <c r="A85" s="14">
        <v>42552</v>
      </c>
      <c r="B85">
        <v>165.6</v>
      </c>
      <c r="C85">
        <v>162.9</v>
      </c>
      <c r="E85" s="7">
        <v>163</v>
      </c>
      <c r="F85" s="7">
        <v>163.1</v>
      </c>
      <c r="G85" s="18">
        <v>1</v>
      </c>
      <c r="H85" s="7" t="e">
        <v>#N/A</v>
      </c>
      <c r="I85" s="7" t="e">
        <v>#N/A</v>
      </c>
      <c r="J85" s="7" t="e">
        <v>#N/A</v>
      </c>
      <c r="L85" s="9">
        <f t="shared" si="1"/>
        <v>6.1387354205030267E-4</v>
      </c>
    </row>
    <row r="86" spans="1:12" x14ac:dyDescent="0.25">
      <c r="A86" s="14">
        <v>42644</v>
      </c>
      <c r="B86">
        <v>162.4</v>
      </c>
      <c r="C86">
        <v>162.6</v>
      </c>
      <c r="E86" s="7">
        <v>162.6</v>
      </c>
      <c r="F86" s="7">
        <v>162.9</v>
      </c>
      <c r="G86" s="18">
        <v>1</v>
      </c>
      <c r="H86" s="7" t="e">
        <v>#N/A</v>
      </c>
      <c r="I86" s="7" t="e">
        <v>#N/A</v>
      </c>
      <c r="J86" s="7" t="e">
        <v>#N/A</v>
      </c>
      <c r="L86" s="9">
        <f t="shared" si="1"/>
        <v>0</v>
      </c>
    </row>
    <row r="87" spans="1:12" x14ac:dyDescent="0.25">
      <c r="A87" s="14">
        <v>42736</v>
      </c>
      <c r="B87">
        <v>162.30000000000001</v>
      </c>
      <c r="C87">
        <v>164.4</v>
      </c>
      <c r="E87" s="7">
        <v>164.4</v>
      </c>
      <c r="F87" s="7">
        <v>164.2</v>
      </c>
      <c r="G87" s="18">
        <v>1</v>
      </c>
      <c r="H87" s="7" t="e">
        <v>#N/A</v>
      </c>
      <c r="I87" s="7" t="e">
        <v>#N/A</v>
      </c>
      <c r="J87" s="7" t="e">
        <v>#N/A</v>
      </c>
      <c r="L87" s="9">
        <f t="shared" si="1"/>
        <v>0</v>
      </c>
    </row>
    <row r="88" spans="1:12" x14ac:dyDescent="0.25">
      <c r="A88" s="14">
        <v>42826</v>
      </c>
      <c r="B88">
        <v>165.1</v>
      </c>
      <c r="C88">
        <v>165.7</v>
      </c>
      <c r="E88" s="7">
        <v>165.7</v>
      </c>
      <c r="F88" s="7">
        <v>165.6</v>
      </c>
      <c r="G88" s="18">
        <v>1</v>
      </c>
      <c r="H88" s="7" t="e">
        <v>#N/A</v>
      </c>
      <c r="I88" s="7" t="e">
        <v>#N/A</v>
      </c>
      <c r="J88" s="7" t="e">
        <v>#N/A</v>
      </c>
      <c r="L88" s="9">
        <f t="shared" si="1"/>
        <v>0</v>
      </c>
    </row>
    <row r="89" spans="1:12" x14ac:dyDescent="0.25">
      <c r="A89" s="14">
        <v>42917</v>
      </c>
      <c r="B89">
        <v>168.3</v>
      </c>
      <c r="C89">
        <v>166.2</v>
      </c>
      <c r="E89" s="7">
        <v>166.2</v>
      </c>
      <c r="F89" s="7">
        <v>166.3</v>
      </c>
      <c r="G89" s="18">
        <v>1</v>
      </c>
      <c r="H89" s="7" t="e">
        <v>#N/A</v>
      </c>
      <c r="I89" s="7" t="e">
        <v>#N/A</v>
      </c>
      <c r="J89" s="7" t="e">
        <v>#N/A</v>
      </c>
      <c r="L89" s="9">
        <f t="shared" si="1"/>
        <v>0</v>
      </c>
    </row>
    <row r="90" spans="1:12" x14ac:dyDescent="0.25">
      <c r="A90" s="14">
        <v>43009</v>
      </c>
      <c r="B90">
        <v>166.6</v>
      </c>
      <c r="C90">
        <v>166.9</v>
      </c>
      <c r="E90" s="7">
        <v>166.9</v>
      </c>
      <c r="F90" s="7">
        <v>167</v>
      </c>
      <c r="G90" s="18">
        <v>1</v>
      </c>
      <c r="H90" s="7" t="e">
        <v>#N/A</v>
      </c>
      <c r="I90" s="7" t="e">
        <v>#N/A</v>
      </c>
      <c r="J90" s="7" t="e">
        <v>#N/A</v>
      </c>
      <c r="L90" s="9">
        <f t="shared" si="1"/>
        <v>0</v>
      </c>
    </row>
    <row r="91" spans="1:12" x14ac:dyDescent="0.25">
      <c r="A91" s="14">
        <v>43101</v>
      </c>
      <c r="B91">
        <v>165.4</v>
      </c>
      <c r="C91">
        <v>167.8</v>
      </c>
      <c r="E91" s="7">
        <v>167.8</v>
      </c>
      <c r="F91" s="7">
        <v>167.7</v>
      </c>
      <c r="G91" s="18">
        <v>1</v>
      </c>
      <c r="H91" s="7" t="e">
        <v>#N/A</v>
      </c>
      <c r="I91" s="7" t="e">
        <v>#N/A</v>
      </c>
      <c r="J91" s="7" t="e">
        <v>#N/A</v>
      </c>
      <c r="L91" s="9">
        <f t="shared" si="1"/>
        <v>0</v>
      </c>
    </row>
    <row r="92" spans="1:12" x14ac:dyDescent="0.25">
      <c r="A92" s="14">
        <v>43191</v>
      </c>
      <c r="B92">
        <v>167.7</v>
      </c>
      <c r="C92">
        <v>168.1</v>
      </c>
      <c r="E92" s="7">
        <v>168.1</v>
      </c>
      <c r="F92" s="7">
        <v>168.3</v>
      </c>
      <c r="G92" s="18">
        <v>1</v>
      </c>
      <c r="H92" s="7" t="e">
        <v>#N/A</v>
      </c>
      <c r="I92" s="7" t="e">
        <v>#N/A</v>
      </c>
      <c r="J92" s="7" t="e">
        <v>#N/A</v>
      </c>
      <c r="L92" s="9">
        <f t="shared" si="1"/>
        <v>0</v>
      </c>
    </row>
    <row r="93" spans="1:12" x14ac:dyDescent="0.25">
      <c r="A93" s="14">
        <v>43282</v>
      </c>
      <c r="B93">
        <v>171.7</v>
      </c>
      <c r="C93">
        <v>169.5</v>
      </c>
      <c r="E93" s="7">
        <v>169.5</v>
      </c>
      <c r="F93" s="7">
        <v>168.8</v>
      </c>
      <c r="G93" s="18">
        <v>1</v>
      </c>
      <c r="H93" s="7" t="e">
        <v>#N/A</v>
      </c>
      <c r="I93" s="7" t="e">
        <v>#N/A</v>
      </c>
      <c r="J93" s="7" t="e">
        <v>#N/A</v>
      </c>
      <c r="L93" s="9">
        <f t="shared" si="1"/>
        <v>0</v>
      </c>
    </row>
    <row r="94" spans="1:12" x14ac:dyDescent="0.25">
      <c r="A94" s="14">
        <v>43374</v>
      </c>
      <c r="B94">
        <v>169.2</v>
      </c>
      <c r="C94">
        <v>168.9</v>
      </c>
      <c r="E94" s="7">
        <v>168.9</v>
      </c>
      <c r="F94" s="7">
        <v>169.1</v>
      </c>
      <c r="G94" s="18">
        <v>1</v>
      </c>
      <c r="H94" s="7" t="e">
        <v>#N/A</v>
      </c>
      <c r="I94" s="7" t="e">
        <v>#N/A</v>
      </c>
      <c r="J94" s="7" t="e">
        <v>#N/A</v>
      </c>
      <c r="L94" s="9">
        <f t="shared" si="1"/>
        <v>0</v>
      </c>
    </row>
    <row r="95" spans="1:12" x14ac:dyDescent="0.25">
      <c r="A95" s="14">
        <v>43466</v>
      </c>
      <c r="B95">
        <v>167.1</v>
      </c>
      <c r="C95">
        <v>169.8</v>
      </c>
      <c r="E95" s="7">
        <v>169.8</v>
      </c>
      <c r="F95" s="7">
        <v>169.8</v>
      </c>
      <c r="G95" s="18">
        <v>1</v>
      </c>
      <c r="H95" s="7" t="e">
        <v>#N/A</v>
      </c>
      <c r="I95" s="7" t="e">
        <v>#N/A</v>
      </c>
      <c r="J95" s="7" t="e">
        <v>#N/A</v>
      </c>
      <c r="L95" s="9">
        <f t="shared" si="1"/>
        <v>0</v>
      </c>
    </row>
    <row r="96" spans="1:12" x14ac:dyDescent="0.25">
      <c r="A96" s="14">
        <v>43556</v>
      </c>
      <c r="B96">
        <v>169.8</v>
      </c>
      <c r="C96">
        <v>170.7</v>
      </c>
      <c r="E96" s="7">
        <v>170.7</v>
      </c>
      <c r="F96" s="7">
        <v>170.6</v>
      </c>
      <c r="G96" s="18">
        <v>1</v>
      </c>
      <c r="H96" s="7" t="e">
        <v>#N/A</v>
      </c>
      <c r="I96" s="7" t="e">
        <v>#N/A</v>
      </c>
      <c r="J96" s="7" t="e">
        <v>#N/A</v>
      </c>
      <c r="L96" s="9">
        <f t="shared" si="1"/>
        <v>0</v>
      </c>
    </row>
    <row r="97" spans="1:12" x14ac:dyDescent="0.25">
      <c r="A97" s="14">
        <v>43647</v>
      </c>
      <c r="B97">
        <v>173.6</v>
      </c>
      <c r="C97">
        <v>170.7</v>
      </c>
      <c r="E97" s="7">
        <v>170.7</v>
      </c>
      <c r="F97" s="7">
        <v>170.6</v>
      </c>
      <c r="G97" s="18">
        <v>1</v>
      </c>
      <c r="H97" s="7" t="e">
        <v>#N/A</v>
      </c>
      <c r="I97" s="7" t="e">
        <v>#N/A</v>
      </c>
      <c r="J97" s="7" t="e">
        <v>#N/A</v>
      </c>
      <c r="L97" s="9">
        <f t="shared" si="1"/>
        <v>0</v>
      </c>
    </row>
    <row r="98" spans="1:12" x14ac:dyDescent="0.25">
      <c r="A98" s="14">
        <v>43739</v>
      </c>
      <c r="B98">
        <v>171.7</v>
      </c>
      <c r="C98">
        <v>171.3</v>
      </c>
      <c r="E98" s="7">
        <v>171.3</v>
      </c>
      <c r="F98" s="7">
        <v>169.8</v>
      </c>
      <c r="G98" s="18">
        <v>1</v>
      </c>
      <c r="H98" s="7" t="e">
        <v>#N/A</v>
      </c>
      <c r="I98" s="7" t="e">
        <v>#N/A</v>
      </c>
      <c r="J98" s="7" t="e">
        <v>#N/A</v>
      </c>
      <c r="L98" s="9">
        <f t="shared" si="1"/>
        <v>0</v>
      </c>
    </row>
    <row r="99" spans="1:12" x14ac:dyDescent="0.25">
      <c r="A99" s="14">
        <v>43831</v>
      </c>
      <c r="B99">
        <v>166.9</v>
      </c>
      <c r="C99">
        <v>167.4</v>
      </c>
      <c r="E99" s="7">
        <v>167.4</v>
      </c>
      <c r="F99" s="7">
        <v>168.9</v>
      </c>
      <c r="G99" s="18">
        <v>1</v>
      </c>
      <c r="H99" s="7" t="e">
        <v>#N/A</v>
      </c>
      <c r="I99" s="7" t="e">
        <v>#N/A</v>
      </c>
      <c r="J99" s="7" t="e">
        <v>#N/A</v>
      </c>
      <c r="L99" s="9">
        <f t="shared" si="1"/>
        <v>0</v>
      </c>
    </row>
    <row r="100" spans="1:12" x14ac:dyDescent="0.25">
      <c r="A100" s="14">
        <v>43922</v>
      </c>
      <c r="B100">
        <v>151.6</v>
      </c>
      <c r="C100">
        <v>152.6</v>
      </c>
      <c r="E100" s="7">
        <v>152.5</v>
      </c>
      <c r="F100" s="7">
        <v>169</v>
      </c>
      <c r="G100" s="18">
        <v>0.9</v>
      </c>
      <c r="H100" s="7" t="e">
        <v>#N/A</v>
      </c>
      <c r="I100" s="7" t="e">
        <v>#N/A</v>
      </c>
      <c r="J100" s="7" t="e">
        <v>#N/A</v>
      </c>
      <c r="L100" s="9">
        <f t="shared" si="1"/>
        <v>-6.5530799475749886E-4</v>
      </c>
    </row>
    <row r="101" spans="1:12" x14ac:dyDescent="0.25">
      <c r="A101" s="14">
        <v>44013</v>
      </c>
      <c r="B101">
        <v>167.2</v>
      </c>
      <c r="C101">
        <v>164.4</v>
      </c>
      <c r="E101" s="7">
        <v>164.4</v>
      </c>
      <c r="F101" s="7">
        <v>170.2</v>
      </c>
      <c r="G101" s="18">
        <v>1</v>
      </c>
      <c r="H101" s="7" t="e">
        <v>#N/A</v>
      </c>
      <c r="I101" s="7" t="e">
        <v>#N/A</v>
      </c>
      <c r="J101" s="7" t="e">
        <v>#N/A</v>
      </c>
      <c r="L101" s="9">
        <f t="shared" si="1"/>
        <v>0</v>
      </c>
    </row>
    <row r="102" spans="1:12" x14ac:dyDescent="0.25">
      <c r="A102" s="14">
        <v>44105</v>
      </c>
      <c r="B102">
        <v>170.1</v>
      </c>
      <c r="C102">
        <v>169.5</v>
      </c>
      <c r="E102" s="7">
        <v>169.6</v>
      </c>
      <c r="F102" s="7">
        <v>171.7</v>
      </c>
      <c r="G102" s="18">
        <v>1</v>
      </c>
      <c r="H102" s="7" t="e">
        <v>#N/A</v>
      </c>
      <c r="I102" s="7" t="e">
        <v>#N/A</v>
      </c>
      <c r="J102" s="7" t="e">
        <v>#N/A</v>
      </c>
      <c r="L102" s="9">
        <f t="shared" si="1"/>
        <v>5.8997050147489274E-4</v>
      </c>
    </row>
    <row r="103" spans="1:12" x14ac:dyDescent="0.25">
      <c r="A103" s="14">
        <v>44197</v>
      </c>
      <c r="B103">
        <v>169</v>
      </c>
      <c r="C103">
        <v>171.8</v>
      </c>
      <c r="E103" s="7">
        <v>171.8</v>
      </c>
      <c r="F103" s="7">
        <v>172.2</v>
      </c>
      <c r="G103" s="18">
        <v>1</v>
      </c>
      <c r="H103" s="7" t="e">
        <v>#N/A</v>
      </c>
      <c r="I103" s="7" t="e">
        <v>#N/A</v>
      </c>
      <c r="J103" s="7" t="e">
        <v>#N/A</v>
      </c>
      <c r="L103" s="9">
        <f t="shared" si="1"/>
        <v>0</v>
      </c>
    </row>
    <row r="104" spans="1:12" x14ac:dyDescent="0.25">
      <c r="A104" s="14">
        <v>44287</v>
      </c>
      <c r="B104">
        <v>170.3</v>
      </c>
      <c r="C104">
        <v>171.2</v>
      </c>
      <c r="E104" s="7">
        <v>171.2</v>
      </c>
      <c r="F104" s="7">
        <v>171.7</v>
      </c>
      <c r="G104" s="18">
        <v>1</v>
      </c>
      <c r="H104" s="7" t="e">
        <v>#N/A</v>
      </c>
      <c r="I104" s="7" t="e">
        <v>#N/A</v>
      </c>
      <c r="J104" s="7" t="e">
        <v>#N/A</v>
      </c>
      <c r="L104" s="9">
        <f t="shared" si="1"/>
        <v>0</v>
      </c>
    </row>
    <row r="105" spans="1:12" x14ac:dyDescent="0.25">
      <c r="A105" s="14">
        <v>44378</v>
      </c>
      <c r="B105">
        <v>173.9</v>
      </c>
      <c r="C105">
        <v>171.1</v>
      </c>
      <c r="E105" s="7">
        <v>171</v>
      </c>
      <c r="F105" s="7">
        <v>171.2</v>
      </c>
      <c r="G105" s="18">
        <v>1</v>
      </c>
      <c r="H105" s="7" t="e">
        <v>#N/A</v>
      </c>
      <c r="I105" s="7" t="e">
        <v>#N/A</v>
      </c>
      <c r="J105" s="7" t="e">
        <v>#N/A</v>
      </c>
      <c r="L105" s="9">
        <f t="shared" si="1"/>
        <v>-5.8445353594385925E-4</v>
      </c>
    </row>
    <row r="106" spans="1:12" x14ac:dyDescent="0.25">
      <c r="A106" s="1"/>
    </row>
    <row r="107" spans="1:12" x14ac:dyDescent="0.25">
      <c r="A107" s="1"/>
    </row>
    <row r="108" spans="1:12" x14ac:dyDescent="0.25">
      <c r="A108" s="1"/>
    </row>
    <row r="109" spans="1:12" x14ac:dyDescent="0.25">
      <c r="A109" s="1"/>
    </row>
    <row r="110" spans="1:12" x14ac:dyDescent="0.25">
      <c r="A110" s="1"/>
    </row>
    <row r="111" spans="1:12" x14ac:dyDescent="0.25">
      <c r="A111" s="1"/>
    </row>
    <row r="112" spans="1:12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86114-2A19-42A8-8F3E-A524AA339E11}">
  <sheetPr codeName="Planilha7"/>
  <dimension ref="A1:E247"/>
  <sheetViews>
    <sheetView zoomScale="115" zoomScaleNormal="115" workbookViewId="0"/>
  </sheetViews>
  <sheetFormatPr defaultRowHeight="15" x14ac:dyDescent="0.25"/>
  <cols>
    <col min="1" max="1" width="11.85546875" bestFit="1" customWidth="1"/>
    <col min="2" max="2" width="8" bestFit="1" customWidth="1"/>
    <col min="3" max="3" width="10.7109375" bestFit="1" customWidth="1"/>
    <col min="4" max="4" width="5.140625" customWidth="1"/>
    <col min="5" max="5" width="9.140625" customWidth="1"/>
  </cols>
  <sheetData>
    <row r="1" spans="1:5" x14ac:dyDescent="0.25">
      <c r="A1" s="12" t="s">
        <v>23</v>
      </c>
      <c r="E1" s="12" t="s">
        <v>24</v>
      </c>
    </row>
    <row r="2" spans="1:5" x14ac:dyDescent="0.25">
      <c r="A2" s="13" t="s">
        <v>13</v>
      </c>
      <c r="B2" s="13" t="s">
        <v>22</v>
      </c>
      <c r="C2" s="13" t="s">
        <v>25</v>
      </c>
      <c r="E2" s="13" t="s">
        <v>94</v>
      </c>
    </row>
    <row r="3" spans="1:5" x14ac:dyDescent="0.25">
      <c r="A3" s="13"/>
      <c r="B3" s="13"/>
      <c r="C3" s="13"/>
      <c r="E3" s="13" t="s">
        <v>93</v>
      </c>
    </row>
    <row r="4" spans="1:5" x14ac:dyDescent="0.25">
      <c r="A4" s="14">
        <v>35065</v>
      </c>
      <c r="B4" s="7">
        <v>96.8</v>
      </c>
      <c r="C4" s="7">
        <v>99.5</v>
      </c>
      <c r="E4" s="7" cm="1">
        <f t="array" ref="E4:E110">ROUND(xlDESSAZ($A$4:$A$106,$B$4:$B$106,$E$3,,,Specs!$D$3),1)</f>
        <v>96.8</v>
      </c>
    </row>
    <row r="5" spans="1:5" x14ac:dyDescent="0.25">
      <c r="A5" s="14">
        <v>35156</v>
      </c>
      <c r="B5">
        <v>100.1</v>
      </c>
      <c r="C5" s="7">
        <v>100.4</v>
      </c>
      <c r="E5" s="7">
        <v>100.1</v>
      </c>
    </row>
    <row r="6" spans="1:5" x14ac:dyDescent="0.25">
      <c r="A6" s="14">
        <v>35247</v>
      </c>
      <c r="B6">
        <v>107.6</v>
      </c>
      <c r="C6">
        <v>104.4</v>
      </c>
      <c r="E6" s="7">
        <v>107.6</v>
      </c>
    </row>
    <row r="7" spans="1:5" x14ac:dyDescent="0.25">
      <c r="A7" s="14">
        <v>35339</v>
      </c>
      <c r="B7">
        <v>104.3</v>
      </c>
      <c r="C7">
        <v>103.3</v>
      </c>
      <c r="E7" s="7">
        <v>104.3</v>
      </c>
    </row>
    <row r="8" spans="1:5" x14ac:dyDescent="0.25">
      <c r="A8" s="14">
        <v>35431</v>
      </c>
      <c r="B8">
        <v>100.1</v>
      </c>
      <c r="C8">
        <v>104.3</v>
      </c>
      <c r="E8" s="7">
        <v>100.1</v>
      </c>
    </row>
    <row r="9" spans="1:5" x14ac:dyDescent="0.25">
      <c r="A9" s="14">
        <v>35521</v>
      </c>
      <c r="B9">
        <v>104.9</v>
      </c>
      <c r="C9">
        <v>105</v>
      </c>
      <c r="E9" s="7">
        <v>104.9</v>
      </c>
    </row>
    <row r="10" spans="1:5" x14ac:dyDescent="0.25">
      <c r="A10" s="14">
        <v>35612</v>
      </c>
      <c r="B10">
        <v>109.5</v>
      </c>
      <c r="C10">
        <v>106.3</v>
      </c>
      <c r="E10" s="7">
        <v>109.5</v>
      </c>
    </row>
    <row r="11" spans="1:5" x14ac:dyDescent="0.25">
      <c r="A11" s="14">
        <v>35704</v>
      </c>
      <c r="B11">
        <v>108.2</v>
      </c>
      <c r="C11">
        <v>107.1</v>
      </c>
      <c r="E11" s="7">
        <v>108.2</v>
      </c>
    </row>
    <row r="12" spans="1:5" x14ac:dyDescent="0.25">
      <c r="A12" s="14">
        <v>35796</v>
      </c>
      <c r="B12">
        <v>101.1</v>
      </c>
      <c r="C12">
        <v>105.1</v>
      </c>
      <c r="E12" s="7">
        <v>101.1</v>
      </c>
    </row>
    <row r="13" spans="1:5" x14ac:dyDescent="0.25">
      <c r="A13" s="14">
        <v>35886</v>
      </c>
      <c r="B13">
        <v>106.5</v>
      </c>
      <c r="C13">
        <v>106.8</v>
      </c>
      <c r="E13" s="7">
        <v>106.5</v>
      </c>
    </row>
    <row r="14" spans="1:5" x14ac:dyDescent="0.25">
      <c r="A14" s="14">
        <v>35977</v>
      </c>
      <c r="B14">
        <v>109.9</v>
      </c>
      <c r="C14">
        <v>106.9</v>
      </c>
      <c r="E14" s="7">
        <v>109.9</v>
      </c>
    </row>
    <row r="15" spans="1:5" x14ac:dyDescent="0.25">
      <c r="A15" s="14">
        <v>36069</v>
      </c>
      <c r="B15">
        <v>106.7</v>
      </c>
      <c r="C15">
        <v>105.6</v>
      </c>
      <c r="E15" s="7">
        <v>106.7</v>
      </c>
    </row>
    <row r="16" spans="1:5" x14ac:dyDescent="0.25">
      <c r="A16" s="14">
        <v>36161</v>
      </c>
      <c r="B16">
        <v>101.9</v>
      </c>
      <c r="C16">
        <v>105.9</v>
      </c>
      <c r="E16" s="7">
        <v>101.9</v>
      </c>
    </row>
    <row r="17" spans="1:5" x14ac:dyDescent="0.25">
      <c r="A17" s="14">
        <v>36251</v>
      </c>
      <c r="B17">
        <v>106</v>
      </c>
      <c r="C17">
        <v>106.2</v>
      </c>
      <c r="E17" s="7">
        <v>106</v>
      </c>
    </row>
    <row r="18" spans="1:5" x14ac:dyDescent="0.25">
      <c r="A18" s="14">
        <v>36342</v>
      </c>
      <c r="B18">
        <v>109.2</v>
      </c>
      <c r="C18">
        <v>106.4</v>
      </c>
      <c r="E18" s="7">
        <v>109.2</v>
      </c>
    </row>
    <row r="19" spans="1:5" x14ac:dyDescent="0.25">
      <c r="A19" s="14">
        <v>36434</v>
      </c>
      <c r="B19">
        <v>109</v>
      </c>
      <c r="C19">
        <v>107.8</v>
      </c>
      <c r="E19" s="7">
        <v>109</v>
      </c>
    </row>
    <row r="20" spans="1:5" x14ac:dyDescent="0.25">
      <c r="A20" s="14">
        <v>36526</v>
      </c>
      <c r="B20">
        <v>106.4</v>
      </c>
      <c r="C20">
        <v>109</v>
      </c>
      <c r="E20" s="7">
        <v>106.4</v>
      </c>
    </row>
    <row r="21" spans="1:5" x14ac:dyDescent="0.25">
      <c r="A21" s="14">
        <v>36617</v>
      </c>
      <c r="B21">
        <v>110.3</v>
      </c>
      <c r="C21">
        <v>110.5</v>
      </c>
      <c r="E21" s="7">
        <v>110.3</v>
      </c>
    </row>
    <row r="22" spans="1:5" x14ac:dyDescent="0.25">
      <c r="A22" s="14">
        <v>36708</v>
      </c>
      <c r="B22">
        <v>114.2</v>
      </c>
      <c r="C22">
        <v>111.8</v>
      </c>
      <c r="E22" s="7">
        <v>114.2</v>
      </c>
    </row>
    <row r="23" spans="1:5" x14ac:dyDescent="0.25">
      <c r="A23" s="14">
        <v>36800</v>
      </c>
      <c r="B23">
        <v>114</v>
      </c>
      <c r="C23">
        <v>113.2</v>
      </c>
      <c r="E23" s="7">
        <v>114</v>
      </c>
    </row>
    <row r="24" spans="1:5" x14ac:dyDescent="0.25">
      <c r="A24" s="14">
        <v>36892</v>
      </c>
      <c r="B24">
        <v>110.1</v>
      </c>
      <c r="C24">
        <v>113.6</v>
      </c>
      <c r="E24" s="7">
        <v>110.1</v>
      </c>
    </row>
    <row r="25" spans="1:5" x14ac:dyDescent="0.25">
      <c r="A25" s="14">
        <v>36982</v>
      </c>
      <c r="B25">
        <v>112.8</v>
      </c>
      <c r="C25">
        <v>113.1</v>
      </c>
      <c r="E25" s="7">
        <v>112.8</v>
      </c>
    </row>
    <row r="26" spans="1:5" x14ac:dyDescent="0.25">
      <c r="A26" s="14">
        <v>37073</v>
      </c>
      <c r="B26">
        <v>114.7</v>
      </c>
      <c r="C26">
        <v>112.5</v>
      </c>
      <c r="E26" s="7">
        <v>114.7</v>
      </c>
    </row>
    <row r="27" spans="1:5" x14ac:dyDescent="0.25">
      <c r="A27" s="14">
        <v>37165</v>
      </c>
      <c r="B27">
        <v>113.4</v>
      </c>
      <c r="C27">
        <v>112.2</v>
      </c>
      <c r="E27" s="7">
        <v>113.4</v>
      </c>
    </row>
    <row r="28" spans="1:5" x14ac:dyDescent="0.25">
      <c r="A28" s="14">
        <v>37257</v>
      </c>
      <c r="B28">
        <v>110.6</v>
      </c>
      <c r="C28">
        <v>114.7</v>
      </c>
      <c r="E28" s="7">
        <v>110.6</v>
      </c>
    </row>
    <row r="29" spans="1:5" x14ac:dyDescent="0.25">
      <c r="A29" s="14">
        <v>37347</v>
      </c>
      <c r="B29">
        <v>115.4</v>
      </c>
      <c r="C29">
        <v>115.4</v>
      </c>
      <c r="E29" s="7">
        <v>115.4</v>
      </c>
    </row>
    <row r="30" spans="1:5" x14ac:dyDescent="0.25">
      <c r="A30" s="14">
        <v>37438</v>
      </c>
      <c r="B30">
        <v>119.5</v>
      </c>
      <c r="C30">
        <v>116.8</v>
      </c>
      <c r="E30" s="7">
        <v>119.5</v>
      </c>
    </row>
    <row r="31" spans="1:5" x14ac:dyDescent="0.25">
      <c r="A31" s="14">
        <v>37530</v>
      </c>
      <c r="B31">
        <v>119.2</v>
      </c>
      <c r="C31">
        <v>118</v>
      </c>
      <c r="E31" s="7">
        <v>119.2</v>
      </c>
    </row>
    <row r="32" spans="1:5" x14ac:dyDescent="0.25">
      <c r="A32" s="14">
        <v>37622</v>
      </c>
      <c r="B32">
        <v>113.6</v>
      </c>
      <c r="C32">
        <v>117.5</v>
      </c>
      <c r="E32" s="7">
        <v>113.6</v>
      </c>
    </row>
    <row r="33" spans="1:5" x14ac:dyDescent="0.25">
      <c r="A33" s="14">
        <v>37712</v>
      </c>
      <c r="B33">
        <v>116.3</v>
      </c>
      <c r="C33">
        <v>116.5</v>
      </c>
      <c r="E33" s="7">
        <v>116.3</v>
      </c>
    </row>
    <row r="34" spans="1:5" x14ac:dyDescent="0.25">
      <c r="A34" s="14">
        <v>37803</v>
      </c>
      <c r="B34">
        <v>120.2</v>
      </c>
      <c r="C34">
        <v>117.6</v>
      </c>
      <c r="E34" s="7">
        <v>120.2</v>
      </c>
    </row>
    <row r="35" spans="1:5" x14ac:dyDescent="0.25">
      <c r="A35" s="14">
        <v>37895</v>
      </c>
      <c r="B35">
        <v>119.9</v>
      </c>
      <c r="C35">
        <v>118.8</v>
      </c>
      <c r="E35" s="7">
        <v>119.9</v>
      </c>
    </row>
    <row r="36" spans="1:5" x14ac:dyDescent="0.25">
      <c r="A36" s="14">
        <v>37987</v>
      </c>
      <c r="B36">
        <v>118</v>
      </c>
      <c r="C36">
        <v>120.5</v>
      </c>
      <c r="E36" s="7">
        <v>118</v>
      </c>
    </row>
    <row r="37" spans="1:5" x14ac:dyDescent="0.25">
      <c r="A37" s="14">
        <v>38078</v>
      </c>
      <c r="B37">
        <v>123.7</v>
      </c>
      <c r="C37">
        <v>123.8</v>
      </c>
      <c r="E37" s="7">
        <v>123.7</v>
      </c>
    </row>
    <row r="38" spans="1:5" x14ac:dyDescent="0.25">
      <c r="A38" s="14">
        <v>38169</v>
      </c>
      <c r="B38">
        <v>128.1</v>
      </c>
      <c r="C38">
        <v>125.3</v>
      </c>
      <c r="E38" s="7">
        <v>128.1</v>
      </c>
    </row>
    <row r="39" spans="1:5" x14ac:dyDescent="0.25">
      <c r="A39" s="14">
        <v>38261</v>
      </c>
      <c r="B39">
        <v>127.4</v>
      </c>
      <c r="C39">
        <v>126.3</v>
      </c>
      <c r="E39" s="7">
        <v>127.4</v>
      </c>
    </row>
    <row r="40" spans="1:5" x14ac:dyDescent="0.25">
      <c r="A40" s="14">
        <v>38353</v>
      </c>
      <c r="B40">
        <v>122.9</v>
      </c>
      <c r="C40">
        <v>127.2</v>
      </c>
      <c r="E40" s="7">
        <v>122.9</v>
      </c>
    </row>
    <row r="41" spans="1:5" x14ac:dyDescent="0.25">
      <c r="A41" s="14">
        <v>38443</v>
      </c>
      <c r="B41">
        <v>129.19999999999999</v>
      </c>
      <c r="C41">
        <v>129</v>
      </c>
      <c r="E41" s="7">
        <v>129.19999999999999</v>
      </c>
    </row>
    <row r="42" spans="1:5" x14ac:dyDescent="0.25">
      <c r="A42" s="14">
        <v>38534</v>
      </c>
      <c r="B42">
        <v>130.80000000000001</v>
      </c>
      <c r="C42">
        <v>128</v>
      </c>
      <c r="E42" s="7">
        <v>130.80000000000001</v>
      </c>
    </row>
    <row r="43" spans="1:5" x14ac:dyDescent="0.25">
      <c r="A43" s="14">
        <v>38626</v>
      </c>
      <c r="B43">
        <v>130.1</v>
      </c>
      <c r="C43">
        <v>129.6</v>
      </c>
      <c r="E43" s="7">
        <v>130.1</v>
      </c>
    </row>
    <row r="44" spans="1:5" x14ac:dyDescent="0.25">
      <c r="A44" s="14">
        <v>38718</v>
      </c>
      <c r="B44">
        <v>128.19999999999999</v>
      </c>
      <c r="C44">
        <v>131.80000000000001</v>
      </c>
      <c r="E44" s="7">
        <v>128.19999999999999</v>
      </c>
    </row>
    <row r="45" spans="1:5" x14ac:dyDescent="0.25">
      <c r="A45" s="14">
        <v>38808</v>
      </c>
      <c r="B45">
        <v>132.1</v>
      </c>
      <c r="C45">
        <v>132.1</v>
      </c>
      <c r="E45" s="7">
        <v>132.1</v>
      </c>
    </row>
    <row r="46" spans="1:5" x14ac:dyDescent="0.25">
      <c r="A46" s="14">
        <v>38899</v>
      </c>
      <c r="B46">
        <v>136.69999999999999</v>
      </c>
      <c r="C46">
        <v>134.30000000000001</v>
      </c>
      <c r="E46" s="7">
        <v>136.69999999999999</v>
      </c>
    </row>
    <row r="47" spans="1:5" x14ac:dyDescent="0.25">
      <c r="A47" s="14">
        <v>38991</v>
      </c>
      <c r="B47">
        <v>136.4</v>
      </c>
      <c r="C47">
        <v>135.9</v>
      </c>
      <c r="E47" s="7">
        <v>136.4</v>
      </c>
    </row>
    <row r="48" spans="1:5" x14ac:dyDescent="0.25">
      <c r="A48" s="14">
        <v>39083</v>
      </c>
      <c r="B48">
        <v>134.80000000000001</v>
      </c>
      <c r="C48">
        <v>138.6</v>
      </c>
      <c r="E48" s="7">
        <v>134.80000000000001</v>
      </c>
    </row>
    <row r="49" spans="1:5" x14ac:dyDescent="0.25">
      <c r="A49" s="14">
        <v>39173</v>
      </c>
      <c r="B49">
        <v>140.80000000000001</v>
      </c>
      <c r="C49">
        <v>140.80000000000001</v>
      </c>
      <c r="E49" s="7">
        <v>140.80000000000001</v>
      </c>
    </row>
    <row r="50" spans="1:5" x14ac:dyDescent="0.25">
      <c r="A50" s="14">
        <v>39264</v>
      </c>
      <c r="B50">
        <v>144.80000000000001</v>
      </c>
      <c r="C50">
        <v>142.19999999999999</v>
      </c>
      <c r="E50" s="7">
        <v>144.80000000000001</v>
      </c>
    </row>
    <row r="51" spans="1:5" x14ac:dyDescent="0.25">
      <c r="A51" s="14">
        <v>39356</v>
      </c>
      <c r="B51">
        <v>145.4</v>
      </c>
      <c r="C51">
        <v>144.4</v>
      </c>
      <c r="E51" s="7">
        <v>145.4</v>
      </c>
    </row>
    <row r="52" spans="1:5" x14ac:dyDescent="0.25">
      <c r="A52" s="14">
        <v>39448</v>
      </c>
      <c r="B52">
        <v>143.1</v>
      </c>
      <c r="C52">
        <v>146.1</v>
      </c>
      <c r="E52" s="7">
        <v>143.1</v>
      </c>
    </row>
    <row r="53" spans="1:5" x14ac:dyDescent="0.25">
      <c r="A53" s="14">
        <v>39539</v>
      </c>
      <c r="B53">
        <v>149.69999999999999</v>
      </c>
      <c r="C53">
        <v>149.4</v>
      </c>
      <c r="E53" s="7">
        <v>149.69999999999999</v>
      </c>
    </row>
    <row r="54" spans="1:5" x14ac:dyDescent="0.25">
      <c r="A54" s="14">
        <v>39630</v>
      </c>
      <c r="B54">
        <v>154.9</v>
      </c>
      <c r="C54">
        <v>151.6</v>
      </c>
      <c r="E54" s="7">
        <v>154.9</v>
      </c>
    </row>
    <row r="55" spans="1:5" x14ac:dyDescent="0.25">
      <c r="A55" s="14">
        <v>39722</v>
      </c>
      <c r="B55">
        <v>146.9</v>
      </c>
      <c r="C55">
        <v>145.9</v>
      </c>
      <c r="E55" s="7">
        <v>146.9</v>
      </c>
    </row>
    <row r="56" spans="1:5" x14ac:dyDescent="0.25">
      <c r="A56" s="14">
        <v>39814</v>
      </c>
      <c r="B56">
        <v>139.69999999999999</v>
      </c>
      <c r="C56">
        <v>143.9</v>
      </c>
      <c r="E56" s="7">
        <v>139.69999999999999</v>
      </c>
    </row>
    <row r="57" spans="1:5" x14ac:dyDescent="0.25">
      <c r="A57" s="14">
        <v>39904</v>
      </c>
      <c r="B57">
        <v>146.4</v>
      </c>
      <c r="C57">
        <v>146.5</v>
      </c>
      <c r="E57" s="7">
        <v>146.4</v>
      </c>
    </row>
    <row r="58" spans="1:5" x14ac:dyDescent="0.25">
      <c r="A58" s="14">
        <v>39995</v>
      </c>
      <c r="B58">
        <v>153.1</v>
      </c>
      <c r="C58">
        <v>149.9</v>
      </c>
      <c r="E58" s="7">
        <v>153.1</v>
      </c>
    </row>
    <row r="59" spans="1:5" x14ac:dyDescent="0.25">
      <c r="A59" s="14">
        <v>40087</v>
      </c>
      <c r="B59">
        <v>154.69999999999999</v>
      </c>
      <c r="C59">
        <v>153.69999999999999</v>
      </c>
      <c r="E59" s="7">
        <v>154.69999999999999</v>
      </c>
    </row>
    <row r="60" spans="1:5" x14ac:dyDescent="0.25">
      <c r="A60" s="14">
        <v>40179</v>
      </c>
      <c r="B60">
        <v>152.5</v>
      </c>
      <c r="C60">
        <v>157.19999999999999</v>
      </c>
      <c r="E60" s="7">
        <v>152.5</v>
      </c>
    </row>
    <row r="61" spans="1:5" x14ac:dyDescent="0.25">
      <c r="A61" s="14">
        <v>40269</v>
      </c>
      <c r="B61">
        <v>158.9</v>
      </c>
      <c r="C61">
        <v>158.69999999999999</v>
      </c>
      <c r="E61" s="7">
        <v>158.9</v>
      </c>
    </row>
    <row r="62" spans="1:5" x14ac:dyDescent="0.25">
      <c r="A62" s="14">
        <v>40360</v>
      </c>
      <c r="B62">
        <v>163.6</v>
      </c>
      <c r="C62">
        <v>160.4</v>
      </c>
      <c r="E62" s="7">
        <v>163.6</v>
      </c>
    </row>
    <row r="63" spans="1:5" x14ac:dyDescent="0.25">
      <c r="A63" s="14">
        <v>40452</v>
      </c>
      <c r="B63">
        <v>163.5</v>
      </c>
      <c r="C63">
        <v>162.5</v>
      </c>
      <c r="E63" s="7">
        <v>163.5</v>
      </c>
    </row>
    <row r="64" spans="1:5" x14ac:dyDescent="0.25">
      <c r="A64" s="14">
        <v>40544</v>
      </c>
      <c r="B64">
        <v>160.5</v>
      </c>
      <c r="C64">
        <v>164.9</v>
      </c>
      <c r="E64" s="7">
        <v>160.5</v>
      </c>
    </row>
    <row r="65" spans="1:5" x14ac:dyDescent="0.25">
      <c r="A65" s="14">
        <v>40634</v>
      </c>
      <c r="B65">
        <v>166.3</v>
      </c>
      <c r="C65">
        <v>166.5</v>
      </c>
      <c r="E65" s="7">
        <v>166.3</v>
      </c>
    </row>
    <row r="66" spans="1:5" x14ac:dyDescent="0.25">
      <c r="A66" s="14">
        <v>40725</v>
      </c>
      <c r="B66">
        <v>169.4</v>
      </c>
      <c r="C66">
        <v>166.1</v>
      </c>
      <c r="E66" s="7">
        <v>169.4</v>
      </c>
    </row>
    <row r="67" spans="1:5" x14ac:dyDescent="0.25">
      <c r="A67" s="14">
        <v>40817</v>
      </c>
      <c r="B67">
        <v>167.7</v>
      </c>
      <c r="C67">
        <v>167.5</v>
      </c>
      <c r="E67" s="7">
        <v>167.7</v>
      </c>
    </row>
    <row r="68" spans="1:5" x14ac:dyDescent="0.25">
      <c r="A68" s="14">
        <v>40909</v>
      </c>
      <c r="B68">
        <v>163.19999999999999</v>
      </c>
      <c r="C68">
        <v>165.3</v>
      </c>
      <c r="E68" s="7">
        <v>163.19999999999999</v>
      </c>
    </row>
    <row r="69" spans="1:5" x14ac:dyDescent="0.25">
      <c r="A69" s="14">
        <v>41000</v>
      </c>
      <c r="B69">
        <v>168</v>
      </c>
      <c r="C69">
        <v>168.2</v>
      </c>
      <c r="E69" s="7">
        <v>168</v>
      </c>
    </row>
    <row r="70" spans="1:5" x14ac:dyDescent="0.25">
      <c r="A70" s="14">
        <v>41091</v>
      </c>
      <c r="B70">
        <v>173.6</v>
      </c>
      <c r="C70">
        <v>171.1</v>
      </c>
      <c r="E70" s="7">
        <v>173.6</v>
      </c>
    </row>
    <row r="71" spans="1:5" x14ac:dyDescent="0.25">
      <c r="A71" s="14">
        <v>41183</v>
      </c>
      <c r="B71">
        <v>171.9</v>
      </c>
      <c r="C71">
        <v>171.1</v>
      </c>
      <c r="E71" s="7">
        <v>171.9</v>
      </c>
    </row>
    <row r="72" spans="1:5" x14ac:dyDescent="0.25">
      <c r="A72" s="14">
        <v>41275</v>
      </c>
      <c r="B72">
        <v>167.6</v>
      </c>
      <c r="C72">
        <v>171.8</v>
      </c>
      <c r="E72" s="7">
        <v>167.6</v>
      </c>
    </row>
    <row r="73" spans="1:5" x14ac:dyDescent="0.25">
      <c r="A73" s="14">
        <v>41365</v>
      </c>
      <c r="B73">
        <v>174.7</v>
      </c>
      <c r="C73">
        <v>174.7</v>
      </c>
      <c r="E73" s="7">
        <v>174.7</v>
      </c>
    </row>
    <row r="74" spans="1:5" x14ac:dyDescent="0.25">
      <c r="A74" s="14">
        <v>41456</v>
      </c>
      <c r="B74">
        <v>178.4</v>
      </c>
      <c r="C74">
        <v>175.3</v>
      </c>
      <c r="E74" s="7">
        <v>178.4</v>
      </c>
    </row>
    <row r="75" spans="1:5" x14ac:dyDescent="0.25">
      <c r="A75" s="14">
        <v>41548</v>
      </c>
      <c r="B75">
        <v>176.3</v>
      </c>
      <c r="C75">
        <v>175.5</v>
      </c>
      <c r="E75" s="7">
        <v>176.3</v>
      </c>
    </row>
    <row r="76" spans="1:5" x14ac:dyDescent="0.25">
      <c r="A76" s="14">
        <v>41640</v>
      </c>
      <c r="B76">
        <v>173.4</v>
      </c>
      <c r="C76">
        <v>177.1</v>
      </c>
      <c r="E76" s="7">
        <v>173.4</v>
      </c>
    </row>
    <row r="77" spans="1:5" x14ac:dyDescent="0.25">
      <c r="A77" s="14">
        <v>41730</v>
      </c>
      <c r="B77">
        <v>174</v>
      </c>
      <c r="C77">
        <v>174.4</v>
      </c>
      <c r="E77" s="7">
        <v>174</v>
      </c>
    </row>
    <row r="78" spans="1:5" x14ac:dyDescent="0.25">
      <c r="A78" s="14">
        <v>41821</v>
      </c>
      <c r="B78">
        <v>177.3</v>
      </c>
      <c r="C78">
        <v>174.4</v>
      </c>
      <c r="E78" s="7">
        <v>177.3</v>
      </c>
    </row>
    <row r="79" spans="1:5" x14ac:dyDescent="0.25">
      <c r="A79" s="14">
        <v>41913</v>
      </c>
      <c r="B79">
        <v>175.9</v>
      </c>
      <c r="C79">
        <v>175.2</v>
      </c>
      <c r="E79" s="7">
        <v>175.9</v>
      </c>
    </row>
    <row r="80" spans="1:5" x14ac:dyDescent="0.25">
      <c r="A80" s="14">
        <v>42005</v>
      </c>
      <c r="B80">
        <v>170.6</v>
      </c>
      <c r="C80">
        <v>174.1</v>
      </c>
      <c r="E80" s="7">
        <v>170.6</v>
      </c>
    </row>
    <row r="81" spans="1:5" x14ac:dyDescent="0.25">
      <c r="A81" s="14">
        <v>42095</v>
      </c>
      <c r="B81">
        <v>169.2</v>
      </c>
      <c r="C81">
        <v>169.5</v>
      </c>
      <c r="E81" s="7">
        <v>169.2</v>
      </c>
    </row>
    <row r="82" spans="1:5" x14ac:dyDescent="0.25">
      <c r="A82" s="14">
        <v>42186</v>
      </c>
      <c r="B82">
        <v>169.7</v>
      </c>
      <c r="C82">
        <v>167</v>
      </c>
      <c r="E82" s="7">
        <v>169.7</v>
      </c>
    </row>
    <row r="83" spans="1:5" x14ac:dyDescent="0.25">
      <c r="A83" s="14">
        <v>42278</v>
      </c>
      <c r="B83">
        <v>166.2</v>
      </c>
      <c r="C83">
        <v>165.7</v>
      </c>
      <c r="E83" s="7">
        <v>166.2</v>
      </c>
    </row>
    <row r="84" spans="1:5" x14ac:dyDescent="0.25">
      <c r="A84" s="14">
        <v>42370</v>
      </c>
      <c r="B84">
        <v>161.9</v>
      </c>
      <c r="C84">
        <v>163</v>
      </c>
      <c r="E84" s="7">
        <v>161.9</v>
      </c>
    </row>
    <row r="85" spans="1:5" x14ac:dyDescent="0.25">
      <c r="A85" s="14">
        <v>42461</v>
      </c>
      <c r="B85">
        <v>163.80000000000001</v>
      </c>
      <c r="C85">
        <v>164</v>
      </c>
      <c r="E85" s="7">
        <v>163.80000000000001</v>
      </c>
    </row>
    <row r="86" spans="1:5" x14ac:dyDescent="0.25">
      <c r="A86" s="14">
        <v>42552</v>
      </c>
      <c r="B86">
        <v>165.6</v>
      </c>
      <c r="C86">
        <v>162.9</v>
      </c>
      <c r="E86" s="7">
        <v>165.6</v>
      </c>
    </row>
    <row r="87" spans="1:5" x14ac:dyDescent="0.25">
      <c r="A87" s="14">
        <v>42644</v>
      </c>
      <c r="B87">
        <v>162.4</v>
      </c>
      <c r="C87">
        <v>162.6</v>
      </c>
      <c r="E87" s="7">
        <v>162.4</v>
      </c>
    </row>
    <row r="88" spans="1:5" x14ac:dyDescent="0.25">
      <c r="A88" s="14">
        <v>42736</v>
      </c>
      <c r="B88">
        <v>162.30000000000001</v>
      </c>
      <c r="C88">
        <v>164.4</v>
      </c>
      <c r="E88" s="7">
        <v>162.30000000000001</v>
      </c>
    </row>
    <row r="89" spans="1:5" x14ac:dyDescent="0.25">
      <c r="A89" s="14">
        <v>42826</v>
      </c>
      <c r="B89">
        <v>165.1</v>
      </c>
      <c r="C89">
        <v>165.7</v>
      </c>
      <c r="E89" s="7">
        <v>165.1</v>
      </c>
    </row>
    <row r="90" spans="1:5" x14ac:dyDescent="0.25">
      <c r="A90" s="14">
        <v>42917</v>
      </c>
      <c r="B90">
        <v>168.3</v>
      </c>
      <c r="C90">
        <v>166.2</v>
      </c>
      <c r="E90" s="7">
        <v>168.3</v>
      </c>
    </row>
    <row r="91" spans="1:5" x14ac:dyDescent="0.25">
      <c r="A91" s="14">
        <v>43009</v>
      </c>
      <c r="B91">
        <v>166.6</v>
      </c>
      <c r="C91">
        <v>166.9</v>
      </c>
      <c r="E91" s="7">
        <v>166.6</v>
      </c>
    </row>
    <row r="92" spans="1:5" x14ac:dyDescent="0.25">
      <c r="A92" s="14">
        <v>43101</v>
      </c>
      <c r="B92">
        <v>165.4</v>
      </c>
      <c r="C92">
        <v>167.8</v>
      </c>
      <c r="E92" s="7">
        <v>165.4</v>
      </c>
    </row>
    <row r="93" spans="1:5" x14ac:dyDescent="0.25">
      <c r="A93" s="14">
        <v>43191</v>
      </c>
      <c r="B93">
        <v>167.7</v>
      </c>
      <c r="C93">
        <v>168.1</v>
      </c>
      <c r="E93" s="7">
        <v>167.7</v>
      </c>
    </row>
    <row r="94" spans="1:5" x14ac:dyDescent="0.25">
      <c r="A94" s="14">
        <v>43282</v>
      </c>
      <c r="B94">
        <v>171.7</v>
      </c>
      <c r="C94">
        <v>169.5</v>
      </c>
      <c r="E94" s="7">
        <v>171.7</v>
      </c>
    </row>
    <row r="95" spans="1:5" x14ac:dyDescent="0.25">
      <c r="A95" s="14">
        <v>43374</v>
      </c>
      <c r="B95">
        <v>169.2</v>
      </c>
      <c r="C95">
        <v>168.9</v>
      </c>
      <c r="E95" s="7">
        <v>169.2</v>
      </c>
    </row>
    <row r="96" spans="1:5" x14ac:dyDescent="0.25">
      <c r="A96" s="14">
        <v>43466</v>
      </c>
      <c r="B96">
        <v>167.1</v>
      </c>
      <c r="C96">
        <v>169.8</v>
      </c>
      <c r="E96" s="7">
        <v>167.1</v>
      </c>
    </row>
    <row r="97" spans="1:5" x14ac:dyDescent="0.25">
      <c r="A97" s="14">
        <v>43556</v>
      </c>
      <c r="B97">
        <v>169.8</v>
      </c>
      <c r="C97">
        <v>170.7</v>
      </c>
      <c r="E97" s="7">
        <v>169.8</v>
      </c>
    </row>
    <row r="98" spans="1:5" x14ac:dyDescent="0.25">
      <c r="A98" s="14">
        <v>43647</v>
      </c>
      <c r="B98">
        <v>173.6</v>
      </c>
      <c r="C98">
        <v>170.7</v>
      </c>
      <c r="E98" s="7">
        <v>173.6</v>
      </c>
    </row>
    <row r="99" spans="1:5" x14ac:dyDescent="0.25">
      <c r="A99" s="14">
        <v>43739</v>
      </c>
      <c r="B99">
        <v>171.7</v>
      </c>
      <c r="C99">
        <v>171.3</v>
      </c>
      <c r="E99" s="7">
        <v>171.7</v>
      </c>
    </row>
    <row r="100" spans="1:5" x14ac:dyDescent="0.25">
      <c r="A100" s="14">
        <v>43831</v>
      </c>
      <c r="B100">
        <v>166.9</v>
      </c>
      <c r="C100">
        <v>167.4</v>
      </c>
      <c r="E100" s="7">
        <v>166.9</v>
      </c>
    </row>
    <row r="101" spans="1:5" x14ac:dyDescent="0.25">
      <c r="A101" s="14">
        <v>43922</v>
      </c>
      <c r="B101">
        <v>151.6</v>
      </c>
      <c r="C101">
        <v>152.6</v>
      </c>
      <c r="E101" s="7">
        <v>151.6</v>
      </c>
    </row>
    <row r="102" spans="1:5" x14ac:dyDescent="0.25">
      <c r="A102" s="14">
        <v>44013</v>
      </c>
      <c r="B102">
        <v>167.2</v>
      </c>
      <c r="C102">
        <v>164.4</v>
      </c>
      <c r="E102" s="7">
        <v>167.2</v>
      </c>
    </row>
    <row r="103" spans="1:5" x14ac:dyDescent="0.25">
      <c r="A103" s="14">
        <v>44105</v>
      </c>
      <c r="B103">
        <v>170.1</v>
      </c>
      <c r="C103">
        <v>169.5</v>
      </c>
      <c r="E103" s="7">
        <v>170.1</v>
      </c>
    </row>
    <row r="104" spans="1:5" x14ac:dyDescent="0.25">
      <c r="A104" s="14">
        <v>44197</v>
      </c>
      <c r="B104">
        <v>169</v>
      </c>
      <c r="C104">
        <v>171.8</v>
      </c>
      <c r="E104" s="7">
        <v>169</v>
      </c>
    </row>
    <row r="105" spans="1:5" x14ac:dyDescent="0.25">
      <c r="A105" s="14">
        <v>44287</v>
      </c>
      <c r="B105">
        <v>170.3</v>
      </c>
      <c r="C105">
        <v>171.2</v>
      </c>
      <c r="E105" s="7">
        <v>170.3</v>
      </c>
    </row>
    <row r="106" spans="1:5" x14ac:dyDescent="0.25">
      <c r="A106" s="14">
        <v>44378</v>
      </c>
      <c r="B106">
        <v>173.9</v>
      </c>
      <c r="C106">
        <v>171.1</v>
      </c>
      <c r="E106" s="7">
        <v>173.9</v>
      </c>
    </row>
    <row r="107" spans="1:5" x14ac:dyDescent="0.25">
      <c r="A107" s="14">
        <v>44470</v>
      </c>
      <c r="E107">
        <v>172</v>
      </c>
    </row>
    <row r="108" spans="1:5" x14ac:dyDescent="0.25">
      <c r="A108" s="14">
        <v>44562</v>
      </c>
      <c r="E108">
        <v>168.9</v>
      </c>
    </row>
    <row r="109" spans="1:5" x14ac:dyDescent="0.25">
      <c r="A109" s="14">
        <v>44652</v>
      </c>
      <c r="E109">
        <v>170.4</v>
      </c>
    </row>
    <row r="110" spans="1:5" x14ac:dyDescent="0.25">
      <c r="A110" s="14">
        <v>44743</v>
      </c>
      <c r="E110">
        <v>174.5</v>
      </c>
    </row>
    <row r="111" spans="1:5" x14ac:dyDescent="0.25">
      <c r="A111" s="1"/>
    </row>
    <row r="112" spans="1:5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B296-BA8B-496B-9E84-1FE170AD2882}">
  <sheetPr codeName="Planilha2">
    <tabColor theme="4" tint="0.59999389629810485"/>
  </sheetPr>
  <dimension ref="A1:H7"/>
  <sheetViews>
    <sheetView showGridLines="0" zoomScale="85" zoomScaleNormal="85" workbookViewId="0">
      <selection sqref="A1:F1"/>
    </sheetView>
  </sheetViews>
  <sheetFormatPr defaultColWidth="0" defaultRowHeight="15" x14ac:dyDescent="0.25"/>
  <cols>
    <col min="1" max="1" width="12.140625" customWidth="1"/>
    <col min="2" max="2" width="68.28515625" customWidth="1"/>
    <col min="3" max="3" width="12.140625" customWidth="1"/>
    <col min="4" max="4" width="52" customWidth="1"/>
    <col min="5" max="5" width="12.140625" customWidth="1"/>
    <col min="6" max="6" width="52" customWidth="1"/>
    <col min="7" max="7" width="2.42578125" customWidth="1"/>
    <col min="8" max="8" width="0" hidden="1" customWidth="1"/>
    <col min="9" max="16384" width="9.140625" hidden="1"/>
  </cols>
  <sheetData>
    <row r="1" spans="1:6" ht="48.75" customHeight="1" x14ac:dyDescent="0.35">
      <c r="A1" s="64" t="s">
        <v>97</v>
      </c>
      <c r="B1" s="64"/>
      <c r="C1" s="64"/>
      <c r="D1" s="64"/>
      <c r="E1" s="64"/>
      <c r="F1" s="64"/>
    </row>
    <row r="2" spans="1:6" x14ac:dyDescent="0.25">
      <c r="A2" s="2" t="s">
        <v>14</v>
      </c>
      <c r="B2" s="2" t="s">
        <v>0</v>
      </c>
      <c r="C2" s="2" t="s">
        <v>14</v>
      </c>
      <c r="D2" s="2" t="s">
        <v>0</v>
      </c>
      <c r="E2" s="2" t="s">
        <v>14</v>
      </c>
      <c r="F2" s="2" t="s">
        <v>0</v>
      </c>
    </row>
    <row r="3" spans="1:6" ht="409.5" x14ac:dyDescent="0.25">
      <c r="A3" s="24" t="s">
        <v>1</v>
      </c>
      <c r="B3" s="3" t="s">
        <v>98</v>
      </c>
      <c r="C3" s="24" t="s">
        <v>2</v>
      </c>
      <c r="D3" s="3" t="s">
        <v>34</v>
      </c>
      <c r="E3" s="24" t="s">
        <v>36</v>
      </c>
      <c r="F3" s="3" t="s">
        <v>3</v>
      </c>
    </row>
    <row r="4" spans="1:6" s="10" customFormat="1" x14ac:dyDescent="0.25">
      <c r="A4" s="10" t="s">
        <v>14</v>
      </c>
      <c r="B4" s="10" t="s">
        <v>0</v>
      </c>
      <c r="C4" s="11"/>
    </row>
    <row r="5" spans="1:6" ht="330" x14ac:dyDescent="0.25">
      <c r="A5" s="24" t="s">
        <v>35</v>
      </c>
      <c r="B5" s="26" t="s">
        <v>99</v>
      </c>
      <c r="C5" s="24" t="s">
        <v>96</v>
      </c>
      <c r="D5" s="3" t="s">
        <v>37</v>
      </c>
      <c r="E5" s="24"/>
      <c r="F5" s="3"/>
    </row>
    <row r="7" spans="1:6" x14ac:dyDescent="0.25">
      <c r="B7" s="4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General</vt:lpstr>
      <vt:lpstr>Step-by-Step</vt:lpstr>
      <vt:lpstr>Monthly - IBC-Br</vt:lpstr>
      <vt:lpstr>Monthly - Ind Prod</vt:lpstr>
      <vt:lpstr>Monthly - Income</vt:lpstr>
      <vt:lpstr>Quarterly - GDP</vt:lpstr>
      <vt:lpstr>Matrix Results</vt:lpstr>
      <vt:lpstr>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2022-01-12T01:16:32Z</dcterms:created>
  <dcterms:modified xsi:type="dcterms:W3CDTF">2022-02-06T20:20:26Z</dcterms:modified>
</cp:coreProperties>
</file>